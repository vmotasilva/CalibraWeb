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18"/>
  <workbookPr/>
  <mc:AlternateContent xmlns:mc="http://schemas.openxmlformats.org/markup-compatibility/2006">
    <mc:Choice Requires="x15">
      <x15ac:absPath xmlns:x15ac="http://schemas.microsoft.com/office/spreadsheetml/2010/11/ac" url="C:\Users\jessica.netto\Desktop\8D\"/>
    </mc:Choice>
  </mc:AlternateContent>
  <xr:revisionPtr revIDLastSave="17" documentId="11_920FC5C936D3B97A45A690E72FD53790E591F77A" xr6:coauthVersionLast="47" xr6:coauthVersionMax="47" xr10:uidLastSave="{A677DAA0-B9AF-4964-A8CE-1CA6B91538BC}"/>
  <bookViews>
    <workbookView xWindow="0" yWindow="0" windowWidth="20490" windowHeight="6960" tabRatio="965" firstSheet="12" activeTab="1" xr2:uid="{00000000-000D-0000-FFFF-FFFF00000000}"/>
  </bookViews>
  <sheets>
    <sheet name="8D - Check List" sheetId="1" r:id="rId1"/>
    <sheet name="D1" sheetId="2" r:id="rId2"/>
    <sheet name="D2" sheetId="3" r:id="rId3"/>
    <sheet name="D3" sheetId="4" r:id="rId4"/>
    <sheet name="D4" sheetId="5" r:id="rId5"/>
    <sheet name="D5" sheetId="6" r:id="rId6"/>
    <sheet name="D6" sheetId="7" r:id="rId7"/>
    <sheet name="D7" sheetId="8" r:id="rId8"/>
    <sheet name="D8" sheetId="9" r:id="rId9"/>
    <sheet name="Config N° 8D" sheetId="10" r:id="rId10"/>
    <sheet name="Fluxograma" sheetId="11" r:id="rId11"/>
    <sheet name="Brainstorming" sheetId="12" r:id="rId12"/>
    <sheet name="Diagrama de Ishikawa (Espinha d" sheetId="13" r:id="rId13"/>
    <sheet name="5 Porquês" sheetId="14" r:id="rId14"/>
    <sheet name="Gráfico de Pareto" sheetId="15" r:id="rId15"/>
    <sheet name="Check List (Folha de Verificaçã" sheetId="16" r:id="rId16"/>
    <sheet name="Gráfico Geral" sheetId="17" r:id="rId17"/>
    <sheet name="Carta de Tendência" sheetId="18" r:id="rId18"/>
    <sheet name="Outras Ferramentas" sheetId="19" r:id="rId19"/>
  </sheets>
  <externalReferences>
    <externalReference r:id="rId2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5" l="1"/>
  <c r="D21" i="15"/>
  <c r="D20" i="15"/>
  <c r="D19" i="15"/>
  <c r="D18" i="15"/>
  <c r="D17" i="15"/>
  <c r="D15" i="17" l="1"/>
  <c r="D14" i="17"/>
  <c r="D13" i="17"/>
  <c r="D12" i="17"/>
  <c r="D11" i="17"/>
  <c r="D10" i="17"/>
  <c r="D9" i="17"/>
  <c r="D8" i="17"/>
  <c r="D7" i="17"/>
  <c r="C13" i="15"/>
  <c r="D12" i="15"/>
  <c r="D11" i="15"/>
  <c r="D10" i="15"/>
  <c r="D9" i="15"/>
  <c r="D8" i="15"/>
  <c r="D7" i="15"/>
  <c r="D6" i="15"/>
  <c r="B8" i="6"/>
  <c r="B7" i="6"/>
  <c r="B6" i="6"/>
  <c r="B5" i="6"/>
  <c r="E17" i="15" l="1"/>
  <c r="E18" i="15"/>
  <c r="E19" i="15"/>
  <c r="E20" i="15"/>
  <c r="E21" i="15"/>
  <c r="E9" i="15"/>
  <c r="E11" i="15"/>
  <c r="E6" i="15"/>
  <c r="E10" i="15"/>
  <c r="E8" i="15"/>
  <c r="E12" i="15"/>
  <c r="E7" i="15"/>
  <c r="C2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0" authorId="0" shapeId="0" xr:uid="{00000000-0006-0000-0500-000001000000}">
      <text>
        <r>
          <rPr>
            <sz val="10"/>
            <color rgb="FF000000"/>
            <rFont val="Arial"/>
            <family val="2"/>
            <scheme val="minor"/>
          </rPr>
          <t>Primeiro deadline definido
Primer deadline definido</t>
        </r>
      </text>
    </comment>
    <comment ref="G10" authorId="0" shapeId="0" xr:uid="{00000000-0006-0000-0500-000002000000}">
      <text>
        <r>
          <rPr>
            <sz val="10"/>
            <color rgb="FF000000"/>
            <rFont val="Arial"/>
            <family val="2"/>
            <scheme val="minor"/>
          </rPr>
          <t xml:space="preserve">Último deadline definido
</t>
        </r>
      </text>
    </comment>
    <comment ref="D12" authorId="0" shapeId="0" xr:uid="{00000000-0006-0000-0500-000003000000}">
      <text>
        <r>
          <rPr>
            <sz val="10"/>
            <color rgb="FF000000"/>
            <rFont val="Arial"/>
            <family val="2"/>
            <scheme val="minor"/>
          </rPr>
          <t xml:space="preserve">Y = YES, é prioridade (es prioridad)
N = NO, não é prioridade (no es prioridad)
</t>
        </r>
      </text>
    </comment>
  </commentList>
</comments>
</file>

<file path=xl/sharedStrings.xml><?xml version="1.0" encoding="utf-8"?>
<sst xmlns="http://schemas.openxmlformats.org/spreadsheetml/2006/main" count="382" uniqueCount="340">
  <si>
    <t>8D - Formulário de Análise e Resolução de Não-Conformidades</t>
  </si>
  <si>
    <t>A metodologia 8D's (8 Disciplinas) é uma ferramenta de Gestão da Qualidade e é composta por equipas multifuncionais que se organizam com o objectivo de fornecer informação estruturada sobre qualquer problema e oferecer a sua solução. 8D's Fornece excelentes diretrizes para chegar à verdadeira “causa raiz” do problema, ao mesmo tempo que fornece maneiras de verificar se a solução realmente funciona. Com 8D's você estará curando a doença e não o sintoma como normalmente é feito, portanto, a aplicação desta metodologia pode eliminar a probabilidade de que o "mesmo" problema apareça novamente.</t>
  </si>
  <si>
    <t>D1</t>
  </si>
  <si>
    <t>D2</t>
  </si>
  <si>
    <t>D3</t>
  </si>
  <si>
    <t>D4</t>
  </si>
  <si>
    <t>D5</t>
  </si>
  <si>
    <t>D6</t>
  </si>
  <si>
    <t>D7</t>
  </si>
  <si>
    <t>D8</t>
  </si>
  <si>
    <t>Defina a equipe</t>
  </si>
  <si>
    <t>Defina o problema</t>
  </si>
  <si>
    <t>Desenvolver e implementar ações de contenção</t>
  </si>
  <si>
    <t>Identifique e verifique as causas reais</t>
  </si>
  <si>
    <t>Verificar ações corretivas ou de melhoria</t>
  </si>
  <si>
    <t>Implementar e validar ações permanentes</t>
  </si>
  <si>
    <t>Previna a recorrência do problema</t>
  </si>
  <si>
    <t>Reconhecer a Equipe de Trabalho</t>
  </si>
  <si>
    <t xml:space="preserve">D1 - FORMAÇÃO DE EQUIPE </t>
  </si>
  <si>
    <t>Certifique-se de que você tem os recursos, habilidades e experiência corretos: Líder da equipe , patrocinador e a equipe.</t>
  </si>
  <si>
    <t>Equipe de controle de qualidade - identificada?</t>
  </si>
  <si>
    <t>Departamento de TI - necessário?</t>
  </si>
  <si>
    <t>Equipe de fabricação - identificada?</t>
  </si>
  <si>
    <t>Líder 8D identificado?</t>
  </si>
  <si>
    <t>Métodos e Processos / STL - identificado?</t>
  </si>
  <si>
    <t>Patrocinador identificado?</t>
  </si>
  <si>
    <t>Logística / Cadeia de Abastecimento - identificada?</t>
  </si>
  <si>
    <t>Manutenção de Laboratório?</t>
  </si>
  <si>
    <t>Departamento de treinamento - necessário?</t>
  </si>
  <si>
    <t>Outros departamentos?</t>
  </si>
  <si>
    <t>D2 - DESCRIÇÃO DO PROBLEMA</t>
  </si>
  <si>
    <t>Detalhes do problema disponível?</t>
  </si>
  <si>
    <t>Onde foi detectado?</t>
  </si>
  <si>
    <t>Taxa de falha (em%, rendimento, quantidade) disponível?</t>
  </si>
  <si>
    <t>Quando foi detectado?</t>
  </si>
  <si>
    <t>Ponto de falha (entrada, processo, saída?) - identificado?</t>
  </si>
  <si>
    <t>Como foi detectado.</t>
  </si>
  <si>
    <t>Foto (s) de defeitos disponíveis?</t>
  </si>
  <si>
    <t>Quem o detectou?</t>
  </si>
  <si>
    <t>O que aconteceu?</t>
  </si>
  <si>
    <t>Porque isso é um problema?</t>
  </si>
  <si>
    <t>D3 - AÇÃO DE CONTENÇÃO</t>
  </si>
  <si>
    <t>Ação temporária que é colocada em prática para proteger o cliente / clientes de uma segunda repetição. Considere todas as opções possíveis para proteger o cliente.</t>
  </si>
  <si>
    <t>Produção / Fabricação / Gerenciamento informado sobre a reclamação?</t>
  </si>
  <si>
    <t>Outros clientes atendidos?</t>
  </si>
  <si>
    <t>Processo de triagem / inspeção implementado para evitar fugas?</t>
  </si>
  <si>
    <t>Isenção / Derrogação Temporária necessária?</t>
  </si>
  <si>
    <t>Portas de inspeção notificadas / aprimoradas para detectar defeitos?</t>
  </si>
  <si>
    <t>8D em andamento / atualização para o cliente concluída?</t>
  </si>
  <si>
    <t>O recall / substituição do produto é feito no cliente?</t>
  </si>
  <si>
    <t>Fluxo de substituição (outro local) / produto necessário?</t>
  </si>
  <si>
    <t>Verificação da linha de produção (ainda acontecendo na produção?)</t>
  </si>
  <si>
    <t>Estoque / Outros setores notificado para triagem, se necessário?</t>
  </si>
  <si>
    <t xml:space="preserve">D4 - IDENTIFICAÇÃO DA CAUSA RAIZ </t>
  </si>
  <si>
    <t>Identifique qual é Causa Raiz usando uma abordagem sistemática.</t>
  </si>
  <si>
    <t>Diagrama de causa e efeito (espinha de peixe) usada?</t>
  </si>
  <si>
    <t>Falha na triagem / inspeção identificada?</t>
  </si>
  <si>
    <t>5 porque a análise é realizada?</t>
  </si>
  <si>
    <t>Observou-se a anormalidade durante o período de produção?</t>
  </si>
  <si>
    <t>Identifique a causa raiz da ocorrência: Por que esse problema aparece?</t>
  </si>
  <si>
    <t>Foram feitas alterações de processo (sob derrogação / POP/ PCP ...)</t>
  </si>
  <si>
    <t xml:space="preserve">Identifique a causa raiz da detecção: Por que escapa das etapas de controle? </t>
  </si>
  <si>
    <t>D5 - PROPONHA AÇÃO CORRETIVA</t>
  </si>
  <si>
    <t>Remova a causa raiz do problema, evite que o problema reapareça: Soluções permanentes</t>
  </si>
  <si>
    <t>A solução pode ser comparada com outros problemas identificados?</t>
  </si>
  <si>
    <t>Análise de risco feita nas ações propostas?</t>
  </si>
  <si>
    <t>8D anterior já tratou deste problema?</t>
  </si>
  <si>
    <t>Avaliação de custos identificada?</t>
  </si>
  <si>
    <t>Este é um caso repetido - verifique as ações 8D anteriores?</t>
  </si>
  <si>
    <t>Treinamento / Coaching - departamento identificado?</t>
  </si>
  <si>
    <t>D6 - IMPLEMENTAR AÇÃO CORRETIVA + VALIDAR A EFICÁCIA</t>
  </si>
  <si>
    <t xml:space="preserve"> Certifique-se de que o ciclo seja coberto até os últimos processos </t>
  </si>
  <si>
    <t>Eliminação de defeito por ação de correção - 100%?</t>
  </si>
  <si>
    <t>Essa ação vai gerar outros problemas? Verificado?</t>
  </si>
  <si>
    <t>Considerada a prova de erros na solução?</t>
  </si>
  <si>
    <t>Capaz de atingir o objetivo / nível de solução proposto?</t>
  </si>
  <si>
    <t xml:space="preserve">Quanto tempo levará para implementar? </t>
  </si>
  <si>
    <t>Custo adicional a ser cobrado?</t>
  </si>
  <si>
    <t>D7 - AÇÃO PREVENTIVA</t>
  </si>
  <si>
    <t xml:space="preserve"> Ações adicionais que implementadas para garantir que não haja caso repetido (mesmo / diferente / instalação)</t>
  </si>
  <si>
    <t>Procedimentos / Documentos atualizados?</t>
  </si>
  <si>
    <t>Estação de trabalho - Lista de verificação / POP atualizada?</t>
  </si>
  <si>
    <t>A especificação precisa ser atualizada?</t>
  </si>
  <si>
    <t>Resumo do operador / produção atualizado?</t>
  </si>
  <si>
    <t>Os materiais de treinamento precisam ser atualizados?</t>
  </si>
  <si>
    <t xml:space="preserve">FMEA conduzido? </t>
  </si>
  <si>
    <t>Os gráficos de controle precisam ser atualizados?</t>
  </si>
  <si>
    <t>Fluxo do processo / PCP atualizado?</t>
  </si>
  <si>
    <t>D8 - FECHAMENTO</t>
  </si>
  <si>
    <t>Comunicar resultados, parabenizar a equipe, fechar e arquivar o relatório 8D</t>
  </si>
  <si>
    <t>Todas os 8Ds estão arquivados?</t>
  </si>
  <si>
    <t>Lições aprendidas?</t>
  </si>
  <si>
    <t>Fechado com o cliente?</t>
  </si>
  <si>
    <t>Compartilhar com unidades?</t>
  </si>
  <si>
    <t xml:space="preserve">                           D1: FORMAÇÃO DA EQUIPE</t>
  </si>
  <si>
    <t>- Certifique-se de que você tem os recursos, habilidades e experiência corretos;
- Defina o líder do projeto; o patrocinador e os membros da Equipe;
- Comunicar o escopo, objetivo do projeto, as agendas e cronograma (etapas e prazos) propostos.</t>
  </si>
  <si>
    <t>Número do Formulário:</t>
  </si>
  <si>
    <t>RIO-8D-01-2024</t>
  </si>
  <si>
    <t>Data de abertura:</t>
  </si>
  <si>
    <t>Líder 8D:</t>
  </si>
  <si>
    <t>Jéssica Netto</t>
  </si>
  <si>
    <t>Patrocinador:</t>
  </si>
  <si>
    <t xml:space="preserve">Verificar </t>
  </si>
  <si>
    <t>Equipe:</t>
  </si>
  <si>
    <t>Jéssica Netto
Maria Euclécia
Deyvid 
Lucas
Adriana
Renan
Thadeu</t>
  </si>
  <si>
    <t>Departamento:</t>
  </si>
  <si>
    <t>Melhoria Contínua</t>
  </si>
  <si>
    <t>Problema identificado:</t>
  </si>
  <si>
    <t>Perdas acima da meta (2,80%) desde o mês de setembro/23</t>
  </si>
  <si>
    <t>Prazo Projeto 8D:</t>
  </si>
  <si>
    <t xml:space="preserve">                           D2: DESCRIÇÃO DO PROBLEMA</t>
  </si>
  <si>
    <t xml:space="preserve"> -  Use estes pontos para identificar e descrever o problema o mais detalhadamente possível (tão completo e claramente com base em fatos e dados);
 - Investigue a quantidade afetada;
 - Use fotos, diagramas, dados estatísticos, fatos.</t>
  </si>
  <si>
    <t xml:space="preserve">Foto de identificação do problema    </t>
  </si>
  <si>
    <t>Por que isso é um problema?</t>
  </si>
  <si>
    <t>Retrabalhos na produção de pedidos, visto as quebras de meio par e/ou conjunto do pedido. Risco de não cumprimento ao prazo demandado pelo cliente e consequente insatisfação do cliente.</t>
  </si>
  <si>
    <t>Quando aconteceu?</t>
  </si>
  <si>
    <r>
      <t xml:space="preserve">Índice elevado tendo iniciado no mês de </t>
    </r>
    <r>
      <rPr>
        <b/>
        <sz val="10"/>
        <color theme="1"/>
        <rFont val="Arial"/>
        <family val="2"/>
        <scheme val="minor"/>
      </rPr>
      <t>Março 2023</t>
    </r>
  </si>
  <si>
    <t>Quem detectou?</t>
  </si>
  <si>
    <t>Qualidade, Processos e Operações LabRio</t>
  </si>
  <si>
    <t>Workshops - AR e HC</t>
  </si>
  <si>
    <t>Como foi detectado?</t>
  </si>
  <si>
    <t>Acompanhamento diário e mensal</t>
  </si>
  <si>
    <t>Quantidade?</t>
  </si>
  <si>
    <t>8222 lentes quebradas no mês de  setembro
138546 lentes produzidas no mês de setembro</t>
  </si>
  <si>
    <t xml:space="preserve">                           D3: AÇÕES DE CONTENÇÃO</t>
  </si>
  <si>
    <t xml:space="preserve"> - Criar e aplicar ações imediatas para conter o problema e evitar que danos maiores aconteçam;
-  As ações devem ser planejadas, elaborado e desenvolvido para agir de forma eficaz;
- Ações temporárias não podem se tornar ações permanentes.</t>
  </si>
  <si>
    <t>Contenção</t>
  </si>
  <si>
    <t>Ação:</t>
  </si>
  <si>
    <t>Eficiência prevista do resultado</t>
  </si>
  <si>
    <t>Responsável</t>
  </si>
  <si>
    <t>Data prevista</t>
  </si>
  <si>
    <t>Data realizada</t>
  </si>
  <si>
    <t xml:space="preserve">                           D4: IDENTIFICÃO DA CAUSA RAIZ</t>
  </si>
  <si>
    <t xml:space="preserve">  - Este é o momento de investigar a fundo o problema e encontrar a sua causa raiz;
-  Ferramentas para análise de causa podem ser utilizadas para apoiar a análise e ajudar a identificar a fonte do problema.</t>
  </si>
  <si>
    <t>Marque a(s) Ferramenta(s) utilizada(s) e clique no título da Ferramenta para realizar o preechimento</t>
  </si>
  <si>
    <t>🎯 FLUXOGRAMA</t>
  </si>
  <si>
    <t>🎯 CHECK LIST</t>
  </si>
  <si>
    <t>🎯 BRAINSTORMING</t>
  </si>
  <si>
    <t>🎯 GRÁFICO GERAL</t>
  </si>
  <si>
    <t xml:space="preserve">🎯 DIAGRAMA DE ISHIKAWA </t>
  </si>
  <si>
    <t>🎯 CARTA DE TENDÊNCIA</t>
  </si>
  <si>
    <t>🎯 5 PORQUÊS</t>
  </si>
  <si>
    <t>🎯 OUTRAS FERRAMENTAS</t>
  </si>
  <si>
    <t>🎯 GRÁFICO DE PARETO</t>
  </si>
  <si>
    <t xml:space="preserve">                           D5: AÇÕES CORRETIVAS</t>
  </si>
  <si>
    <t xml:space="preserve"> -  O plano de ação deve ser baseado na discussão da equipe, na análise feita (D4), na experiência da equipe e a viabilidade das ações a serem implementadas. 
 - Deve-se notar que a prioridade de implementação pode ser baseada em: 1. Impacto que tem no resultado ou problema; 2. Dificuldade de Implementação; 3. Custo e 4. Outras prioridades podem ser consideradas, dependendo do problema.</t>
  </si>
  <si>
    <t>https://docs.google.com/spreadsheets/d/1GaMncRZhizuCNcp2e_eQh5yOfSIvjRzGXpA0vn8Am5U/edit?usp=sharing</t>
  </si>
  <si>
    <t>AÇÃO | ACCIÓN</t>
  </si>
  <si>
    <t>RESPONSÁVEL</t>
  </si>
  <si>
    <r>
      <rPr>
        <b/>
        <sz val="11"/>
        <color theme="1"/>
        <rFont val="Verdana"/>
        <family val="2"/>
      </rPr>
      <t xml:space="preserve">1° Deadline
</t>
    </r>
    <r>
      <rPr>
        <b/>
        <sz val="6"/>
        <color theme="1"/>
        <rFont val="Verdana"/>
        <family val="2"/>
      </rPr>
      <t>Atualizado (Actualizado)</t>
    </r>
  </si>
  <si>
    <r>
      <rPr>
        <b/>
        <sz val="11"/>
        <color theme="1"/>
        <rFont val="Verdana"/>
        <family val="2"/>
      </rPr>
      <t xml:space="preserve">Deadline
</t>
    </r>
    <r>
      <rPr>
        <b/>
        <sz val="6"/>
        <color theme="1"/>
        <rFont val="Verdana"/>
        <family val="2"/>
      </rPr>
      <t>Atualizado (Actualizado)</t>
    </r>
  </si>
  <si>
    <t>COMENTÁRIOS</t>
  </si>
  <si>
    <t>Ação Eficaz | Acción Eficaz?</t>
  </si>
  <si>
    <t>Descrição | Descripción</t>
  </si>
  <si>
    <t>Status</t>
  </si>
  <si>
    <t>Prioridad</t>
  </si>
  <si>
    <t>Quem|Quién?</t>
  </si>
  <si>
    <t>Quando| Cuando</t>
  </si>
  <si>
    <t>Sim</t>
  </si>
  <si>
    <t>Não</t>
  </si>
  <si>
    <t>Parcialmente</t>
  </si>
  <si>
    <t xml:space="preserve">                           D6: VALIDAÇÃO DA EFICÁCIA DAS AÇÕES </t>
  </si>
  <si>
    <t>- Ações que geraram impacto positivo ao eliminar o problema devem ser consideradas pela equipe;
 - Nesta fase é necessário monitorar a execução e também os resultados no curto e longo prazo;
- Remover a ação de contenção para estabelecer a solução definitiva, evitando que o problema reapareça.</t>
  </si>
  <si>
    <t>ANTES</t>
  </si>
  <si>
    <t>DEPOIS</t>
  </si>
  <si>
    <t xml:space="preserve">                           D7: AÇÕES PREVENTIVAS</t>
  </si>
  <si>
    <t>- A equipe deve fazer a pergunta básica: O que devemos fazer para que o problema não volte a ocorrer?
- Identifique todas as ações preventivas que podem levar ao aparecimento do problema;
- Documentar todas as ações preventivas identificadas pela equipe.</t>
  </si>
  <si>
    <r>
      <rPr>
        <b/>
        <sz val="10"/>
        <color theme="1"/>
        <rFont val="Verdana"/>
        <family val="2"/>
      </rPr>
      <t>Recomendações de PREVENÇÃO:</t>
    </r>
    <r>
      <rPr>
        <sz val="10"/>
        <color theme="1"/>
        <rFont val="Verdana"/>
        <family val="2"/>
      </rPr>
      <t xml:space="preserve">
1. Definir as razões pelas quais o problema ocorreu;
2. Documentar toda a análise;
3. Explique à gestão porque o sistema permitiu que o problema surgisse;
4. Revisar o sistema de administração, práticas, procedimentos e métodos, se necessário;
5. Documentar os novos procedimentos padrão, remover os procedimentos obsoletos e revisar os padrões anteriores para implementar os novos;
6. Comunicar as descobertas mais importantes para a gestão e operação;
7. Verifique se os resultados podem ser implementados em outras áreas.</t>
    </r>
  </si>
  <si>
    <t>Atualize a documentação técnica necessária:</t>
  </si>
  <si>
    <t>Documentação</t>
  </si>
  <si>
    <t>Necessidade?</t>
  </si>
  <si>
    <t>N° do Documento</t>
  </si>
  <si>
    <t>Data</t>
  </si>
  <si>
    <t>Check list / PCP</t>
  </si>
  <si>
    <t>Documentos Controlados (Ex. POP)</t>
  </si>
  <si>
    <t>Fluxo do Processo</t>
  </si>
  <si>
    <t>Plano de Manutenção</t>
  </si>
  <si>
    <t>Layout</t>
  </si>
  <si>
    <t>Outros</t>
  </si>
  <si>
    <t xml:space="preserve">                           D8: FECHAMENTO</t>
  </si>
  <si>
    <t xml:space="preserve"> - Identifique as lições aprendidas com o trabalho em equipe 8D;
- Comunicar os resultados 8D;
- Parabenize e use o máximo de formas de reconhecimento possível a equipe 8D e os outros colaboradores;
- Finalize e arquive o relatório 8D.</t>
  </si>
  <si>
    <t>8D Aprovado?</t>
  </si>
  <si>
    <t>8D Eficaz?</t>
  </si>
  <si>
    <t>Data Encerramento</t>
  </si>
  <si>
    <r>
      <rPr>
        <b/>
        <sz val="10"/>
        <color theme="1"/>
        <rFont val="Verdana"/>
        <family val="2"/>
      </rPr>
      <t>Como felicitar uma equipe de solução de problemas?</t>
    </r>
    <r>
      <rPr>
        <sz val="10"/>
        <color theme="1"/>
        <rFont val="Verdana"/>
        <family val="2"/>
      </rPr>
      <t xml:space="preserve">
1.- Mencionar fatos pendentes realizados durante a solução de problemas;
2.- Mencionar nomes;
3.- Prepare uma carta de parabéns ou agradecimentos;
4.- Postar agradecimentos nos murais e redes de comunicação.</t>
    </r>
  </si>
  <si>
    <t>Descreva como a Equipe foi parabenizada e os dados específicos (como datas, locais, etc.):</t>
  </si>
  <si>
    <t>Configuração do N° do 8D</t>
  </si>
  <si>
    <t>Laboratório</t>
  </si>
  <si>
    <t xml:space="preserve">Sigla </t>
  </si>
  <si>
    <t>Númeração Sequêncial</t>
  </si>
  <si>
    <t>Ceditop</t>
  </si>
  <si>
    <t>CED</t>
  </si>
  <si>
    <t>001 a 999</t>
  </si>
  <si>
    <t>Coating CE</t>
  </si>
  <si>
    <t>MCE</t>
  </si>
  <si>
    <t>Coating DF</t>
  </si>
  <si>
    <t>MDF</t>
  </si>
  <si>
    <t>Coating MG</t>
  </si>
  <si>
    <t>MMG</t>
  </si>
  <si>
    <t>Número do A3</t>
  </si>
  <si>
    <t>Coating PR</t>
  </si>
  <si>
    <t>MPR</t>
  </si>
  <si>
    <r>
      <rPr>
        <b/>
        <sz val="12"/>
        <color theme="1"/>
        <rFont val="Calibri, Arial"/>
      </rPr>
      <t xml:space="preserve">FOR.106.R1: Formulário 8D - Método para Solução de Problemas - </t>
    </r>
    <r>
      <rPr>
        <b/>
        <sz val="12"/>
        <color rgb="FF0000CC"/>
        <rFont val="Calibri, Arial"/>
      </rPr>
      <t>Sigla Laboratório</t>
    </r>
    <r>
      <rPr>
        <b/>
        <sz val="12"/>
        <color theme="1"/>
        <rFont val="Calibri, Arial"/>
      </rPr>
      <t>.</t>
    </r>
    <r>
      <rPr>
        <b/>
        <sz val="12"/>
        <color rgb="FF00B050"/>
        <rFont val="Calibri, Arial"/>
      </rPr>
      <t>Numeração Sequencial</t>
    </r>
  </si>
  <si>
    <t>Coating RS</t>
  </si>
  <si>
    <t>MRS</t>
  </si>
  <si>
    <t>Coating SP</t>
  </si>
  <si>
    <t>MSP</t>
  </si>
  <si>
    <t>Comópticos</t>
  </si>
  <si>
    <t>COM</t>
  </si>
  <si>
    <t>Comprol</t>
  </si>
  <si>
    <t>COP</t>
  </si>
  <si>
    <t>Exemplo:</t>
  </si>
  <si>
    <t>Digitop</t>
  </si>
  <si>
    <t>DIG</t>
  </si>
  <si>
    <t>FOR.106.R1: Formulário 8D - Método para Solução de Problemas - QBR.001</t>
  </si>
  <si>
    <t>Embrapol Sul PR</t>
  </si>
  <si>
    <t>EPR</t>
  </si>
  <si>
    <t>Embrapol Sul RS</t>
  </si>
  <si>
    <t>ERS</t>
  </si>
  <si>
    <t>Farol</t>
  </si>
  <si>
    <t>FAR</t>
  </si>
  <si>
    <t>Grown</t>
  </si>
  <si>
    <t>YTT</t>
  </si>
  <si>
    <t>Lab Rio</t>
  </si>
  <si>
    <t>RIO</t>
  </si>
  <si>
    <t>Qualidade Brasil</t>
  </si>
  <si>
    <t>QBR</t>
  </si>
  <si>
    <t>Optiminas</t>
  </si>
  <si>
    <t>OPT</t>
  </si>
  <si>
    <t>PSA Nilo</t>
  </si>
  <si>
    <t>PSA</t>
  </si>
  <si>
    <t>Repro</t>
  </si>
  <si>
    <t>REP</t>
  </si>
  <si>
    <t>Riachuelo</t>
  </si>
  <si>
    <t>RIA</t>
  </si>
  <si>
    <t>RX Recife</t>
  </si>
  <si>
    <t>RXR</t>
  </si>
  <si>
    <t>Technopark</t>
  </si>
  <si>
    <t>TKP</t>
  </si>
  <si>
    <t>Tecnolens</t>
  </si>
  <si>
    <t>TEC</t>
  </si>
  <si>
    <t>Unilab</t>
  </si>
  <si>
    <t>UNI</t>
  </si>
  <si>
    <t>Visolab</t>
  </si>
  <si>
    <t>VIS</t>
  </si>
  <si>
    <t>FLUXOGRAMA</t>
  </si>
  <si>
    <r>
      <rPr>
        <b/>
        <sz val="10"/>
        <color theme="1"/>
        <rFont val="Verdana"/>
        <family val="2"/>
      </rPr>
      <t xml:space="preserve">Utilizar o aplicativo: </t>
    </r>
    <r>
      <rPr>
        <b/>
        <sz val="10"/>
        <color rgb="FFFF0000"/>
        <rFont val="Verdana"/>
        <family val="2"/>
      </rPr>
      <t xml:space="preserve">Diagram.drawio </t>
    </r>
    <r>
      <rPr>
        <b/>
        <sz val="10"/>
        <color theme="1"/>
        <rFont val="Verdana"/>
        <family val="2"/>
      </rPr>
      <t>para criar seu fluxograma</t>
    </r>
  </si>
  <si>
    <t>BRAINSTORMING</t>
  </si>
  <si>
    <t>PARTICIPANTES</t>
  </si>
  <si>
    <t xml:space="preserve">PROBLEMA </t>
  </si>
  <si>
    <t>IDEIAS</t>
  </si>
  <si>
    <t>DIAGRAMA DE ISHIKAWA (ESPINHA DE PEIXE)</t>
  </si>
  <si>
    <t>PONTOS ADICIONAIS (BRAINSTORMING)</t>
  </si>
  <si>
    <t>Materiais
 Máquina</t>
  </si>
  <si>
    <t>Método</t>
  </si>
  <si>
    <t>Mão-de-obra</t>
  </si>
  <si>
    <t>REGRAS DE LANÇAMENTO - GX SEGUINDO DATAS</t>
  </si>
  <si>
    <t>PROGRAMAR REUNIÃO COM JT</t>
  </si>
  <si>
    <t>INSTABILIDADE DO ANTI REFLEXO (E EQUIP. EM GERAL)</t>
  </si>
  <si>
    <t>PARADA NO REPASSE DE INFORMAÇÃO DO VOLUME DE LOTE H/H DA OPERAÇÃO PARA O ESTOQUE</t>
  </si>
  <si>
    <t>AUSÊNCIA DE BALANCEAMENTO DE PESSOAS NAS CÉLULAS EM TEMPO REAL</t>
  </si>
  <si>
    <t>COMPREENDER CAPACIDADE DA SURF.</t>
  </si>
  <si>
    <r>
      <rPr>
        <sz val="16"/>
        <color rgb="FF000000"/>
        <rFont val="Arial"/>
        <scheme val="minor"/>
      </rPr>
      <t xml:space="preserve">REPENSAR RETENÇÕES NAS CÉLULAS (WIP) /
 </t>
    </r>
    <r>
      <rPr>
        <sz val="16"/>
        <color rgb="FFFF0000"/>
        <rFont val="Arial"/>
        <scheme val="minor"/>
      </rPr>
      <t>CÁLCULO DE WIP PADRÃO POR CÉLULA</t>
    </r>
  </si>
  <si>
    <t>AMPLIAR COMUNICAÇÃO QUANTO AOS OBJETIVOS (METAS H/H) DE CADA CÉLULA</t>
  </si>
  <si>
    <t>REDUÇÃO NA PRODUÇÃO ENTRE TURNOS</t>
  </si>
  <si>
    <t>ESTUDO DE CAPACIDADE DAS DLPs, PARA ATENDER RX E STELLEST</t>
  </si>
  <si>
    <t>Problema</t>
  </si>
  <si>
    <t>VERIFICAR CURVA DE ENTRADA DOS PEDIDOS NO LABRIO (INCLUINDO XR)</t>
  </si>
  <si>
    <t xml:space="preserve">ESTUDO DE CAPACIDADE DAS MÁQUINAS (AUMENTO DE CPK) E PESSOAS  </t>
  </si>
  <si>
    <t>MOMENTO DE ANÁLISE H/H DAS PERDAS - DE XR E STELLEST</t>
  </si>
  <si>
    <t>REBALANCEAMENTO DE LINHA</t>
  </si>
  <si>
    <t>INICIAR MEDIÇÃO DO TEMPO DE PRA E FITA</t>
  </si>
  <si>
    <t>VERIFICAR TEMPO DE LEITURA DE XR NAS PRA's e CLBS</t>
  </si>
  <si>
    <t>NA MEDIÇÃO DE PRA (CONSIDERAR LEITURA DE GX) SEQUENCIALMENTE</t>
  </si>
  <si>
    <t>REVISITAR TEMPO DE CICLO DA PROMAPPER (TARGET 120 L/H)</t>
  </si>
  <si>
    <t>EM VERIFICAÇÃO EMBALAGENS (´PARA PADRONIZAÇÃO)</t>
  </si>
  <si>
    <t>ENVOLTÓRIOS DE LENTES PRONTAS (VERIFICAR PADRÃO ÁSIA)</t>
  </si>
  <si>
    <t>TEMPERATURA ELEVADA DO CHILLER IMPACTA OPERAÇÃO</t>
  </si>
  <si>
    <t>ALTA DEMANDA PARA 1° E 2° LEITURA DE XR NA PROMAPPER</t>
  </si>
  <si>
    <t>TEMPO DE POLIMENTO DE STELLEST "ELEVADO" (PC)</t>
  </si>
  <si>
    <t>VARIAÇÃO NO TEMPO DE LEITURA NA PROMAPPER (ACIMA DO TARGET DE 120 LENTES/HORA)</t>
  </si>
  <si>
    <t>Matéria-prima</t>
  </si>
  <si>
    <t>Meio ambiente</t>
  </si>
  <si>
    <t>Medida</t>
  </si>
  <si>
    <t>5 PORQUÊS</t>
  </si>
  <si>
    <t>Problema:</t>
  </si>
  <si>
    <t>Pergunta</t>
  </si>
  <si>
    <t>Resposta</t>
  </si>
  <si>
    <t>1° Por quê?</t>
  </si>
  <si>
    <t>2° Por quê?</t>
  </si>
  <si>
    <t>3° Por quê?</t>
  </si>
  <si>
    <t>4° Por quê?</t>
  </si>
  <si>
    <t>5° Por quê?</t>
  </si>
  <si>
    <t xml:space="preserve">Causa Raiz Identificada?    </t>
  </si>
  <si>
    <t>GRÁFICO DE PARETO</t>
  </si>
  <si>
    <t>QUEBRAS POR SETOR</t>
  </si>
  <si>
    <t>Descrição</t>
  </si>
  <si>
    <t>Incidência</t>
  </si>
  <si>
    <t>% Percentual</t>
  </si>
  <si>
    <t>% Acumulada</t>
  </si>
  <si>
    <t>AR</t>
  </si>
  <si>
    <t>HC</t>
  </si>
  <si>
    <t>SURFACING</t>
  </si>
  <si>
    <t>FINISHING</t>
  </si>
  <si>
    <t>WITHOUT DEFINITION</t>
  </si>
  <si>
    <t>TINTING</t>
  </si>
  <si>
    <t>TIPOS DE QUEBRA</t>
  </si>
  <si>
    <t>SUJEIRA/ MANCHA</t>
  </si>
  <si>
    <t>ARRANHÃO / MANUSEIO</t>
  </si>
  <si>
    <t>PT/ PARTI/ CRATER</t>
  </si>
  <si>
    <t>TRINC / QUEB / LASC</t>
  </si>
  <si>
    <t>MISTURA</t>
  </si>
  <si>
    <t>VERIFICAR</t>
  </si>
  <si>
    <t>CHECK LIST (FOLHA DE VERIFICAÇÃO)</t>
  </si>
  <si>
    <t>Descrição:</t>
  </si>
  <si>
    <t>Data:</t>
  </si>
  <si>
    <t>Inspeção</t>
  </si>
  <si>
    <t>Observações</t>
  </si>
  <si>
    <t>GRÁFICO GERAL</t>
  </si>
  <si>
    <t>Título: XXXX</t>
  </si>
  <si>
    <t>Item</t>
  </si>
  <si>
    <t>Quant.</t>
  </si>
  <si>
    <t>%</t>
  </si>
  <si>
    <t>Exemplo 1</t>
  </si>
  <si>
    <t>Exemplo 2</t>
  </si>
  <si>
    <t>Exemplo 3</t>
  </si>
  <si>
    <t>Exemplo 4</t>
  </si>
  <si>
    <t>Exemplo 5</t>
  </si>
  <si>
    <t>Exemplo 6</t>
  </si>
  <si>
    <t>Exemplo 7</t>
  </si>
  <si>
    <t>Exemplo 8</t>
  </si>
  <si>
    <t>Exemplo 9</t>
  </si>
  <si>
    <t>CARTA DE TENDÊNCIA</t>
  </si>
  <si>
    <t>AM</t>
  </si>
  <si>
    <t>PM</t>
  </si>
  <si>
    <t> 6 </t>
  </si>
  <si>
    <t> 7 </t>
  </si>
  <si>
    <t> 8 </t>
  </si>
  <si>
    <t> 9 </t>
  </si>
  <si>
    <t>OUTRAS FERRAMENTAS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</si>
</sst>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>
    <font>
      <sz val="10"/>
      <color rgb="FF000000"/>
      <name val="Arial"/>
      <scheme val="minor"/>
    </font>
    <font>
      <b/>
      <sz val="14"/>
      <color theme="1"/>
      <name val="Verdana"/>
      <family val="2"/>
    </font>
    <font>
      <sz val="10"/>
      <name val="Arial"/>
      <family val="2"/>
    </font>
    <font>
      <sz val="10"/>
      <color theme="1"/>
      <name val="Verdana"/>
      <family val="2"/>
    </font>
    <font>
      <b/>
      <u/>
      <sz val="14"/>
      <color rgb="FFFFFFFF"/>
      <name val="Verdana"/>
      <family val="2"/>
    </font>
    <font>
      <sz val="10"/>
      <color theme="1"/>
      <name val="Arial"/>
      <family val="2"/>
      <scheme val="minor"/>
    </font>
    <font>
      <sz val="10"/>
      <color rgb="FFFFFFFF"/>
      <name val="Verdana"/>
      <family val="2"/>
    </font>
    <font>
      <b/>
      <sz val="10"/>
      <color rgb="FFFFFFFF"/>
      <name val="Verdana"/>
      <family val="2"/>
    </font>
    <font>
      <sz val="8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u/>
      <sz val="10"/>
      <color rgb="FF1155CC"/>
      <name val="Verdana"/>
      <family val="2"/>
    </font>
    <font>
      <sz val="12"/>
      <color theme="1"/>
      <name val="Verdana"/>
      <family val="2"/>
    </font>
    <font>
      <b/>
      <sz val="9"/>
      <color rgb="FFFFFFFF"/>
      <name val="Verdana"/>
      <family val="2"/>
    </font>
    <font>
      <sz val="10"/>
      <color rgb="FF000000"/>
      <name val="Verdana"/>
      <family val="2"/>
    </font>
    <font>
      <sz val="9"/>
      <color rgb="FF000000"/>
      <name val="Verdana"/>
      <family val="2"/>
    </font>
    <font>
      <b/>
      <sz val="9"/>
      <color theme="1"/>
      <name val="Verdana"/>
      <family val="2"/>
    </font>
    <font>
      <b/>
      <sz val="9"/>
      <color rgb="FFFF0000"/>
      <name val="Verdana"/>
      <family val="2"/>
    </font>
    <font>
      <b/>
      <sz val="10"/>
      <color rgb="FF000000"/>
      <name val="Verdana"/>
      <family val="2"/>
    </font>
    <font>
      <b/>
      <sz val="6"/>
      <color rgb="FFFF0000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9"/>
      <color theme="1"/>
      <name val="Verdana"/>
      <family val="2"/>
    </font>
    <font>
      <sz val="14"/>
      <color theme="1"/>
      <name val="Arial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&quot;Quattrocento Sans&quot;"/>
    </font>
    <font>
      <b/>
      <sz val="11"/>
      <color theme="1"/>
      <name val="&quot;Quattrocento Sans&quot;"/>
    </font>
    <font>
      <sz val="11"/>
      <color theme="1"/>
      <name val="&quot;Quattrocento Sans&quot;"/>
    </font>
    <font>
      <b/>
      <sz val="12"/>
      <color theme="1"/>
      <name val="Calibri"/>
      <family val="2"/>
    </font>
    <font>
      <sz val="11"/>
      <color theme="1"/>
      <name val="Quattrocento Sans"/>
    </font>
    <font>
      <b/>
      <sz val="14"/>
      <color theme="0"/>
      <name val="Verdana"/>
      <family val="2"/>
    </font>
    <font>
      <u/>
      <sz val="10"/>
      <color rgb="FF1155CC"/>
      <name val="Arial"/>
      <family val="2"/>
    </font>
    <font>
      <b/>
      <sz val="14"/>
      <color theme="0"/>
      <name val="Quattrocento Sans"/>
    </font>
    <font>
      <sz val="11"/>
      <color theme="1"/>
      <name val="Arial"/>
      <family val="2"/>
      <scheme val="minor"/>
    </font>
    <font>
      <b/>
      <sz val="14"/>
      <color rgb="FFFFFFFF"/>
      <name val="Verdana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sz val="18"/>
      <color rgb="FF1F497D"/>
      <name val="Calibri"/>
      <family val="2"/>
    </font>
    <font>
      <b/>
      <sz val="12"/>
      <color theme="1"/>
      <name val="Verdana"/>
      <family val="2"/>
    </font>
    <font>
      <b/>
      <sz val="10"/>
      <color theme="1"/>
      <name val="Arial"/>
      <family val="2"/>
      <scheme val="minor"/>
    </font>
    <font>
      <sz val="10"/>
      <color rgb="FF525066"/>
      <name val="Verdana"/>
      <family val="2"/>
    </font>
    <font>
      <sz val="11"/>
      <color rgb="FF666666"/>
      <name val="Arial"/>
      <family val="2"/>
      <scheme val="minor"/>
    </font>
    <font>
      <b/>
      <sz val="7"/>
      <color rgb="FF666666"/>
      <name val="Quattrocento Sans"/>
    </font>
    <font>
      <b/>
      <sz val="10"/>
      <color rgb="FF666666"/>
      <name val="Verdana"/>
      <family val="2"/>
    </font>
    <font>
      <sz val="10"/>
      <color rgb="FF666666"/>
      <name val="Verdana"/>
      <family val="2"/>
    </font>
    <font>
      <u/>
      <sz val="11"/>
      <color rgb="FF1155CC"/>
      <name val="Arial"/>
      <family val="2"/>
      <scheme val="minor"/>
    </font>
    <font>
      <b/>
      <sz val="6"/>
      <color theme="1"/>
      <name val="Verdana"/>
      <family val="2"/>
    </font>
    <font>
      <b/>
      <sz val="12"/>
      <color theme="1"/>
      <name val="Calibri, Arial"/>
    </font>
    <font>
      <b/>
      <sz val="12"/>
      <color rgb="FF0000CC"/>
      <name val="Calibri, Arial"/>
    </font>
    <font>
      <b/>
      <sz val="12"/>
      <color rgb="FF00B050"/>
      <name val="Calibri, Arial"/>
    </font>
    <font>
      <b/>
      <sz val="10"/>
      <color rgb="FFFF0000"/>
      <name val="Verdana"/>
      <family val="2"/>
    </font>
    <font>
      <u/>
      <sz val="10"/>
      <color theme="10"/>
      <name val="Arial"/>
      <family val="2"/>
      <scheme val="minor"/>
    </font>
    <font>
      <sz val="10"/>
      <color rgb="FFFF0000"/>
      <name val="Arial"/>
      <family val="2"/>
    </font>
    <font>
      <sz val="9"/>
      <name val="Arial"/>
      <family val="2"/>
    </font>
    <font>
      <sz val="10"/>
      <color rgb="FFFF0000"/>
      <name val="Verdana"/>
      <family val="2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20"/>
      <color rgb="FF434343"/>
      <name val="Verdana"/>
      <family val="2"/>
    </font>
    <font>
      <sz val="20"/>
      <color rgb="FF000000"/>
      <name val="Arial"/>
      <family val="2"/>
      <scheme val="minor"/>
    </font>
    <font>
      <sz val="20"/>
      <name val="Arial"/>
      <family val="2"/>
    </font>
    <font>
      <b/>
      <sz val="20"/>
      <color rgb="FFFFFFFF"/>
      <name val="Verdana"/>
      <family val="2"/>
    </font>
    <font>
      <sz val="12"/>
      <name val="Arial"/>
      <family val="2"/>
    </font>
    <font>
      <sz val="16"/>
      <color rgb="FFFF0000"/>
      <name val="Arial"/>
      <family val="2"/>
      <scheme val="minor"/>
    </font>
    <font>
      <sz val="16"/>
      <name val="Arial"/>
      <family val="2"/>
      <scheme val="minor"/>
    </font>
    <font>
      <sz val="16"/>
      <color rgb="FF000000"/>
      <name val="Arial"/>
      <scheme val="minor"/>
    </font>
    <font>
      <sz val="16"/>
      <color rgb="FFFF0000"/>
      <name val="Arial"/>
      <scheme val="minor"/>
    </font>
    <font>
      <sz val="16"/>
      <color rgb="FF00B050"/>
      <name val="Arial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94429"/>
        <bgColor rgb="FF494429"/>
      </patternFill>
    </fill>
    <fill>
      <patternFill patternType="solid">
        <fgColor rgb="FF000080"/>
        <bgColor rgb="FF000080"/>
      </patternFill>
    </fill>
    <fill>
      <patternFill patternType="solid">
        <fgColor rgb="FF262626"/>
        <bgColor rgb="FF262626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1F497D"/>
        <bgColor rgb="FF1F497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theme="0"/>
      </patternFill>
    </fill>
  </fills>
  <borders count="7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 style="thick">
        <color rgb="FFFFFFF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 style="thin">
        <color rgb="FF7F7F7F"/>
      </left>
      <right style="hair">
        <color rgb="FF7F7F7F"/>
      </right>
      <top style="thin">
        <color rgb="FF7F7F7F"/>
      </top>
      <bottom style="hair">
        <color rgb="FF7F7F7F"/>
      </bottom>
      <diagonal/>
    </border>
    <border>
      <left style="hair">
        <color rgb="FF7F7F7F"/>
      </left>
      <right/>
      <top style="thin">
        <color rgb="FF7F7F7F"/>
      </top>
      <bottom style="hair">
        <color rgb="FF7F7F7F"/>
      </bottom>
      <diagonal/>
    </border>
    <border>
      <left/>
      <right/>
      <top style="thin">
        <color rgb="FF7F7F7F"/>
      </top>
      <bottom style="hair">
        <color rgb="FF7F7F7F"/>
      </bottom>
      <diagonal/>
    </border>
    <border>
      <left/>
      <right style="hair">
        <color rgb="FF7F7F7F"/>
      </right>
      <top style="thin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thin">
        <color rgb="FF7F7F7F"/>
      </top>
      <bottom style="hair">
        <color rgb="FF7F7F7F"/>
      </bottom>
      <diagonal/>
    </border>
    <border>
      <left/>
      <right style="thin">
        <color rgb="FF7F7F7F"/>
      </right>
      <top style="thin">
        <color rgb="FF7F7F7F"/>
      </top>
      <bottom style="hair">
        <color rgb="FF7F7F7F"/>
      </bottom>
      <diagonal/>
    </border>
    <border>
      <left style="thin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/>
      <top style="hair">
        <color rgb="FF7F7F7F"/>
      </top>
      <bottom style="hair">
        <color rgb="FF7F7F7F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/>
      <right style="thin">
        <color rgb="FF7F7F7F"/>
      </right>
      <top style="hair">
        <color rgb="FF7F7F7F"/>
      </top>
      <bottom style="hair">
        <color rgb="FF7F7F7F"/>
      </bottom>
      <diagonal/>
    </border>
    <border>
      <left style="thin">
        <color rgb="FF7F7F7F"/>
      </left>
      <right style="hair">
        <color rgb="FF7F7F7F"/>
      </right>
      <top style="hair">
        <color rgb="FF7F7F7F"/>
      </top>
      <bottom style="thin">
        <color rgb="FF7F7F7F"/>
      </bottom>
      <diagonal/>
    </border>
    <border>
      <left style="hair">
        <color rgb="FF7F7F7F"/>
      </left>
      <right/>
      <top style="hair">
        <color rgb="FF7F7F7F"/>
      </top>
      <bottom style="thin">
        <color rgb="FF7F7F7F"/>
      </bottom>
      <diagonal/>
    </border>
    <border>
      <left/>
      <right/>
      <top style="hair">
        <color rgb="FF7F7F7F"/>
      </top>
      <bottom style="thin">
        <color rgb="FF7F7F7F"/>
      </bottom>
      <diagonal/>
    </border>
    <border>
      <left/>
      <right style="hair">
        <color rgb="FF7F7F7F"/>
      </right>
      <top style="hair">
        <color rgb="FF7F7F7F"/>
      </top>
      <bottom style="thin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thin">
        <color rgb="FF7F7F7F"/>
      </bottom>
      <diagonal/>
    </border>
    <border>
      <left/>
      <right style="thin">
        <color rgb="FF7F7F7F"/>
      </right>
      <top style="hair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rgb="FF7F7F7F"/>
      </left>
      <right/>
      <top/>
      <bottom/>
      <diagonal/>
    </border>
    <border>
      <left/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 style="thin">
        <color rgb="FF7F7F7F"/>
      </left>
      <right/>
      <top/>
      <bottom style="thin">
        <color rgb="FF666666"/>
      </bottom>
      <diagonal/>
    </border>
    <border>
      <left/>
      <right style="thin">
        <color rgb="FF7F7F7F"/>
      </right>
      <top/>
      <bottom style="thin">
        <color rgb="FF66666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3" fillId="0" borderId="0" applyNumberFormat="0" applyFill="0" applyBorder="0" applyAlignment="0" applyProtection="0"/>
  </cellStyleXfs>
  <cellXfs count="332">
    <xf numFmtId="0" fontId="0" fillId="0" borderId="0" xfId="0"/>
    <xf numFmtId="0" fontId="4" fillId="3" borderId="6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8" fillId="0" borderId="0" xfId="0" applyFont="1"/>
    <xf numFmtId="0" fontId="9" fillId="6" borderId="14" xfId="0" applyFont="1" applyFill="1" applyBorder="1" applyAlignment="1">
      <alignment vertical="center" wrapText="1"/>
    </xf>
    <xf numFmtId="0" fontId="5" fillId="0" borderId="15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9" fillId="2" borderId="0" xfId="0" applyFont="1" applyFill="1" applyAlignment="1">
      <alignment horizontal="left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vertical="center"/>
    </xf>
    <xf numFmtId="0" fontId="9" fillId="2" borderId="14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8" fillId="2" borderId="14" xfId="0" applyFont="1" applyFill="1" applyBorder="1" applyAlignment="1">
      <alignment horizontal="center" vertical="center"/>
    </xf>
    <xf numFmtId="14" fontId="8" fillId="2" borderId="14" xfId="0" applyNumberFormat="1" applyFont="1" applyFill="1" applyBorder="1" applyAlignment="1">
      <alignment horizontal="center" vertical="center"/>
    </xf>
    <xf numFmtId="14" fontId="8" fillId="2" borderId="14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10" fillId="0" borderId="0" xfId="0" applyFont="1"/>
    <xf numFmtId="0" fontId="10" fillId="2" borderId="0" xfId="0" applyFont="1" applyFill="1"/>
    <xf numFmtId="0" fontId="13" fillId="2" borderId="0" xfId="0" applyFont="1" applyFill="1" applyAlignment="1">
      <alignment vertical="center" wrapText="1"/>
    </xf>
    <xf numFmtId="0" fontId="22" fillId="12" borderId="0" xfId="0" applyFont="1" applyFill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 wrapText="1"/>
    </xf>
    <xf numFmtId="0" fontId="22" fillId="12" borderId="14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1" fontId="21" fillId="2" borderId="18" xfId="0" applyNumberFormat="1" applyFont="1" applyFill="1" applyBorder="1" applyAlignment="1">
      <alignment horizontal="center" vertical="center" wrapText="1"/>
    </xf>
    <xf numFmtId="1" fontId="21" fillId="2" borderId="5" xfId="0" applyNumberFormat="1" applyFont="1" applyFill="1" applyBorder="1" applyAlignment="1">
      <alignment horizontal="center" vertical="center" wrapText="1"/>
    </xf>
    <xf numFmtId="1" fontId="21" fillId="2" borderId="14" xfId="0" applyNumberFormat="1" applyFont="1" applyFill="1" applyBorder="1" applyAlignment="1">
      <alignment horizontal="center" vertical="center" wrapText="1"/>
    </xf>
    <xf numFmtId="14" fontId="21" fillId="2" borderId="13" xfId="0" applyNumberFormat="1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14" fontId="21" fillId="2" borderId="14" xfId="0" applyNumberFormat="1" applyFont="1" applyFill="1" applyBorder="1" applyAlignment="1">
      <alignment horizontal="center" vertical="center" wrapText="1"/>
    </xf>
    <xf numFmtId="1" fontId="21" fillId="2" borderId="0" xfId="0" applyNumberFormat="1" applyFont="1" applyFill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1" fontId="21" fillId="2" borderId="2" xfId="0" applyNumberFormat="1" applyFont="1" applyFill="1" applyBorder="1" applyAlignment="1">
      <alignment horizontal="center" vertical="center" wrapText="1"/>
    </xf>
    <xf numFmtId="14" fontId="21" fillId="2" borderId="5" xfId="0" applyNumberFormat="1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1" fontId="21" fillId="2" borderId="20" xfId="0" applyNumberFormat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vertical="center" wrapText="1"/>
    </xf>
    <xf numFmtId="0" fontId="23" fillId="2" borderId="13" xfId="0" applyFont="1" applyFill="1" applyBorder="1" applyAlignment="1">
      <alignment vertical="center" wrapText="1"/>
    </xf>
    <xf numFmtId="0" fontId="9" fillId="6" borderId="14" xfId="0" applyFont="1" applyFill="1" applyBorder="1" applyAlignment="1">
      <alignment horizontal="center" vertical="center"/>
    </xf>
    <xf numFmtId="14" fontId="9" fillId="6" borderId="1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14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23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14" fontId="10" fillId="2" borderId="0" xfId="0" applyNumberFormat="1" applyFont="1" applyFill="1"/>
    <xf numFmtId="0" fontId="9" fillId="6" borderId="1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24" fillId="0" borderId="0" xfId="0" applyFont="1"/>
    <xf numFmtId="0" fontId="26" fillId="0" borderId="0" xfId="0" applyFont="1"/>
    <xf numFmtId="0" fontId="27" fillId="13" borderId="21" xfId="0" applyFont="1" applyFill="1" applyBorder="1" applyAlignment="1">
      <alignment wrapText="1"/>
    </xf>
    <xf numFmtId="0" fontId="29" fillId="0" borderId="21" xfId="0" applyFont="1" applyBorder="1" applyAlignment="1">
      <alignment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5" fillId="14" borderId="0" xfId="0" applyFont="1" applyFill="1" applyAlignment="1">
      <alignment vertical="center"/>
    </xf>
    <xf numFmtId="0" fontId="35" fillId="14" borderId="0" xfId="0" applyFont="1" applyFill="1"/>
    <xf numFmtId="0" fontId="35" fillId="0" borderId="0" xfId="0" applyFont="1"/>
    <xf numFmtId="0" fontId="37" fillId="0" borderId="0" xfId="0" applyFont="1"/>
    <xf numFmtId="0" fontId="13" fillId="0" borderId="0" xfId="0" applyFont="1"/>
    <xf numFmtId="0" fontId="3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vertical="center" wrapText="1"/>
    </xf>
    <xf numFmtId="0" fontId="39" fillId="0" borderId="0" xfId="0" applyFont="1"/>
    <xf numFmtId="0" fontId="36" fillId="14" borderId="61" xfId="0" applyFont="1" applyFill="1" applyBorder="1" applyAlignment="1">
      <alignment horizontal="center" vertical="center"/>
    </xf>
    <xf numFmtId="0" fontId="36" fillId="14" borderId="62" xfId="0" applyFont="1" applyFill="1" applyBorder="1" applyAlignment="1">
      <alignment horizontal="center" vertical="center"/>
    </xf>
    <xf numFmtId="0" fontId="34" fillId="14" borderId="66" xfId="0" applyFont="1" applyFill="1" applyBorder="1" applyAlignment="1">
      <alignment horizontal="center" vertical="center" wrapText="1"/>
    </xf>
    <xf numFmtId="0" fontId="34" fillId="14" borderId="67" xfId="0" applyFont="1" applyFill="1" applyBorder="1" applyAlignment="1">
      <alignment horizontal="center" vertical="center" wrapText="1"/>
    </xf>
    <xf numFmtId="0" fontId="35" fillId="14" borderId="68" xfId="0" applyFont="1" applyFill="1" applyBorder="1"/>
    <xf numFmtId="0" fontId="40" fillId="16" borderId="33" xfId="0" applyFont="1" applyFill="1" applyBorder="1" applyAlignment="1">
      <alignment horizontal="center" vertical="center" wrapText="1"/>
    </xf>
    <xf numFmtId="0" fontId="35" fillId="0" borderId="33" xfId="0" applyFont="1" applyBorder="1"/>
    <xf numFmtId="0" fontId="35" fillId="0" borderId="72" xfId="0" applyFont="1" applyBorder="1"/>
    <xf numFmtId="0" fontId="35" fillId="0" borderId="36" xfId="0" applyFont="1" applyBorder="1"/>
    <xf numFmtId="0" fontId="35" fillId="0" borderId="73" xfId="0" applyFont="1" applyBorder="1"/>
    <xf numFmtId="0" fontId="31" fillId="14" borderId="0" xfId="0" applyFont="1" applyFill="1" applyAlignment="1">
      <alignment vertical="center"/>
    </xf>
    <xf numFmtId="0" fontId="41" fillId="14" borderId="0" xfId="0" applyFont="1" applyFill="1"/>
    <xf numFmtId="0" fontId="5" fillId="14" borderId="0" xfId="0" applyFont="1" applyFill="1"/>
    <xf numFmtId="10" fontId="42" fillId="2" borderId="69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5" fillId="0" borderId="34" xfId="0" applyFont="1" applyBorder="1"/>
    <xf numFmtId="0" fontId="35" fillId="0" borderId="61" xfId="0" applyFont="1" applyBorder="1"/>
    <xf numFmtId="0" fontId="35" fillId="0" borderId="71" xfId="0" applyFont="1" applyBorder="1"/>
    <xf numFmtId="0" fontId="35" fillId="0" borderId="70" xfId="0" applyFont="1" applyBorder="1"/>
    <xf numFmtId="0" fontId="43" fillId="0" borderId="69" xfId="0" applyFont="1" applyBorder="1"/>
    <xf numFmtId="0" fontId="35" fillId="0" borderId="35" xfId="0" applyFont="1" applyBorder="1"/>
    <xf numFmtId="0" fontId="35" fillId="0" borderId="62" xfId="0" applyFont="1" applyBorder="1"/>
    <xf numFmtId="0" fontId="31" fillId="0" borderId="0" xfId="0" applyFont="1"/>
    <xf numFmtId="0" fontId="5" fillId="0" borderId="0" xfId="0" applyFont="1" applyAlignment="1">
      <alignment horizontal="center"/>
    </xf>
    <xf numFmtId="0" fontId="36" fillId="14" borderId="2" xfId="0" applyFont="1" applyFill="1" applyBorder="1" applyAlignment="1">
      <alignment horizontal="center" vertical="center"/>
    </xf>
    <xf numFmtId="0" fontId="36" fillId="14" borderId="5" xfId="0" applyFont="1" applyFill="1" applyBorder="1" applyAlignment="1">
      <alignment horizontal="center" vertical="center"/>
    </xf>
    <xf numFmtId="0" fontId="44" fillId="14" borderId="0" xfId="0" applyFont="1" applyFill="1" applyAlignment="1">
      <alignment horizontal="center" vertical="center" wrapText="1"/>
    </xf>
    <xf numFmtId="0" fontId="45" fillId="0" borderId="69" xfId="0" applyFont="1" applyBorder="1" applyAlignment="1">
      <alignment horizontal="center" vertical="center" wrapText="1"/>
    </xf>
    <xf numFmtId="0" fontId="46" fillId="0" borderId="69" xfId="0" applyFont="1" applyBorder="1" applyAlignment="1">
      <alignment horizontal="center" vertical="center" wrapText="1"/>
    </xf>
    <xf numFmtId="0" fontId="47" fillId="0" borderId="0" xfId="0" applyFont="1"/>
    <xf numFmtId="0" fontId="57" fillId="18" borderId="0" xfId="0" applyFont="1" applyFill="1" applyAlignment="1">
      <alignment horizontal="center" vertical="center"/>
    </xf>
    <xf numFmtId="0" fontId="57" fillId="18" borderId="0" xfId="0" applyFont="1" applyFill="1"/>
    <xf numFmtId="0" fontId="58" fillId="18" borderId="0" xfId="0" applyFont="1" applyFill="1"/>
    <xf numFmtId="0" fontId="56" fillId="0" borderId="69" xfId="0" applyFont="1" applyBorder="1" applyAlignment="1">
      <alignment horizontal="center" vertical="center"/>
    </xf>
    <xf numFmtId="0" fontId="0" fillId="0" borderId="67" xfId="0" applyBorder="1"/>
    <xf numFmtId="0" fontId="2" fillId="0" borderId="64" xfId="0" applyFont="1" applyBorder="1"/>
    <xf numFmtId="0" fontId="2" fillId="0" borderId="65" xfId="0" applyFont="1" applyBorder="1"/>
    <xf numFmtId="0" fontId="43" fillId="0" borderId="64" xfId="0" applyFont="1" applyBorder="1"/>
    <xf numFmtId="0" fontId="2" fillId="0" borderId="77" xfId="0" applyFont="1" applyBorder="1"/>
    <xf numFmtId="14" fontId="31" fillId="0" borderId="0" xfId="0" applyNumberFormat="1" applyFont="1" applyAlignment="1">
      <alignment horizontal="center" vertical="center"/>
    </xf>
    <xf numFmtId="14" fontId="35" fillId="0" borderId="34" xfId="0" applyNumberFormat="1" applyFont="1" applyBorder="1" applyAlignment="1">
      <alignment horizontal="center"/>
    </xf>
    <xf numFmtId="14" fontId="9" fillId="16" borderId="33" xfId="0" applyNumberFormat="1" applyFont="1" applyFill="1" applyBorder="1" applyAlignment="1">
      <alignment horizontal="center" vertical="center" wrapText="1"/>
    </xf>
    <xf numFmtId="14" fontId="35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5" fillId="14" borderId="67" xfId="0" applyFont="1" applyFill="1" applyBorder="1"/>
    <xf numFmtId="0" fontId="9" fillId="14" borderId="65" xfId="0" applyFont="1" applyFill="1" applyBorder="1" applyAlignment="1">
      <alignment horizontal="center" vertical="center" wrapText="1"/>
    </xf>
    <xf numFmtId="0" fontId="0" fillId="0" borderId="77" xfId="0" applyBorder="1" applyAlignment="1">
      <alignment horizontal="center"/>
    </xf>
    <xf numFmtId="0" fontId="0" fillId="0" borderId="0" xfId="0" applyAlignment="1">
      <alignment horizontal="center"/>
    </xf>
    <xf numFmtId="0" fontId="62" fillId="0" borderId="78" xfId="0" applyFont="1" applyBorder="1" applyAlignment="1">
      <alignment horizontal="center" vertical="center"/>
    </xf>
    <xf numFmtId="0" fontId="61" fillId="0" borderId="77" xfId="0" applyFont="1" applyBorder="1" applyAlignment="1">
      <alignment horizontal="center" vertical="center" wrapText="1"/>
    </xf>
    <xf numFmtId="0" fontId="31" fillId="14" borderId="67" xfId="0" applyFont="1" applyFill="1" applyBorder="1" applyAlignment="1">
      <alignment vertical="center"/>
    </xf>
    <xf numFmtId="0" fontId="68" fillId="0" borderId="77" xfId="0" applyFont="1" applyBorder="1" applyAlignment="1">
      <alignment horizontal="center" vertical="center" wrapText="1"/>
    </xf>
    <xf numFmtId="0" fontId="68" fillId="0" borderId="77" xfId="0" applyFont="1" applyBorder="1" applyAlignment="1">
      <alignment horizontal="center" vertical="center"/>
    </xf>
    <xf numFmtId="0" fontId="69" fillId="0" borderId="77" xfId="0" applyFont="1" applyBorder="1" applyAlignment="1">
      <alignment horizontal="center" vertical="center" wrapText="1"/>
    </xf>
    <xf numFmtId="0" fontId="70" fillId="0" borderId="77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8" fillId="0" borderId="67" xfId="0" applyFont="1" applyBorder="1" applyAlignment="1">
      <alignment vertical="center"/>
    </xf>
    <xf numFmtId="0" fontId="10" fillId="2" borderId="67" xfId="0" applyFont="1" applyFill="1" applyBorder="1" applyAlignment="1">
      <alignment vertical="center"/>
    </xf>
    <xf numFmtId="0" fontId="8" fillId="0" borderId="67" xfId="0" applyFont="1" applyBorder="1" applyAlignment="1">
      <alignment horizontal="left" vertical="center"/>
    </xf>
    <xf numFmtId="0" fontId="8" fillId="0" borderId="67" xfId="0" applyFont="1" applyBorder="1"/>
    <xf numFmtId="0" fontId="13" fillId="2" borderId="67" xfId="0" applyFont="1" applyFill="1" applyBorder="1" applyAlignment="1">
      <alignment horizontal="center" vertical="center" wrapText="1"/>
    </xf>
    <xf numFmtId="0" fontId="14" fillId="8" borderId="67" xfId="0" applyFont="1" applyFill="1" applyBorder="1" applyAlignment="1">
      <alignment horizontal="center" vertical="center" wrapText="1"/>
    </xf>
    <xf numFmtId="0" fontId="17" fillId="9" borderId="67" xfId="0" applyFont="1" applyFill="1" applyBorder="1" applyAlignment="1">
      <alignment horizontal="center" vertical="center" wrapText="1"/>
    </xf>
    <xf numFmtId="0" fontId="15" fillId="2" borderId="67" xfId="0" applyFont="1" applyFill="1" applyBorder="1" applyAlignment="1">
      <alignment vertical="center" wrapText="1"/>
    </xf>
    <xf numFmtId="0" fontId="13" fillId="2" borderId="67" xfId="0" applyFont="1" applyFill="1" applyBorder="1" applyAlignment="1">
      <alignment vertical="center" wrapText="1"/>
    </xf>
    <xf numFmtId="0" fontId="16" fillId="2" borderId="67" xfId="0" applyFont="1" applyFill="1" applyBorder="1" applyAlignment="1">
      <alignment vertical="center" wrapText="1"/>
    </xf>
    <xf numFmtId="0" fontId="18" fillId="10" borderId="67" xfId="0" applyFont="1" applyFill="1" applyBorder="1" applyAlignment="1">
      <alignment horizontal="center" vertical="center" wrapText="1"/>
    </xf>
    <xf numFmtId="0" fontId="20" fillId="11" borderId="67" xfId="0" applyFont="1" applyFill="1" applyBorder="1" applyAlignment="1">
      <alignment horizontal="center" vertical="center" wrapText="1"/>
    </xf>
    <xf numFmtId="0" fontId="19" fillId="2" borderId="67" xfId="0" applyFont="1" applyFill="1" applyBorder="1" applyAlignment="1">
      <alignment vertical="center" wrapText="1"/>
    </xf>
    <xf numFmtId="0" fontId="21" fillId="2" borderId="67" xfId="0" applyFont="1" applyFill="1" applyBorder="1" applyAlignment="1">
      <alignment horizontal="center" vertical="center" wrapText="1"/>
    </xf>
    <xf numFmtId="1" fontId="21" fillId="2" borderId="19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35" fillId="14" borderId="67" xfId="0" applyFont="1" applyFill="1" applyBorder="1" applyAlignment="1">
      <alignment vertical="center"/>
    </xf>
    <xf numFmtId="0" fontId="35" fillId="0" borderId="66" xfId="0" applyFont="1" applyBorder="1"/>
    <xf numFmtId="0" fontId="35" fillId="0" borderId="68" xfId="0" applyFont="1" applyBorder="1"/>
    <xf numFmtId="0" fontId="35" fillId="0" borderId="55" xfId="0" applyFont="1" applyBorder="1"/>
    <xf numFmtId="0" fontId="35" fillId="0" borderId="56" xfId="0" applyFont="1" applyBorder="1"/>
    <xf numFmtId="0" fontId="35" fillId="0" borderId="57" xfId="0" applyFont="1" applyBorder="1"/>
    <xf numFmtId="0" fontId="3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/>
    </xf>
    <xf numFmtId="0" fontId="9" fillId="14" borderId="64" xfId="0" applyFont="1" applyFill="1" applyBorder="1" applyAlignment="1">
      <alignment horizontal="center" vertical="center" wrapText="1"/>
    </xf>
    <xf numFmtId="0" fontId="9" fillId="16" borderId="6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" fillId="14" borderId="0" xfId="0" applyFont="1" applyFill="1"/>
    <xf numFmtId="0" fontId="3" fillId="0" borderId="69" xfId="0" applyFont="1" applyBorder="1" applyAlignment="1">
      <alignment horizontal="center" vertical="center"/>
    </xf>
    <xf numFmtId="10" fontId="3" fillId="0" borderId="69" xfId="0" applyNumberFormat="1" applyFont="1" applyBorder="1" applyAlignment="1">
      <alignment horizontal="center" vertical="center"/>
    </xf>
    <xf numFmtId="0" fontId="9" fillId="14" borderId="70" xfId="0" applyFont="1" applyFill="1" applyBorder="1" applyAlignment="1">
      <alignment horizontal="center" vertical="center" wrapText="1"/>
    </xf>
    <xf numFmtId="0" fontId="9" fillId="16" borderId="33" xfId="0" applyFont="1" applyFill="1" applyBorder="1" applyAlignment="1">
      <alignment vertical="center" wrapText="1"/>
    </xf>
    <xf numFmtId="14" fontId="3" fillId="0" borderId="77" xfId="0" applyNumberFormat="1" applyFont="1" applyBorder="1" applyAlignment="1">
      <alignment horizontal="center" vertical="center" wrapText="1"/>
    </xf>
    <xf numFmtId="0" fontId="3" fillId="0" borderId="63" xfId="0" applyFont="1" applyBorder="1" applyAlignment="1">
      <alignment vertical="center" wrapText="1"/>
    </xf>
    <xf numFmtId="0" fontId="9" fillId="17" borderId="69" xfId="0" applyFont="1" applyFill="1" applyBorder="1" applyAlignment="1">
      <alignment horizontal="center" vertical="center"/>
    </xf>
    <xf numFmtId="9" fontId="3" fillId="0" borderId="69" xfId="0" applyNumberFormat="1" applyFont="1" applyBorder="1" applyAlignment="1">
      <alignment horizontal="center" vertical="center"/>
    </xf>
    <xf numFmtId="0" fontId="70" fillId="0" borderId="0" xfId="0" applyFont="1"/>
    <xf numFmtId="0" fontId="72" fillId="0" borderId="0" xfId="0" applyFont="1"/>
    <xf numFmtId="0" fontId="7" fillId="5" borderId="11" xfId="0" applyFont="1" applyFill="1" applyBorder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8" fillId="0" borderId="0" xfId="0" applyFont="1" applyAlignment="1">
      <alignment vertical="center" wrapText="1"/>
    </xf>
    <xf numFmtId="0" fontId="8" fillId="0" borderId="67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vertical="center" wrapText="1"/>
    </xf>
    <xf numFmtId="49" fontId="52" fillId="2" borderId="11" xfId="0" applyNumberFormat="1" applyFont="1" applyFill="1" applyBorder="1" applyAlignment="1">
      <alignment vertical="center" wrapText="1"/>
    </xf>
    <xf numFmtId="20" fontId="3" fillId="2" borderId="11" xfId="0" applyNumberFormat="1" applyFont="1" applyFill="1" applyBorder="1" applyAlignment="1">
      <alignment vertical="center" wrapText="1"/>
    </xf>
    <xf numFmtId="14" fontId="3" fillId="2" borderId="11" xfId="0" applyNumberFormat="1" applyFont="1" applyFill="1" applyBorder="1" applyAlignment="1">
      <alignment horizontal="left" vertical="center" wrapText="1"/>
    </xf>
    <xf numFmtId="20" fontId="52" fillId="2" borderId="11" xfId="0" applyNumberFormat="1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16" fontId="3" fillId="2" borderId="11" xfId="0" applyNumberFormat="1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left"/>
    </xf>
    <xf numFmtId="0" fontId="23" fillId="2" borderId="11" xfId="0" applyFont="1" applyFill="1" applyBorder="1" applyAlignment="1">
      <alignment vertical="center" wrapText="1"/>
    </xf>
    <xf numFmtId="20" fontId="56" fillId="2" borderId="11" xfId="0" applyNumberFormat="1" applyFont="1" applyFill="1" applyBorder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9" fillId="6" borderId="11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vertical="center"/>
    </xf>
    <xf numFmtId="0" fontId="1" fillId="2" borderId="74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left" vertical="top" wrapText="1"/>
    </xf>
    <xf numFmtId="0" fontId="55" fillId="0" borderId="12" xfId="0" applyFont="1" applyBorder="1" applyAlignment="1">
      <alignment vertical="top"/>
    </xf>
    <xf numFmtId="0" fontId="55" fillId="0" borderId="13" xfId="0" applyFont="1" applyBorder="1" applyAlignment="1">
      <alignment vertical="top"/>
    </xf>
    <xf numFmtId="0" fontId="9" fillId="2" borderId="11" xfId="0" applyFont="1" applyFill="1" applyBorder="1" applyAlignment="1">
      <alignment vertical="center"/>
    </xf>
    <xf numFmtId="0" fontId="9" fillId="7" borderId="1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22" fillId="12" borderId="19" xfId="0" applyFont="1" applyFill="1" applyBorder="1" applyAlignment="1">
      <alignment horizontal="center" vertical="center" wrapText="1"/>
    </xf>
    <xf numFmtId="0" fontId="22" fillId="12" borderId="15" xfId="0" applyFont="1" applyFill="1" applyBorder="1" applyAlignment="1">
      <alignment horizontal="center" vertical="center" wrapText="1"/>
    </xf>
    <xf numFmtId="0" fontId="53" fillId="2" borderId="67" xfId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vertical="center"/>
    </xf>
    <xf numFmtId="0" fontId="8" fillId="2" borderId="15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wrapText="1"/>
    </xf>
    <xf numFmtId="0" fontId="9" fillId="6" borderId="11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9" fillId="2" borderId="15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28" fillId="13" borderId="22" xfId="0" applyFont="1" applyFill="1" applyBorder="1" applyAlignment="1">
      <alignment horizontal="center"/>
    </xf>
    <xf numFmtId="0" fontId="25" fillId="0" borderId="25" xfId="0" applyFont="1" applyBorder="1" applyAlignment="1">
      <alignment horizontal="center" wrapText="1"/>
    </xf>
    <xf numFmtId="0" fontId="25" fillId="0" borderId="11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/>
    </xf>
    <xf numFmtId="0" fontId="30" fillId="0" borderId="25" xfId="0" applyFont="1" applyBorder="1" applyAlignment="1">
      <alignment horizontal="center" vertical="center" wrapText="1"/>
    </xf>
    <xf numFmtId="0" fontId="32" fillId="15" borderId="33" xfId="0" applyFont="1" applyFill="1" applyBorder="1" applyAlignment="1">
      <alignment horizontal="center" vertical="center"/>
    </xf>
    <xf numFmtId="0" fontId="9" fillId="16" borderId="66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9" fillId="16" borderId="55" xfId="0" applyFont="1" applyFill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63" fillId="0" borderId="0" xfId="0" applyFont="1" applyAlignment="1">
      <alignment horizontal="center"/>
    </xf>
    <xf numFmtId="0" fontId="3" fillId="12" borderId="1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66" fillId="15" borderId="33" xfId="0" applyFont="1" applyFill="1" applyBorder="1" applyAlignment="1">
      <alignment horizontal="center" vertical="center"/>
    </xf>
    <xf numFmtId="0" fontId="63" fillId="0" borderId="0" xfId="0" applyFont="1" applyAlignment="1">
      <alignment horizontal="center" wrapText="1"/>
    </xf>
    <xf numFmtId="0" fontId="63" fillId="14" borderId="67" xfId="0" applyFont="1" applyFill="1" applyBorder="1" applyAlignment="1">
      <alignment horizontal="center" vertical="center" wrapText="1"/>
    </xf>
    <xf numFmtId="0" fontId="9" fillId="14" borderId="65" xfId="0" applyFont="1" applyFill="1" applyBorder="1" applyAlignment="1">
      <alignment horizontal="center" vertical="center" wrapText="1"/>
    </xf>
    <xf numFmtId="0" fontId="9" fillId="16" borderId="63" xfId="0" applyFont="1" applyFill="1" applyBorder="1" applyAlignment="1">
      <alignment horizontal="center" vertical="center" wrapText="1"/>
    </xf>
    <xf numFmtId="0" fontId="40" fillId="16" borderId="63" xfId="0" applyFont="1" applyFill="1" applyBorder="1" applyAlignment="1">
      <alignment horizontal="center" vertical="center" wrapText="1"/>
    </xf>
    <xf numFmtId="0" fontId="36" fillId="15" borderId="33" xfId="0" applyFont="1" applyFill="1" applyBorder="1" applyAlignment="1">
      <alignment horizontal="center" vertical="center"/>
    </xf>
    <xf numFmtId="0" fontId="59" fillId="19" borderId="65" xfId="0" applyFont="1" applyFill="1" applyBorder="1" applyAlignment="1">
      <alignment horizontal="center"/>
    </xf>
    <xf numFmtId="0" fontId="3" fillId="0" borderId="63" xfId="0" applyFont="1" applyBorder="1" applyAlignment="1">
      <alignment vertical="center" wrapText="1"/>
    </xf>
    <xf numFmtId="0" fontId="3" fillId="14" borderId="63" xfId="0" applyFont="1" applyFill="1" applyBorder="1" applyAlignment="1">
      <alignment horizontal="left" vertical="center" wrapText="1"/>
    </xf>
    <xf numFmtId="0" fontId="9" fillId="17" borderId="63" xfId="0" applyFont="1" applyFill="1" applyBorder="1" applyAlignment="1">
      <alignment horizontal="center" vertical="center"/>
    </xf>
    <xf numFmtId="0" fontId="36" fillId="15" borderId="34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67" xfId="0" applyFont="1" applyBorder="1" applyAlignment="1"/>
    <xf numFmtId="0" fontId="54" fillId="0" borderId="12" xfId="0" applyFont="1" applyBorder="1" applyAlignment="1"/>
    <xf numFmtId="0" fontId="54" fillId="0" borderId="13" xfId="0" applyFont="1" applyBorder="1" applyAlignment="1"/>
    <xf numFmtId="0" fontId="55" fillId="0" borderId="12" xfId="0" applyFont="1" applyBorder="1" applyAlignment="1"/>
    <xf numFmtId="0" fontId="55" fillId="0" borderId="13" xfId="0" applyFont="1" applyBorder="1" applyAlignment="1"/>
    <xf numFmtId="0" fontId="2" fillId="0" borderId="75" xfId="0" applyFont="1" applyBorder="1" applyAlignment="1"/>
    <xf numFmtId="0" fontId="2" fillId="0" borderId="76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0" fillId="0" borderId="67" xfId="0" applyBorder="1" applyAlignment="1"/>
    <xf numFmtId="0" fontId="2" fillId="0" borderId="18" xfId="0" applyFont="1" applyBorder="1" applyAlignment="1"/>
    <xf numFmtId="0" fontId="2" fillId="0" borderId="20" xfId="0" applyFont="1" applyBorder="1" applyAlignment="1"/>
    <xf numFmtId="0" fontId="2" fillId="0" borderId="23" xfId="0" applyFont="1" applyBorder="1" applyAlignment="1"/>
    <xf numFmtId="0" fontId="2" fillId="0" borderId="24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  <xf numFmtId="0" fontId="2" fillId="0" borderId="28" xfId="0" applyFont="1" applyBorder="1" applyAlignment="1"/>
    <xf numFmtId="0" fontId="2" fillId="0" borderId="29" xfId="0" applyFont="1" applyBorder="1" applyAlignment="1"/>
    <xf numFmtId="0" fontId="2" fillId="0" borderId="30" xfId="0" applyFont="1" applyBorder="1" applyAlignment="1"/>
    <xf numFmtId="0" fontId="2" fillId="0" borderId="31" xfId="0" applyFont="1" applyBorder="1" applyAlignment="1"/>
    <xf numFmtId="0" fontId="2" fillId="0" borderId="32" xfId="0" applyFont="1" applyBorder="1" applyAlignment="1"/>
    <xf numFmtId="0" fontId="2" fillId="0" borderId="34" xfId="0" applyFont="1" applyBorder="1" applyAlignment="1"/>
    <xf numFmtId="0" fontId="2" fillId="0" borderId="35" xfId="0" applyFont="1" applyBorder="1" applyAlignment="1"/>
    <xf numFmtId="0" fontId="2" fillId="0" borderId="36" xfId="0" applyFont="1" applyBorder="1" applyAlignment="1"/>
    <xf numFmtId="0" fontId="2" fillId="0" borderId="68" xfId="0" applyFont="1" applyBorder="1" applyAlignment="1"/>
    <xf numFmtId="0" fontId="2" fillId="0" borderId="56" xfId="0" applyFont="1" applyBorder="1" applyAlignment="1"/>
    <xf numFmtId="0" fontId="2" fillId="0" borderId="57" xfId="0" applyFont="1" applyBorder="1" applyAlignment="1"/>
    <xf numFmtId="0" fontId="2" fillId="0" borderId="39" xfId="0" applyFont="1" applyBorder="1" applyAlignment="1"/>
    <xf numFmtId="0" fontId="2" fillId="0" borderId="40" xfId="0" applyFont="1" applyBorder="1" applyAlignment="1"/>
    <xf numFmtId="0" fontId="2" fillId="0" borderId="42" xfId="0" applyFont="1" applyBorder="1" applyAlignment="1"/>
    <xf numFmtId="0" fontId="2" fillId="0" borderId="45" xfId="0" applyFont="1" applyBorder="1" applyAlignment="1"/>
    <xf numFmtId="0" fontId="2" fillId="0" borderId="46" xfId="0" applyFont="1" applyBorder="1" applyAlignment="1"/>
    <xf numFmtId="0" fontId="2" fillId="0" borderId="48" xfId="0" applyFont="1" applyBorder="1" applyAlignment="1"/>
    <xf numFmtId="0" fontId="2" fillId="0" borderId="51" xfId="0" applyFont="1" applyBorder="1" applyAlignment="1"/>
    <xf numFmtId="0" fontId="2" fillId="0" borderId="52" xfId="0" applyFont="1" applyBorder="1" applyAlignment="1"/>
    <xf numFmtId="0" fontId="2" fillId="0" borderId="54" xfId="0" applyFont="1" applyBorder="1" applyAlignment="1"/>
    <xf numFmtId="0" fontId="2" fillId="0" borderId="59" xfId="0" applyFont="1" applyBorder="1" applyAlignment="1"/>
    <xf numFmtId="0" fontId="2" fillId="0" borderId="60" xfId="0" applyFont="1" applyBorder="1" applyAlignment="1"/>
    <xf numFmtId="0" fontId="2" fillId="0" borderId="66" xfId="0" applyFont="1" applyBorder="1" applyAlignment="1"/>
    <xf numFmtId="0" fontId="2" fillId="0" borderId="55" xfId="0" applyFont="1" applyBorder="1" applyAlignment="1"/>
    <xf numFmtId="0" fontId="65" fillId="0" borderId="34" xfId="0" applyFont="1" applyBorder="1" applyAlignment="1"/>
    <xf numFmtId="0" fontId="65" fillId="0" borderId="35" xfId="0" applyFont="1" applyBorder="1" applyAlignment="1"/>
    <xf numFmtId="0" fontId="65" fillId="0" borderId="36" xfId="0" applyFont="1" applyBorder="1" applyAlignment="1"/>
    <xf numFmtId="0" fontId="64" fillId="0" borderId="0" xfId="0" applyFont="1" applyAlignment="1"/>
    <xf numFmtId="0" fontId="67" fillId="0" borderId="1" xfId="0" applyFont="1" applyBorder="1" applyAlignment="1"/>
    <xf numFmtId="0" fontId="67" fillId="0" borderId="2" xfId="0" applyFont="1" applyBorder="1" applyAlignment="1"/>
    <xf numFmtId="0" fontId="67" fillId="0" borderId="3" xfId="0" applyFont="1" applyBorder="1" applyAlignment="1"/>
    <xf numFmtId="0" fontId="67" fillId="0" borderId="4" xfId="0" applyFont="1" applyBorder="1" applyAlignment="1"/>
    <xf numFmtId="0" fontId="67" fillId="0" borderId="5" xfId="0" applyFont="1" applyBorder="1" applyAlignment="1"/>
    <xf numFmtId="0" fontId="65" fillId="0" borderId="67" xfId="0" applyFont="1" applyBorder="1" applyAlignment="1"/>
    <xf numFmtId="0" fontId="2" fillId="0" borderId="64" xfId="0" applyFont="1" applyBorder="1" applyAlignment="1"/>
    <xf numFmtId="0" fontId="2" fillId="0" borderId="65" xfId="0" applyFont="1" applyBorder="1" applyAlignment="1"/>
    <xf numFmtId="0" fontId="35" fillId="0" borderId="33" xfId="0" applyFont="1" applyBorder="1" applyAlignment="1"/>
    <xf numFmtId="0" fontId="2" fillId="0" borderId="61" xfId="0" applyFont="1" applyBorder="1" applyAlignment="1"/>
    <xf numFmtId="0" fontId="2" fillId="0" borderId="70" xfId="0" applyFont="1" applyBorder="1" applyAlignment="1"/>
    <xf numFmtId="0" fontId="2" fillId="0" borderId="71" xfId="0" applyFont="1" applyBorder="1" applyAlignment="1"/>
    <xf numFmtId="0" fontId="2" fillId="0" borderId="62" xfId="0" applyFont="1" applyBorder="1" applyAlignment="1"/>
    <xf numFmtId="0" fontId="35" fillId="0" borderId="36" xfId="0" applyFont="1" applyBorder="1" applyAlignment="1"/>
  </cellXfs>
  <cellStyles count="2">
    <cellStyle name="Hyperlink" xfId="1" builtinId="8"/>
    <cellStyle name="Normal" xfId="0" builtinId="0"/>
  </cellStyles>
  <dxfs count="6">
    <dxf>
      <font>
        <color rgb="FFDBE5F1"/>
      </font>
      <fill>
        <patternFill patternType="solid">
          <fgColor rgb="FFDBE5F1"/>
          <bgColor rgb="FFDBE5F1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Renomear - Título do Gráfico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'Gráfico de Pareto'!$C$4:$C$5</c:f>
              <c:strCache>
                <c:ptCount val="2"/>
                <c:pt idx="0">
                  <c:v>QUEBRAS POR SETOR</c:v>
                </c:pt>
                <c:pt idx="1">
                  <c:v>Incidência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de Pareto'!$B$6:$B$12</c:f>
              <c:strCache>
                <c:ptCount val="6"/>
                <c:pt idx="0">
                  <c:v>AR</c:v>
                </c:pt>
                <c:pt idx="1">
                  <c:v>HC</c:v>
                </c:pt>
                <c:pt idx="2">
                  <c:v>SURFACING</c:v>
                </c:pt>
                <c:pt idx="3">
                  <c:v>FINISHING</c:v>
                </c:pt>
                <c:pt idx="4">
                  <c:v>WITHOUT DEFINITION</c:v>
                </c:pt>
                <c:pt idx="5">
                  <c:v>TINTING</c:v>
                </c:pt>
              </c:strCache>
            </c:strRef>
          </c:cat>
          <c:val>
            <c:numRef>
              <c:f>'Gráfico de Pareto'!$C$6:$C$12</c:f>
              <c:numCache>
                <c:formatCode>General</c:formatCode>
                <c:ptCount val="7"/>
                <c:pt idx="0">
                  <c:v>12188</c:v>
                </c:pt>
                <c:pt idx="1">
                  <c:v>10091</c:v>
                </c:pt>
                <c:pt idx="2">
                  <c:v>10088</c:v>
                </c:pt>
                <c:pt idx="3">
                  <c:v>1095</c:v>
                </c:pt>
                <c:pt idx="4">
                  <c:v>731</c:v>
                </c:pt>
                <c:pt idx="5">
                  <c:v>206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BCD-43CD-8015-EBCB711D1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277077"/>
        <c:axId val="1815582780"/>
      </c:barChart>
      <c:lineChart>
        <c:grouping val="standard"/>
        <c:varyColors val="0"/>
        <c:ser>
          <c:idx val="1"/>
          <c:order val="1"/>
          <c:tx>
            <c:strRef>
              <c:f>'Gráfico de Pareto'!$E$4:$E$5</c:f>
              <c:strCache>
                <c:ptCount val="2"/>
                <c:pt idx="0">
                  <c:v>QUEBRAS POR SETOR</c:v>
                </c:pt>
                <c:pt idx="1">
                  <c:v>% Acumulada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'Gráfico de Pareto'!$B$6:$B$12</c:f>
              <c:strCache>
                <c:ptCount val="6"/>
                <c:pt idx="0">
                  <c:v>AR</c:v>
                </c:pt>
                <c:pt idx="1">
                  <c:v>HC</c:v>
                </c:pt>
                <c:pt idx="2">
                  <c:v>SURFACING</c:v>
                </c:pt>
                <c:pt idx="3">
                  <c:v>FINISHING</c:v>
                </c:pt>
                <c:pt idx="4">
                  <c:v>WITHOUT DEFINITION</c:v>
                </c:pt>
                <c:pt idx="5">
                  <c:v>TINTING</c:v>
                </c:pt>
              </c:strCache>
            </c:strRef>
          </c:cat>
          <c:val>
            <c:numRef>
              <c:f>'Gráfico de Pareto'!$E$6:$E$12</c:f>
              <c:numCache>
                <c:formatCode>0.00%</c:formatCode>
                <c:ptCount val="7"/>
                <c:pt idx="0">
                  <c:v>0.35431262536701646</c:v>
                </c:pt>
                <c:pt idx="1">
                  <c:v>0.64766417628419437</c:v>
                </c:pt>
                <c:pt idx="2">
                  <c:v>0.94092851536381872</c:v>
                </c:pt>
                <c:pt idx="3">
                  <c:v>0.97276083607081598</c:v>
                </c:pt>
                <c:pt idx="4">
                  <c:v>0.99401145382133194</c:v>
                </c:pt>
                <c:pt idx="5">
                  <c:v>0.99999999999999989</c:v>
                </c:pt>
                <c:pt idx="6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D-43CD-8015-EBCB711D1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922680"/>
        <c:axId val="1950189137"/>
      </c:lineChart>
      <c:catAx>
        <c:axId val="306277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5582780"/>
        <c:crosses val="autoZero"/>
        <c:auto val="1"/>
        <c:lblAlgn val="ctr"/>
        <c:lblOffset val="100"/>
        <c:noMultiLvlLbl val="1"/>
      </c:catAx>
      <c:valAx>
        <c:axId val="1815582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6277077"/>
        <c:crosses val="autoZero"/>
        <c:crossBetween val="between"/>
      </c:valAx>
      <c:catAx>
        <c:axId val="1259922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50189137"/>
        <c:crosses val="autoZero"/>
        <c:auto val="1"/>
        <c:lblAlgn val="ctr"/>
        <c:lblOffset val="100"/>
        <c:noMultiLvlLbl val="1"/>
      </c:catAx>
      <c:valAx>
        <c:axId val="19501891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9922680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Renomear - Título do Gráfico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'Gráfico de Pareto'!$C$4:$C$5</c:f>
              <c:strCache>
                <c:ptCount val="2"/>
                <c:pt idx="0">
                  <c:v>QUEBRAS POR SETOR</c:v>
                </c:pt>
                <c:pt idx="1">
                  <c:v>Incidência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de Pareto'!$B$6:$B$12</c:f>
              <c:strCache>
                <c:ptCount val="6"/>
                <c:pt idx="0">
                  <c:v>AR</c:v>
                </c:pt>
                <c:pt idx="1">
                  <c:v>HC</c:v>
                </c:pt>
                <c:pt idx="2">
                  <c:v>SURFACING</c:v>
                </c:pt>
                <c:pt idx="3">
                  <c:v>FINISHING</c:v>
                </c:pt>
                <c:pt idx="4">
                  <c:v>WITHOUT DEFINITION</c:v>
                </c:pt>
                <c:pt idx="5">
                  <c:v>TINTING</c:v>
                </c:pt>
              </c:strCache>
            </c:strRef>
          </c:cat>
          <c:val>
            <c:numRef>
              <c:f>'Gráfico de Pareto'!$C$6:$C$12</c:f>
              <c:numCache>
                <c:formatCode>General</c:formatCode>
                <c:ptCount val="7"/>
                <c:pt idx="0">
                  <c:v>12188</c:v>
                </c:pt>
                <c:pt idx="1">
                  <c:v>10091</c:v>
                </c:pt>
                <c:pt idx="2">
                  <c:v>10088</c:v>
                </c:pt>
                <c:pt idx="3">
                  <c:v>1095</c:v>
                </c:pt>
                <c:pt idx="4">
                  <c:v>731</c:v>
                </c:pt>
                <c:pt idx="5">
                  <c:v>206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3F-4E4D-A7C9-8C4FD1E6A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277077"/>
        <c:axId val="1815582780"/>
      </c:barChart>
      <c:lineChart>
        <c:grouping val="standard"/>
        <c:varyColors val="0"/>
        <c:ser>
          <c:idx val="1"/>
          <c:order val="1"/>
          <c:tx>
            <c:strRef>
              <c:f>'Gráfico de Pareto'!$E$4:$E$5</c:f>
              <c:strCache>
                <c:ptCount val="2"/>
                <c:pt idx="0">
                  <c:v>QUEBRAS POR SETOR</c:v>
                </c:pt>
                <c:pt idx="1">
                  <c:v>% Acumulada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'Gráfico de Pareto'!$B$6:$B$12</c:f>
              <c:strCache>
                <c:ptCount val="6"/>
                <c:pt idx="0">
                  <c:v>AR</c:v>
                </c:pt>
                <c:pt idx="1">
                  <c:v>HC</c:v>
                </c:pt>
                <c:pt idx="2">
                  <c:v>SURFACING</c:v>
                </c:pt>
                <c:pt idx="3">
                  <c:v>FINISHING</c:v>
                </c:pt>
                <c:pt idx="4">
                  <c:v>WITHOUT DEFINITION</c:v>
                </c:pt>
                <c:pt idx="5">
                  <c:v>TINTING</c:v>
                </c:pt>
              </c:strCache>
            </c:strRef>
          </c:cat>
          <c:val>
            <c:numRef>
              <c:f>'Gráfico de Pareto'!$E$6:$E$12</c:f>
              <c:numCache>
                <c:formatCode>0.00%</c:formatCode>
                <c:ptCount val="7"/>
                <c:pt idx="0">
                  <c:v>0.35431262536701646</c:v>
                </c:pt>
                <c:pt idx="1">
                  <c:v>0.64766417628419437</c:v>
                </c:pt>
                <c:pt idx="2">
                  <c:v>0.94092851536381872</c:v>
                </c:pt>
                <c:pt idx="3">
                  <c:v>0.97276083607081598</c:v>
                </c:pt>
                <c:pt idx="4">
                  <c:v>0.99401145382133194</c:v>
                </c:pt>
                <c:pt idx="5">
                  <c:v>0.99999999999999989</c:v>
                </c:pt>
                <c:pt idx="6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3F-4E4D-A7C9-8C4FD1E6A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922680"/>
        <c:axId val="1950189137"/>
      </c:lineChart>
      <c:catAx>
        <c:axId val="306277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5582780"/>
        <c:crosses val="autoZero"/>
        <c:auto val="1"/>
        <c:lblAlgn val="ctr"/>
        <c:lblOffset val="100"/>
        <c:noMultiLvlLbl val="1"/>
      </c:catAx>
      <c:valAx>
        <c:axId val="1815582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6277077"/>
        <c:crosses val="autoZero"/>
        <c:crossBetween val="between"/>
      </c:valAx>
      <c:catAx>
        <c:axId val="1259922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50189137"/>
        <c:crosses val="autoZero"/>
        <c:auto val="1"/>
        <c:lblAlgn val="ctr"/>
        <c:lblOffset val="100"/>
        <c:noMultiLvlLbl val="1"/>
      </c:catAx>
      <c:valAx>
        <c:axId val="19501891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9922680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pt-BR" b="1" i="0">
                <a:solidFill>
                  <a:srgbClr val="757575"/>
                </a:solidFill>
                <a:latin typeface="+mn-lt"/>
              </a:rPr>
              <a:t>% de Vendas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FE6-448F-8D46-33F7137DF9F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FE6-448F-8D46-33F7137DF9F1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FE6-448F-8D46-33F7137DF9F1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6FE6-448F-8D46-33F7137DF9F1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6FE6-448F-8D46-33F7137DF9F1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6FE6-448F-8D46-33F7137DF9F1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6FE6-448F-8D46-33F7137DF9F1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6FE6-448F-8D46-33F7137DF9F1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6FE6-448F-8D46-33F7137DF9F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'Gráfico Geral'!$B$7:$B$15</c:f>
              <c:strCache>
                <c:ptCount val="9"/>
                <c:pt idx="0">
                  <c:v>Exemplo 1</c:v>
                </c:pt>
                <c:pt idx="1">
                  <c:v>Exemplo 2</c:v>
                </c:pt>
                <c:pt idx="2">
                  <c:v>Exemplo 3</c:v>
                </c:pt>
                <c:pt idx="3">
                  <c:v>Exemplo 4</c:v>
                </c:pt>
                <c:pt idx="4">
                  <c:v>Exemplo 5</c:v>
                </c:pt>
                <c:pt idx="5">
                  <c:v>Exemplo 6</c:v>
                </c:pt>
                <c:pt idx="6">
                  <c:v>Exemplo 7</c:v>
                </c:pt>
                <c:pt idx="7">
                  <c:v>Exemplo 8</c:v>
                </c:pt>
                <c:pt idx="8">
                  <c:v>Exemplo 9</c:v>
                </c:pt>
              </c:strCache>
            </c:strRef>
          </c:cat>
          <c:val>
            <c:numRef>
              <c:f>'Gráfico Geral'!$D$7:$D$15</c:f>
              <c:numCache>
                <c:formatCode>0%</c:formatCode>
                <c:ptCount val="9"/>
                <c:pt idx="0">
                  <c:v>0.20114942528735633</c:v>
                </c:pt>
                <c:pt idx="1">
                  <c:v>0.20114942528735633</c:v>
                </c:pt>
                <c:pt idx="2">
                  <c:v>0.17816091954022989</c:v>
                </c:pt>
                <c:pt idx="3">
                  <c:v>0.13218390804597702</c:v>
                </c:pt>
                <c:pt idx="4">
                  <c:v>0.10919540229885058</c:v>
                </c:pt>
                <c:pt idx="5">
                  <c:v>8.0459770114942528E-2</c:v>
                </c:pt>
                <c:pt idx="6">
                  <c:v>6.3218390804597707E-2</c:v>
                </c:pt>
                <c:pt idx="7">
                  <c:v>2.2988505747126436E-2</c:v>
                </c:pt>
                <c:pt idx="8">
                  <c:v>1.1494252873563218E-2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FE6-448F-8D46-33F7137DF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8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Verdana"/>
              </a:defRPr>
            </a:pPr>
            <a:r>
              <a:rPr lang="pt-BR" sz="1400" b="1" i="0">
                <a:solidFill>
                  <a:srgbClr val="757575"/>
                </a:solidFill>
                <a:latin typeface="Verdana"/>
              </a:rPr>
              <a:t>RENOMEAR TÍTULO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1069701218854493"/>
          <c:y val="0.18504165713725618"/>
          <c:w val="0.86054751561227261"/>
          <c:h val="0.61042212565752929"/>
        </c:manualLayout>
      </c:layout>
      <c:lineChart>
        <c:grouping val="standard"/>
        <c:varyColors val="0"/>
        <c:ser>
          <c:idx val="0"/>
          <c:order val="0"/>
          <c:tx>
            <c:v>Recebido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'Carta de Tendência'!$C$6:$T$6</c:f>
              <c:strCache>
                <c:ptCount val="18"/>
                <c:pt idx="0">
                  <c:v> 6 </c:v>
                </c:pt>
                <c:pt idx="1">
                  <c:v> 7 </c:v>
                </c:pt>
                <c:pt idx="2">
                  <c:v> 8 </c:v>
                </c:pt>
                <c:pt idx="3">
                  <c:v> 9 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</c:strCache>
            </c:strRef>
          </c:cat>
          <c:val>
            <c:numRef>
              <c:f>'Carta de Tendência'!$C$7:$T$7</c:f>
              <c:numCache>
                <c:formatCode>General</c:formatCode>
                <c:ptCount val="18"/>
                <c:pt idx="0">
                  <c:v>50</c:v>
                </c:pt>
                <c:pt idx="1">
                  <c:v>88</c:v>
                </c:pt>
                <c:pt idx="2">
                  <c:v>841</c:v>
                </c:pt>
                <c:pt idx="3">
                  <c:v>2086</c:v>
                </c:pt>
                <c:pt idx="4">
                  <c:v>2321</c:v>
                </c:pt>
                <c:pt idx="5">
                  <c:v>2801</c:v>
                </c:pt>
                <c:pt idx="6">
                  <c:v>1620</c:v>
                </c:pt>
                <c:pt idx="7">
                  <c:v>2794</c:v>
                </c:pt>
                <c:pt idx="8">
                  <c:v>1902</c:v>
                </c:pt>
                <c:pt idx="9">
                  <c:v>1064</c:v>
                </c:pt>
                <c:pt idx="10">
                  <c:v>1111</c:v>
                </c:pt>
                <c:pt idx="11">
                  <c:v>2144</c:v>
                </c:pt>
                <c:pt idx="12">
                  <c:v>1188</c:v>
                </c:pt>
                <c:pt idx="13">
                  <c:v>2210</c:v>
                </c:pt>
                <c:pt idx="14">
                  <c:v>478</c:v>
                </c:pt>
                <c:pt idx="15">
                  <c:v>113</c:v>
                </c:pt>
                <c:pt idx="16">
                  <c:v>29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3-4E3D-AF53-0526E5D37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972437"/>
        <c:axId val="810692532"/>
      </c:lineChart>
      <c:catAx>
        <c:axId val="1566972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1" i="0">
                    <a:solidFill>
                      <a:srgbClr val="000000"/>
                    </a:solidFill>
                    <a:latin typeface="Verdana"/>
                  </a:defRPr>
                </a:pPr>
                <a:r>
                  <a:rPr lang="pt-BR" sz="1200" b="1" i="0">
                    <a:solidFill>
                      <a:srgbClr val="000000"/>
                    </a:solidFill>
                    <a:latin typeface="Verdana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Verdana"/>
              </a:defRPr>
            </a:pPr>
            <a:endParaRPr lang="en-US"/>
          </a:p>
        </c:txPr>
        <c:crossAx val="810692532"/>
        <c:crosses val="autoZero"/>
        <c:auto val="1"/>
        <c:lblAlgn val="ctr"/>
        <c:lblOffset val="100"/>
        <c:noMultiLvlLbl val="1"/>
      </c:catAx>
      <c:valAx>
        <c:axId val="810692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Verdana"/>
                  </a:defRPr>
                </a:pPr>
                <a:r>
                  <a:rPr lang="pt-BR" b="0" i="0">
                    <a:solidFill>
                      <a:srgbClr val="000000"/>
                    </a:solidFill>
                    <a:latin typeface="Verdana"/>
                  </a:rPr>
                  <a:t>Renomear Título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697243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</xdr:row>
      <xdr:rowOff>0</xdr:rowOff>
    </xdr:from>
    <xdr:ext cx="228600" cy="228600"/>
    <xdr:pic>
      <xdr:nvPicPr>
        <xdr:cNvPr id="3" name="image3.png" title="Imagem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31750</xdr:colOff>
      <xdr:row>17</xdr:row>
      <xdr:rowOff>111125</xdr:rowOff>
    </xdr:from>
    <xdr:ext cx="10996083" cy="216958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1003300" y="7569200"/>
          <a:ext cx="10996083" cy="216958"/>
          <a:chOff x="0" y="3780000"/>
          <a:chExt cx="10692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232929</xdr:colOff>
      <xdr:row>5</xdr:row>
      <xdr:rowOff>359929</xdr:rowOff>
    </xdr:from>
    <xdr:ext cx="2418196" cy="473594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pSpPr/>
      </xdr:nvGrpSpPr>
      <xdr:grpSpPr>
        <a:xfrm>
          <a:off x="9253104" y="2674504"/>
          <a:ext cx="2418196" cy="4735945"/>
          <a:chOff x="4379213" y="2522700"/>
          <a:chExt cx="1933575" cy="2514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CxnSpPr/>
        </xdr:nvCxnSpPr>
        <xdr:spPr>
          <a:xfrm>
            <a:off x="4379213" y="2522700"/>
            <a:ext cx="1933575" cy="25146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138546</xdr:colOff>
      <xdr:row>17</xdr:row>
      <xdr:rowOff>207818</xdr:rowOff>
    </xdr:from>
    <xdr:ext cx="2378363" cy="5749637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pSpPr/>
      </xdr:nvGrpSpPr>
      <xdr:grpSpPr>
        <a:xfrm>
          <a:off x="2434071" y="7665893"/>
          <a:ext cx="2378363" cy="5749637"/>
          <a:chOff x="4379213" y="2317913"/>
          <a:chExt cx="1933575" cy="2924175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CxnSpPr/>
        </xdr:nvCxnSpPr>
        <xdr:spPr>
          <a:xfrm flipH="1">
            <a:off x="4379213" y="2317913"/>
            <a:ext cx="1933575" cy="29241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23</xdr:col>
      <xdr:colOff>173182</xdr:colOff>
      <xdr:row>17</xdr:row>
      <xdr:rowOff>161636</xdr:rowOff>
    </xdr:from>
    <xdr:ext cx="2078182" cy="4710546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pSpPr/>
      </xdr:nvGrpSpPr>
      <xdr:grpSpPr>
        <a:xfrm>
          <a:off x="6040582" y="7619711"/>
          <a:ext cx="2078182" cy="4710546"/>
          <a:chOff x="4379213" y="2317913"/>
          <a:chExt cx="1933575" cy="2924175"/>
        </a:xfrm>
      </xdr:grpSpPr>
      <xdr:cxnSp macro="">
        <xdr:nvCxnSpPr>
          <xdr:cNvPr id="9" name="Shape 5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CxnSpPr/>
        </xdr:nvCxnSpPr>
        <xdr:spPr>
          <a:xfrm flipH="1">
            <a:off x="4379213" y="2317913"/>
            <a:ext cx="1933575" cy="29241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207818</xdr:colOff>
      <xdr:row>17</xdr:row>
      <xdr:rowOff>207818</xdr:rowOff>
    </xdr:from>
    <xdr:ext cx="2424545" cy="5276273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pSpPr/>
      </xdr:nvGrpSpPr>
      <xdr:grpSpPr>
        <a:xfrm>
          <a:off x="9227993" y="7665893"/>
          <a:ext cx="2424545" cy="5276273"/>
          <a:chOff x="4379213" y="2317913"/>
          <a:chExt cx="1933575" cy="2924175"/>
        </a:xfrm>
      </xdr:grpSpPr>
      <xdr:cxnSp macro="">
        <xdr:nvCxnSpPr>
          <xdr:cNvPr id="11" name="Shape 5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CxnSpPr/>
        </xdr:nvCxnSpPr>
        <xdr:spPr>
          <a:xfrm flipH="1">
            <a:off x="4379213" y="2317913"/>
            <a:ext cx="1933575" cy="29241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34</xdr:col>
      <xdr:colOff>0</xdr:colOff>
      <xdr:row>7</xdr:row>
      <xdr:rowOff>-9525</xdr:rowOff>
    </xdr:from>
    <xdr:ext cx="876300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pSpPr/>
      </xdr:nvGrpSpPr>
      <xdr:grpSpPr>
        <a:xfrm>
          <a:off x="8601075" y="3448050"/>
          <a:ext cx="876300" cy="38100"/>
          <a:chOff x="4907850" y="3780000"/>
          <a:chExt cx="876300" cy="0"/>
        </a:xfrm>
      </xdr:grpSpPr>
      <xdr:cxnSp macro="">
        <xdr:nvCxnSpPr>
          <xdr:cNvPr id="13" name="Shape 6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CxnSpPr/>
        </xdr:nvCxnSpPr>
        <xdr:spPr>
          <a:xfrm>
            <a:off x="4907850" y="3780000"/>
            <a:ext cx="876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20</xdr:col>
      <xdr:colOff>28575</xdr:colOff>
      <xdr:row>7</xdr:row>
      <xdr:rowOff>9525</xdr:rowOff>
    </xdr:from>
    <xdr:ext cx="971550" cy="381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pSpPr/>
      </xdr:nvGrpSpPr>
      <xdr:grpSpPr>
        <a:xfrm>
          <a:off x="5181600" y="3467100"/>
          <a:ext cx="971550" cy="38100"/>
          <a:chOff x="4860225" y="3780000"/>
          <a:chExt cx="971550" cy="0"/>
        </a:xfrm>
      </xdr:grpSpPr>
      <xdr:cxnSp macro="">
        <xdr:nvCxnSpPr>
          <xdr:cNvPr id="15" name="Shape 7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CxnSpPr/>
        </xdr:nvCxnSpPr>
        <xdr:spPr>
          <a:xfrm>
            <a:off x="4860225" y="3780000"/>
            <a:ext cx="9715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22</xdr:col>
      <xdr:colOff>0</xdr:colOff>
      <xdr:row>10</xdr:row>
      <xdr:rowOff>-19050</xdr:rowOff>
    </xdr:from>
    <xdr:ext cx="923925" cy="381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pSpPr/>
      </xdr:nvGrpSpPr>
      <xdr:grpSpPr>
        <a:xfrm>
          <a:off x="5629275" y="5019675"/>
          <a:ext cx="923925" cy="38100"/>
          <a:chOff x="4884038" y="3780000"/>
          <a:chExt cx="923925" cy="0"/>
        </a:xfrm>
      </xdr:grpSpPr>
      <xdr:cxnSp macro="">
        <xdr:nvCxnSpPr>
          <xdr:cNvPr id="17" name="Shape 8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CxnSpPr/>
        </xdr:nvCxnSpPr>
        <xdr:spPr>
          <a:xfrm>
            <a:off x="4884038" y="3780000"/>
            <a:ext cx="9239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24</xdr:col>
      <xdr:colOff>0</xdr:colOff>
      <xdr:row>13</xdr:row>
      <xdr:rowOff>-9525</xdr:rowOff>
    </xdr:from>
    <xdr:ext cx="857250" cy="381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pSpPr/>
      </xdr:nvGrpSpPr>
      <xdr:grpSpPr>
        <a:xfrm>
          <a:off x="6105525" y="6115050"/>
          <a:ext cx="857250" cy="38100"/>
          <a:chOff x="4917375" y="3780000"/>
          <a:chExt cx="857250" cy="0"/>
        </a:xfrm>
      </xdr:grpSpPr>
      <xdr:cxnSp macro="">
        <xdr:nvCxnSpPr>
          <xdr:cNvPr id="19" name="Shape 9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CxnSpPr/>
        </xdr:nvCxnSpPr>
        <xdr:spPr>
          <a:xfrm>
            <a:off x="4917375" y="3780000"/>
            <a:ext cx="857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25</xdr:col>
      <xdr:colOff>0</xdr:colOff>
      <xdr:row>15</xdr:row>
      <xdr:rowOff>161925</xdr:rowOff>
    </xdr:from>
    <xdr:ext cx="1066800" cy="381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GrpSpPr/>
      </xdr:nvGrpSpPr>
      <xdr:grpSpPr>
        <a:xfrm>
          <a:off x="6343650" y="7010400"/>
          <a:ext cx="1066800" cy="38100"/>
          <a:chOff x="4812600" y="3780000"/>
          <a:chExt cx="1066800" cy="0"/>
        </a:xfrm>
      </xdr:grpSpPr>
      <xdr:cxnSp macro="">
        <xdr:nvCxnSpPr>
          <xdr:cNvPr id="21" name="Shape 10">
            <a:extLst>
              <a:ext uri="{FF2B5EF4-FFF2-40B4-BE49-F238E27FC236}">
                <a16:creationId xmlns:a16="http://schemas.microsoft.com/office/drawing/2014/main" id="{00000000-0008-0000-0C00-000015000000}"/>
              </a:ext>
            </a:extLst>
          </xdr:cNvPr>
          <xdr:cNvCxnSpPr/>
        </xdr:nvCxnSpPr>
        <xdr:spPr>
          <a:xfrm>
            <a:off x="4812600" y="3780000"/>
            <a:ext cx="10668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0</xdr:colOff>
      <xdr:row>9</xdr:row>
      <xdr:rowOff>358774</xdr:rowOff>
    </xdr:from>
    <xdr:ext cx="1054100" cy="98425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GrpSpPr/>
      </xdr:nvGrpSpPr>
      <xdr:grpSpPr>
        <a:xfrm>
          <a:off x="9258300" y="5035549"/>
          <a:ext cx="1054100" cy="98425"/>
          <a:chOff x="5041200" y="3780000"/>
          <a:chExt cx="609600" cy="0"/>
        </a:xfrm>
      </xdr:grpSpPr>
      <xdr:cxnSp macro="">
        <xdr:nvCxnSpPr>
          <xdr:cNvPr id="23" name="Shape 11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CxnSpPr/>
        </xdr:nvCxnSpPr>
        <xdr:spPr>
          <a:xfrm>
            <a:off x="5041200" y="3780000"/>
            <a:ext cx="6096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38</xdr:col>
      <xdr:colOff>0</xdr:colOff>
      <xdr:row>13</xdr:row>
      <xdr:rowOff>-19050</xdr:rowOff>
    </xdr:from>
    <xdr:ext cx="581025" cy="381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GrpSpPr/>
      </xdr:nvGrpSpPr>
      <xdr:grpSpPr>
        <a:xfrm>
          <a:off x="9734550" y="6105525"/>
          <a:ext cx="581025" cy="38100"/>
          <a:chOff x="5055488" y="3780000"/>
          <a:chExt cx="581025" cy="0"/>
        </a:xfrm>
      </xdr:grpSpPr>
      <xdr:cxnSp macro="">
        <xdr:nvCxnSpPr>
          <xdr:cNvPr id="25" name="Shape 12">
            <a:extLst>
              <a:ext uri="{FF2B5EF4-FFF2-40B4-BE49-F238E27FC236}">
                <a16:creationId xmlns:a16="http://schemas.microsoft.com/office/drawing/2014/main" id="{00000000-0008-0000-0C00-000019000000}"/>
              </a:ext>
            </a:extLst>
          </xdr:cNvPr>
          <xdr:cNvCxnSpPr/>
        </xdr:nvCxnSpPr>
        <xdr:spPr>
          <a:xfrm>
            <a:off x="5055488" y="3780000"/>
            <a:ext cx="5810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39</xdr:col>
      <xdr:colOff>0</xdr:colOff>
      <xdr:row>16</xdr:row>
      <xdr:rowOff>-9525</xdr:rowOff>
    </xdr:from>
    <xdr:ext cx="828675" cy="381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GrpSpPr/>
      </xdr:nvGrpSpPr>
      <xdr:grpSpPr>
        <a:xfrm>
          <a:off x="9972675" y="7200900"/>
          <a:ext cx="828675" cy="38100"/>
          <a:chOff x="4931663" y="3780000"/>
          <a:chExt cx="828675" cy="0"/>
        </a:xfrm>
      </xdr:grpSpPr>
      <xdr:cxnSp macro="">
        <xdr:nvCxnSpPr>
          <xdr:cNvPr id="27" name="Shape 13">
            <a:extLst>
              <a:ext uri="{FF2B5EF4-FFF2-40B4-BE49-F238E27FC236}">
                <a16:creationId xmlns:a16="http://schemas.microsoft.com/office/drawing/2014/main" id="{00000000-0008-0000-0C00-00001B000000}"/>
              </a:ext>
            </a:extLst>
          </xdr:cNvPr>
          <xdr:cNvCxnSpPr/>
        </xdr:nvCxnSpPr>
        <xdr:spPr>
          <a:xfrm>
            <a:off x="4931663" y="3780000"/>
            <a:ext cx="828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39</xdr:col>
      <xdr:colOff>0</xdr:colOff>
      <xdr:row>20</xdr:row>
      <xdr:rowOff>-19050</xdr:rowOff>
    </xdr:from>
    <xdr:ext cx="828675" cy="3810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GrpSpPr/>
      </xdr:nvGrpSpPr>
      <xdr:grpSpPr>
        <a:xfrm>
          <a:off x="9972675" y="8524875"/>
          <a:ext cx="828675" cy="38100"/>
          <a:chOff x="4931663" y="3780000"/>
          <a:chExt cx="828675" cy="0"/>
        </a:xfrm>
      </xdr:grpSpPr>
      <xdr:cxnSp macro="">
        <xdr:nvCxnSpPr>
          <xdr:cNvPr id="29" name="Shape 13">
            <a:extLst>
              <a:ext uri="{FF2B5EF4-FFF2-40B4-BE49-F238E27FC236}">
                <a16:creationId xmlns:a16="http://schemas.microsoft.com/office/drawing/2014/main" id="{00000000-0008-0000-0C00-00001D000000}"/>
              </a:ext>
            </a:extLst>
          </xdr:cNvPr>
          <xdr:cNvCxnSpPr/>
        </xdr:nvCxnSpPr>
        <xdr:spPr>
          <a:xfrm>
            <a:off x="4931663" y="3780000"/>
            <a:ext cx="828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38</xdr:col>
      <xdr:colOff>0</xdr:colOff>
      <xdr:row>23</xdr:row>
      <xdr:rowOff>-19050</xdr:rowOff>
    </xdr:from>
    <xdr:ext cx="666750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GrpSpPr/>
      </xdr:nvGrpSpPr>
      <xdr:grpSpPr>
        <a:xfrm>
          <a:off x="9734550" y="9610725"/>
          <a:ext cx="666750" cy="38100"/>
          <a:chOff x="5012625" y="3780000"/>
          <a:chExt cx="666750" cy="0"/>
        </a:xfrm>
      </xdr:grpSpPr>
      <xdr:cxnSp macro="">
        <xdr:nvCxnSpPr>
          <xdr:cNvPr id="31" name="Shape 14">
            <a:extLst>
              <a:ext uri="{FF2B5EF4-FFF2-40B4-BE49-F238E27FC236}">
                <a16:creationId xmlns:a16="http://schemas.microsoft.com/office/drawing/2014/main" id="{00000000-0008-0000-0C00-00001F000000}"/>
              </a:ext>
            </a:extLst>
          </xdr:cNvPr>
          <xdr:cNvCxnSpPr/>
        </xdr:nvCxnSpPr>
        <xdr:spPr>
          <a:xfrm>
            <a:off x="5012625" y="3780000"/>
            <a:ext cx="6667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37</xdr:col>
      <xdr:colOff>0</xdr:colOff>
      <xdr:row>26</xdr:row>
      <xdr:rowOff>-19050</xdr:rowOff>
    </xdr:from>
    <xdr:ext cx="552450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GrpSpPr/>
      </xdr:nvGrpSpPr>
      <xdr:grpSpPr>
        <a:xfrm>
          <a:off x="9496425" y="10696575"/>
          <a:ext cx="552450" cy="38100"/>
          <a:chOff x="5069775" y="3780000"/>
          <a:chExt cx="552450" cy="0"/>
        </a:xfrm>
      </xdr:grpSpPr>
      <xdr:cxnSp macro="">
        <xdr:nvCxnSpPr>
          <xdr:cNvPr id="33" name="Shape 15">
            <a:extLst>
              <a:ext uri="{FF2B5EF4-FFF2-40B4-BE49-F238E27FC236}">
                <a16:creationId xmlns:a16="http://schemas.microsoft.com/office/drawing/2014/main" id="{00000000-0008-0000-0C00-000021000000}"/>
              </a:ext>
            </a:extLst>
          </xdr:cNvPr>
          <xdr:cNvCxnSpPr/>
        </xdr:nvCxnSpPr>
        <xdr:spPr>
          <a:xfrm>
            <a:off x="5069775" y="3780000"/>
            <a:ext cx="5524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0</xdr:colOff>
      <xdr:row>29</xdr:row>
      <xdr:rowOff>-19050</xdr:rowOff>
    </xdr:from>
    <xdr:ext cx="419100" cy="3810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GrpSpPr/>
      </xdr:nvGrpSpPr>
      <xdr:grpSpPr>
        <a:xfrm>
          <a:off x="9258300" y="11782425"/>
          <a:ext cx="419100" cy="38100"/>
          <a:chOff x="5136450" y="3780000"/>
          <a:chExt cx="419100" cy="0"/>
        </a:xfrm>
      </xdr:grpSpPr>
      <xdr:cxnSp macro="">
        <xdr:nvCxnSpPr>
          <xdr:cNvPr id="35" name="Shape 16">
            <a:extLst>
              <a:ext uri="{FF2B5EF4-FFF2-40B4-BE49-F238E27FC236}">
                <a16:creationId xmlns:a16="http://schemas.microsoft.com/office/drawing/2014/main" id="{00000000-0008-0000-0C00-000023000000}"/>
              </a:ext>
            </a:extLst>
          </xdr:cNvPr>
          <xdr:cNvCxnSpPr/>
        </xdr:nvCxnSpPr>
        <xdr:spPr>
          <a:xfrm>
            <a:off x="5136450" y="3780000"/>
            <a:ext cx="419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26</xdr:col>
      <xdr:colOff>0</xdr:colOff>
      <xdr:row>20</xdr:row>
      <xdr:rowOff>-19050</xdr:rowOff>
    </xdr:from>
    <xdr:ext cx="838200" cy="38100"/>
    <xdr:grpSp>
      <xdr:nvGrpSpPr>
        <xdr:cNvPr id="36" name="Shape 2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GrpSpPr/>
      </xdr:nvGrpSpPr>
      <xdr:grpSpPr>
        <a:xfrm>
          <a:off x="6581775" y="8524875"/>
          <a:ext cx="838200" cy="38100"/>
          <a:chOff x="4926900" y="3780000"/>
          <a:chExt cx="838200" cy="0"/>
        </a:xfrm>
      </xdr:grpSpPr>
      <xdr:cxnSp macro="">
        <xdr:nvCxnSpPr>
          <xdr:cNvPr id="37" name="Shape 17">
            <a:extLst>
              <a:ext uri="{FF2B5EF4-FFF2-40B4-BE49-F238E27FC236}">
                <a16:creationId xmlns:a16="http://schemas.microsoft.com/office/drawing/2014/main" id="{00000000-0008-0000-0C00-000025000000}"/>
              </a:ext>
            </a:extLst>
          </xdr:cNvPr>
          <xdr:cNvCxnSpPr/>
        </xdr:nvCxnSpPr>
        <xdr:spPr>
          <a:xfrm>
            <a:off x="4926900" y="3780000"/>
            <a:ext cx="8382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25</xdr:col>
      <xdr:colOff>0</xdr:colOff>
      <xdr:row>22</xdr:row>
      <xdr:rowOff>142875</xdr:rowOff>
    </xdr:from>
    <xdr:ext cx="733425" cy="38100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GrpSpPr/>
      </xdr:nvGrpSpPr>
      <xdr:grpSpPr>
        <a:xfrm>
          <a:off x="6343650" y="9410700"/>
          <a:ext cx="733425" cy="38100"/>
          <a:chOff x="4979288" y="3780000"/>
          <a:chExt cx="733425" cy="0"/>
        </a:xfrm>
      </xdr:grpSpPr>
      <xdr:cxnSp macro="">
        <xdr:nvCxnSpPr>
          <xdr:cNvPr id="39" name="Shape 18">
            <a:extLst>
              <a:ext uri="{FF2B5EF4-FFF2-40B4-BE49-F238E27FC236}">
                <a16:creationId xmlns:a16="http://schemas.microsoft.com/office/drawing/2014/main" id="{00000000-0008-0000-0C00-000027000000}"/>
              </a:ext>
            </a:extLst>
          </xdr:cNvPr>
          <xdr:cNvCxnSpPr/>
        </xdr:nvCxnSpPr>
        <xdr:spPr>
          <a:xfrm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24</xdr:col>
      <xdr:colOff>0</xdr:colOff>
      <xdr:row>25</xdr:row>
      <xdr:rowOff>161925</xdr:rowOff>
    </xdr:from>
    <xdr:ext cx="53340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GrpSpPr/>
      </xdr:nvGrpSpPr>
      <xdr:grpSpPr>
        <a:xfrm>
          <a:off x="6105525" y="10515600"/>
          <a:ext cx="533400" cy="38100"/>
          <a:chOff x="5079300" y="3780000"/>
          <a:chExt cx="533400" cy="0"/>
        </a:xfrm>
      </xdr:grpSpPr>
      <xdr:cxnSp macro="">
        <xdr:nvCxnSpPr>
          <xdr:cNvPr id="41" name="Shape 19">
            <a:extLst>
              <a:ext uri="{FF2B5EF4-FFF2-40B4-BE49-F238E27FC236}">
                <a16:creationId xmlns:a16="http://schemas.microsoft.com/office/drawing/2014/main" id="{00000000-0008-0000-0C00-000029000000}"/>
              </a:ext>
            </a:extLst>
          </xdr:cNvPr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23</xdr:col>
      <xdr:colOff>28575</xdr:colOff>
      <xdr:row>29</xdr:row>
      <xdr:rowOff>9525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GrpSpPr/>
      </xdr:nvGrpSpPr>
      <xdr:grpSpPr>
        <a:xfrm>
          <a:off x="5895975" y="11811000"/>
          <a:ext cx="333375" cy="38100"/>
          <a:chOff x="5179313" y="3780000"/>
          <a:chExt cx="333375" cy="0"/>
        </a:xfrm>
      </xdr:grpSpPr>
      <xdr:cxnSp macro="">
        <xdr:nvCxnSpPr>
          <xdr:cNvPr id="43" name="Shape 20">
            <a:extLst>
              <a:ext uri="{FF2B5EF4-FFF2-40B4-BE49-F238E27FC236}">
                <a16:creationId xmlns:a16="http://schemas.microsoft.com/office/drawing/2014/main" id="{00000000-0008-0000-0C00-00002B000000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28575</xdr:colOff>
      <xdr:row>28</xdr:row>
      <xdr:rowOff>161925</xdr:rowOff>
    </xdr:from>
    <xdr:ext cx="314325" cy="38100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GrpSpPr/>
      </xdr:nvGrpSpPr>
      <xdr:grpSpPr>
        <a:xfrm>
          <a:off x="2800350" y="11601450"/>
          <a:ext cx="314325" cy="38100"/>
          <a:chOff x="5188838" y="3780000"/>
          <a:chExt cx="314325" cy="0"/>
        </a:xfrm>
      </xdr:grpSpPr>
      <xdr:cxnSp macro="">
        <xdr:nvCxnSpPr>
          <xdr:cNvPr id="45" name="Shape 21">
            <a:extLst>
              <a:ext uri="{FF2B5EF4-FFF2-40B4-BE49-F238E27FC236}">
                <a16:creationId xmlns:a16="http://schemas.microsoft.com/office/drawing/2014/main" id="{00000000-0008-0000-0C00-00002D000000}"/>
              </a:ext>
            </a:extLst>
          </xdr:cNvPr>
          <xdr:cNvCxnSpPr/>
        </xdr:nvCxnSpPr>
        <xdr:spPr>
          <a:xfrm>
            <a:off x="5188838" y="3780000"/>
            <a:ext cx="3143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28575</xdr:colOff>
      <xdr:row>26</xdr:row>
      <xdr:rowOff>-19050</xdr:rowOff>
    </xdr:from>
    <xdr:ext cx="447675" cy="38100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GrpSpPr/>
      </xdr:nvGrpSpPr>
      <xdr:grpSpPr>
        <a:xfrm>
          <a:off x="3038475" y="10696575"/>
          <a:ext cx="447675" cy="38100"/>
          <a:chOff x="5122163" y="3780000"/>
          <a:chExt cx="447675" cy="0"/>
        </a:xfrm>
      </xdr:grpSpPr>
      <xdr:cxnSp macro="">
        <xdr:nvCxnSpPr>
          <xdr:cNvPr id="47" name="Shape 22">
            <a:extLst>
              <a:ext uri="{FF2B5EF4-FFF2-40B4-BE49-F238E27FC236}">
                <a16:creationId xmlns:a16="http://schemas.microsoft.com/office/drawing/2014/main" id="{00000000-0008-0000-0C00-00002F000000}"/>
              </a:ext>
            </a:extLst>
          </xdr:cNvPr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0</xdr:colOff>
      <xdr:row>23</xdr:row>
      <xdr:rowOff>-19050</xdr:rowOff>
    </xdr:from>
    <xdr:ext cx="647700" cy="38100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GrpSpPr/>
      </xdr:nvGrpSpPr>
      <xdr:grpSpPr>
        <a:xfrm>
          <a:off x="3248025" y="9610725"/>
          <a:ext cx="647700" cy="38100"/>
          <a:chOff x="5022150" y="3780000"/>
          <a:chExt cx="647700" cy="0"/>
        </a:xfrm>
      </xdr:grpSpPr>
      <xdr:cxnSp macro="">
        <xdr:nvCxnSpPr>
          <xdr:cNvPr id="49" name="Shape 23">
            <a:extLst>
              <a:ext uri="{FF2B5EF4-FFF2-40B4-BE49-F238E27FC236}">
                <a16:creationId xmlns:a16="http://schemas.microsoft.com/office/drawing/2014/main" id="{00000000-0008-0000-0C00-000031000000}"/>
              </a:ext>
            </a:extLst>
          </xdr:cNvPr>
          <xdr:cNvCxnSpPr/>
        </xdr:nvCxnSpPr>
        <xdr:spPr>
          <a:xfrm>
            <a:off x="5022150" y="3780000"/>
            <a:ext cx="6477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0</xdr:colOff>
      <xdr:row>20</xdr:row>
      <xdr:rowOff>-19050</xdr:rowOff>
    </xdr:from>
    <xdr:ext cx="800100" cy="3810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GrpSpPr/>
      </xdr:nvGrpSpPr>
      <xdr:grpSpPr>
        <a:xfrm>
          <a:off x="3486150" y="8524875"/>
          <a:ext cx="800100" cy="38100"/>
          <a:chOff x="4945950" y="3780000"/>
          <a:chExt cx="800100" cy="0"/>
        </a:xfrm>
      </xdr:grpSpPr>
      <xdr:cxnSp macro="">
        <xdr:nvCxnSpPr>
          <xdr:cNvPr id="51" name="Shape 24">
            <a:extLst>
              <a:ext uri="{FF2B5EF4-FFF2-40B4-BE49-F238E27FC236}">
                <a16:creationId xmlns:a16="http://schemas.microsoft.com/office/drawing/2014/main" id="{00000000-0008-0000-0C00-000033000000}"/>
              </a:ext>
            </a:extLst>
          </xdr:cNvPr>
          <xdr:cNvCxnSpPr/>
        </xdr:nvCxnSpPr>
        <xdr:spPr>
          <a:xfrm>
            <a:off x="4945950" y="3780000"/>
            <a:ext cx="800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0</xdr:colOff>
      <xdr:row>10</xdr:row>
      <xdr:rowOff>-9525</xdr:rowOff>
    </xdr:from>
    <xdr:ext cx="552450" cy="3810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GrpSpPr/>
      </xdr:nvGrpSpPr>
      <xdr:grpSpPr>
        <a:xfrm>
          <a:off x="2771775" y="5029200"/>
          <a:ext cx="552450" cy="38100"/>
          <a:chOff x="5069775" y="3780000"/>
          <a:chExt cx="552450" cy="0"/>
        </a:xfrm>
      </xdr:grpSpPr>
      <xdr:cxnSp macro="">
        <xdr:nvCxnSpPr>
          <xdr:cNvPr id="53" name="Shape 15">
            <a:extLst>
              <a:ext uri="{FF2B5EF4-FFF2-40B4-BE49-F238E27FC236}">
                <a16:creationId xmlns:a16="http://schemas.microsoft.com/office/drawing/2014/main" id="{00000000-0008-0000-0C00-000035000000}"/>
              </a:ext>
            </a:extLst>
          </xdr:cNvPr>
          <xdr:cNvCxnSpPr/>
        </xdr:nvCxnSpPr>
        <xdr:spPr>
          <a:xfrm>
            <a:off x="5069775" y="3780000"/>
            <a:ext cx="5524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0</xdr:colOff>
      <xdr:row>12</xdr:row>
      <xdr:rowOff>161925</xdr:rowOff>
    </xdr:from>
    <xdr:ext cx="762000" cy="3810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GrpSpPr/>
      </xdr:nvGrpSpPr>
      <xdr:grpSpPr>
        <a:xfrm>
          <a:off x="3009900" y="5924550"/>
          <a:ext cx="762000" cy="38100"/>
          <a:chOff x="4965000" y="3780000"/>
          <a:chExt cx="762000" cy="0"/>
        </a:xfrm>
      </xdr:grpSpPr>
      <xdr:cxnSp macro="">
        <xdr:nvCxnSpPr>
          <xdr:cNvPr id="55" name="Shape 25">
            <a:extLst>
              <a:ext uri="{FF2B5EF4-FFF2-40B4-BE49-F238E27FC236}">
                <a16:creationId xmlns:a16="http://schemas.microsoft.com/office/drawing/2014/main" id="{00000000-0008-0000-0C00-000037000000}"/>
              </a:ext>
            </a:extLst>
          </xdr:cNvPr>
          <xdr:cNvCxnSpPr/>
        </xdr:nvCxnSpPr>
        <xdr:spPr>
          <a:xfrm>
            <a:off x="4965000" y="3780000"/>
            <a:ext cx="7620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0</xdr:colOff>
      <xdr:row>16</xdr:row>
      <xdr:rowOff>-19050</xdr:rowOff>
    </xdr:from>
    <xdr:ext cx="971550" cy="38100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GrpSpPr/>
      </xdr:nvGrpSpPr>
      <xdr:grpSpPr>
        <a:xfrm>
          <a:off x="3248025" y="7191375"/>
          <a:ext cx="971550" cy="38100"/>
          <a:chOff x="4860225" y="3780000"/>
          <a:chExt cx="971550" cy="0"/>
        </a:xfrm>
      </xdr:grpSpPr>
      <xdr:cxnSp macro="">
        <xdr:nvCxnSpPr>
          <xdr:cNvPr id="57" name="Shape 7">
            <a:extLst>
              <a:ext uri="{FF2B5EF4-FFF2-40B4-BE49-F238E27FC236}">
                <a16:creationId xmlns:a16="http://schemas.microsoft.com/office/drawing/2014/main" id="{00000000-0008-0000-0C00-000039000000}"/>
              </a:ext>
            </a:extLst>
          </xdr:cNvPr>
          <xdr:cNvCxnSpPr/>
        </xdr:nvCxnSpPr>
        <xdr:spPr>
          <a:xfrm>
            <a:off x="4860225" y="3780000"/>
            <a:ext cx="9715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0</xdr:colOff>
      <xdr:row>7</xdr:row>
      <xdr:rowOff>-19050</xdr:rowOff>
    </xdr:from>
    <xdr:ext cx="333375" cy="3810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GrpSpPr/>
      </xdr:nvGrpSpPr>
      <xdr:grpSpPr>
        <a:xfrm>
          <a:off x="2533650" y="3438525"/>
          <a:ext cx="333375" cy="38100"/>
          <a:chOff x="5179313" y="3780000"/>
          <a:chExt cx="333375" cy="0"/>
        </a:xfrm>
      </xdr:grpSpPr>
      <xdr:cxnSp macro="">
        <xdr:nvCxnSpPr>
          <xdr:cNvPr id="59" name="Shape 20">
            <a:extLst>
              <a:ext uri="{FF2B5EF4-FFF2-40B4-BE49-F238E27FC236}">
                <a16:creationId xmlns:a16="http://schemas.microsoft.com/office/drawing/2014/main" id="{00000000-0008-0000-0C00-00003B000000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22</xdr:col>
      <xdr:colOff>232929</xdr:colOff>
      <xdr:row>5</xdr:row>
      <xdr:rowOff>359929</xdr:rowOff>
    </xdr:from>
    <xdr:ext cx="2322946" cy="4799445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GrpSpPr/>
      </xdr:nvGrpSpPr>
      <xdr:grpSpPr>
        <a:xfrm>
          <a:off x="5862204" y="2674504"/>
          <a:ext cx="2322946" cy="4799445"/>
          <a:chOff x="4379213" y="2522700"/>
          <a:chExt cx="1933575" cy="2514600"/>
        </a:xfrm>
      </xdr:grpSpPr>
      <xdr:cxnSp macro="">
        <xdr:nvCxnSpPr>
          <xdr:cNvPr id="61" name="Shape 4">
            <a:extLst>
              <a:ext uri="{FF2B5EF4-FFF2-40B4-BE49-F238E27FC236}">
                <a16:creationId xmlns:a16="http://schemas.microsoft.com/office/drawing/2014/main" id="{00000000-0008-0000-0C00-00003D000000}"/>
              </a:ext>
            </a:extLst>
          </xdr:cNvPr>
          <xdr:cNvCxnSpPr/>
        </xdr:nvCxnSpPr>
        <xdr:spPr>
          <a:xfrm>
            <a:off x="4379213" y="2522700"/>
            <a:ext cx="1933575" cy="25146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161925</xdr:colOff>
      <xdr:row>5</xdr:row>
      <xdr:rowOff>142874</xdr:rowOff>
    </xdr:from>
    <xdr:ext cx="2076450" cy="49688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GrpSpPr/>
      </xdr:nvGrpSpPr>
      <xdr:grpSpPr>
        <a:xfrm>
          <a:off x="2695575" y="2457449"/>
          <a:ext cx="2076450" cy="4968875"/>
          <a:chOff x="4379213" y="2527463"/>
          <a:chExt cx="1933575" cy="2505075"/>
        </a:xfrm>
      </xdr:grpSpPr>
      <xdr:cxnSp macro="">
        <xdr:nvCxnSpPr>
          <xdr:cNvPr id="63" name="Shape 26">
            <a:extLst>
              <a:ext uri="{FF2B5EF4-FFF2-40B4-BE49-F238E27FC236}">
                <a16:creationId xmlns:a16="http://schemas.microsoft.com/office/drawing/2014/main" id="{00000000-0008-0000-0C00-00003F000000}"/>
              </a:ext>
            </a:extLst>
          </xdr:cNvPr>
          <xdr:cNvCxnSpPr/>
        </xdr:nvCxnSpPr>
        <xdr:spPr>
          <a:xfrm>
            <a:off x="4379213" y="2527463"/>
            <a:ext cx="1933575" cy="25050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1219200</xdr:colOff>
      <xdr:row>1</xdr:row>
      <xdr:rowOff>0</xdr:rowOff>
    </xdr:from>
    <xdr:ext cx="0" cy="323850"/>
    <xdr:pic>
      <xdr:nvPicPr>
        <xdr:cNvPr id="64" name="image2.png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1219200</xdr:colOff>
      <xdr:row>1</xdr:row>
      <xdr:rowOff>0</xdr:rowOff>
    </xdr:from>
    <xdr:ext cx="0" cy="323850"/>
    <xdr:pic>
      <xdr:nvPicPr>
        <xdr:cNvPr id="65" name="image2.png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0</xdr:colOff>
      <xdr:row>1</xdr:row>
      <xdr:rowOff>0</xdr:rowOff>
    </xdr:from>
    <xdr:ext cx="228600" cy="228600"/>
    <xdr:pic>
      <xdr:nvPicPr>
        <xdr:cNvPr id="66" name="image3.png" title="Imagem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228600" cy="22860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3</xdr:row>
      <xdr:rowOff>123825</xdr:rowOff>
    </xdr:from>
    <xdr:ext cx="4350870" cy="280464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0</xdr:colOff>
      <xdr:row>1</xdr:row>
      <xdr:rowOff>0</xdr:rowOff>
    </xdr:from>
    <xdr:ext cx="228600" cy="228600"/>
    <xdr:pic>
      <xdr:nvPicPr>
        <xdr:cNvPr id="3" name="image3.png" title="Imagem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61257</xdr:colOff>
      <xdr:row>3</xdr:row>
      <xdr:rowOff>69476</xdr:rowOff>
    </xdr:from>
    <xdr:to>
      <xdr:col>10</xdr:col>
      <xdr:colOff>666047</xdr:colOff>
      <xdr:row>13</xdr:row>
      <xdr:rowOff>149412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10728" y="637241"/>
          <a:ext cx="4975084" cy="2971053"/>
        </a:xfrm>
        <a:prstGeom prst="rect">
          <a:avLst/>
        </a:prstGeom>
      </xdr:spPr>
    </xdr:pic>
    <xdr:clientData/>
  </xdr:twoCellAnchor>
  <xdr:oneCellAnchor>
    <xdr:from>
      <xdr:col>5</xdr:col>
      <xdr:colOff>228600</xdr:colOff>
      <xdr:row>14</xdr:row>
      <xdr:rowOff>123825</xdr:rowOff>
    </xdr:from>
    <xdr:ext cx="4350870" cy="2804645"/>
    <xdr:graphicFrame macro="">
      <xdr:nvGraphicFramePr>
        <xdr:cNvPr id="5" name="Chart 1" title="Chart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 editAs="oneCell">
    <xdr:from>
      <xdr:col>5</xdr:col>
      <xdr:colOff>89646</xdr:colOff>
      <xdr:row>14</xdr:row>
      <xdr:rowOff>7470</xdr:rowOff>
    </xdr:from>
    <xdr:to>
      <xdr:col>10</xdr:col>
      <xdr:colOff>717176</xdr:colOff>
      <xdr:row>24</xdr:row>
      <xdr:rowOff>112059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39117" y="3623235"/>
          <a:ext cx="4997824" cy="29957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228600" cy="22860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200025</xdr:colOff>
      <xdr:row>3</xdr:row>
      <xdr:rowOff>133350</xdr:rowOff>
    </xdr:from>
    <xdr:ext cx="3143250" cy="28860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1</xdr:row>
      <xdr:rowOff>0</xdr:rowOff>
    </xdr:from>
    <xdr:ext cx="228600" cy="228600"/>
    <xdr:pic>
      <xdr:nvPicPr>
        <xdr:cNvPr id="3" name="image3.png" title="Imagem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152400</xdr:rowOff>
    </xdr:from>
    <xdr:ext cx="11610975" cy="3028950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0</xdr:colOff>
      <xdr:row>1</xdr:row>
      <xdr:rowOff>0</xdr:rowOff>
    </xdr:from>
    <xdr:ext cx="257175" cy="257175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</xdr:row>
      <xdr:rowOff>0</xdr:rowOff>
    </xdr:from>
    <xdr:ext cx="228600" cy="228600"/>
    <xdr:pic>
      <xdr:nvPicPr>
        <xdr:cNvPr id="2" name="image3.png" title="Imagem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rqu&#234;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quê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vmlDrawing" Target="../drawings/vmlDrawing6.vml"/><Relationship Id="rId1" Type="http://schemas.openxmlformats.org/officeDocument/2006/relationships/hyperlink" Target="https://docs.google.com/spreadsheets/d/1GaMncRZhizuCNcp2e_eQh5yOfSIvjRzGXpA0vn8Am5U/edit?usp=sharing" TargetMode="Externa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0"/>
  <sheetViews>
    <sheetView showGridLines="0" workbookViewId="0">
      <selection activeCell="B13" sqref="B13"/>
    </sheetView>
  </sheetViews>
  <sheetFormatPr defaultColWidth="12.5703125" defaultRowHeight="15.75" customHeight="1"/>
  <cols>
    <col min="1" max="1" width="1" customWidth="1"/>
    <col min="2" max="9" width="18.140625" customWidth="1"/>
    <col min="10" max="10" width="12.5703125" customWidth="1"/>
  </cols>
  <sheetData>
    <row r="1" spans="1:10" ht="4.5" customHeight="1"/>
    <row r="2" spans="1:10" ht="32.25" customHeight="1">
      <c r="B2" s="191" t="s">
        <v>0</v>
      </c>
      <c r="C2" s="264"/>
      <c r="D2" s="264"/>
      <c r="E2" s="264"/>
      <c r="F2" s="264"/>
      <c r="G2" s="264"/>
      <c r="H2" s="264"/>
      <c r="I2" s="265"/>
    </row>
    <row r="3" spans="1:10" ht="68.25" customHeight="1">
      <c r="B3" s="196" t="s">
        <v>1</v>
      </c>
      <c r="C3" s="266"/>
      <c r="D3" s="266"/>
      <c r="E3" s="266"/>
      <c r="F3" s="266"/>
      <c r="G3" s="266"/>
      <c r="H3" s="266"/>
      <c r="I3" s="267"/>
    </row>
    <row r="4" spans="1:10" ht="6" customHeight="1"/>
    <row r="5" spans="1:10" ht="17.45">
      <c r="B5" s="1" t="s">
        <v>2</v>
      </c>
      <c r="C5" s="137" t="s">
        <v>3</v>
      </c>
      <c r="D5" s="1" t="s">
        <v>4</v>
      </c>
      <c r="E5" s="137" t="s">
        <v>5</v>
      </c>
      <c r="F5" s="1" t="s">
        <v>6</v>
      </c>
      <c r="G5" s="137" t="s">
        <v>7</v>
      </c>
      <c r="H5" s="138" t="s">
        <v>8</v>
      </c>
      <c r="I5" s="1" t="s">
        <v>9</v>
      </c>
    </row>
    <row r="6" spans="1:10" ht="24" customHeight="1">
      <c r="A6" s="2"/>
      <c r="B6" s="193" t="s">
        <v>10</v>
      </c>
      <c r="C6" s="194" t="s">
        <v>11</v>
      </c>
      <c r="D6" s="193" t="s">
        <v>12</v>
      </c>
      <c r="E6" s="194" t="s">
        <v>13</v>
      </c>
      <c r="F6" s="193" t="s">
        <v>14</v>
      </c>
      <c r="G6" s="194" t="s">
        <v>15</v>
      </c>
      <c r="H6" s="195" t="s">
        <v>16</v>
      </c>
      <c r="I6" s="193" t="s">
        <v>17</v>
      </c>
      <c r="J6" s="2"/>
    </row>
    <row r="7" spans="1:10" ht="24" customHeight="1">
      <c r="A7" s="2"/>
      <c r="B7" s="268"/>
      <c r="C7" s="269"/>
      <c r="D7" s="268"/>
      <c r="E7" s="269"/>
      <c r="F7" s="268"/>
      <c r="G7" s="269"/>
      <c r="H7" s="270"/>
      <c r="I7" s="268"/>
      <c r="J7" s="2"/>
    </row>
    <row r="8" spans="1:10" ht="6" customHeight="1"/>
    <row r="9" spans="1:10" ht="12.95">
      <c r="B9" s="187" t="s">
        <v>18</v>
      </c>
      <c r="C9" s="271"/>
      <c r="D9" s="271"/>
      <c r="E9" s="271"/>
      <c r="F9" s="271"/>
      <c r="G9" s="271"/>
      <c r="H9" s="271"/>
      <c r="I9" s="272"/>
    </row>
    <row r="10" spans="1:10" ht="12.95">
      <c r="B10" s="188" t="s">
        <v>19</v>
      </c>
      <c r="C10" s="268"/>
      <c r="D10" s="268"/>
      <c r="E10" s="268"/>
      <c r="F10" s="268"/>
      <c r="G10" s="268"/>
      <c r="H10" s="268"/>
      <c r="I10" s="268"/>
    </row>
    <row r="11" spans="1:10" ht="12.6">
      <c r="C11" s="2"/>
      <c r="D11" s="2"/>
      <c r="E11" s="2"/>
      <c r="F11" s="2"/>
      <c r="G11" s="2"/>
    </row>
    <row r="12" spans="1:10" ht="12.6">
      <c r="B12" s="3" t="b">
        <v>1</v>
      </c>
      <c r="C12" s="139" t="s">
        <v>20</v>
      </c>
      <c r="D12" s="2"/>
      <c r="E12" s="2"/>
      <c r="F12" s="4" t="b">
        <v>0</v>
      </c>
      <c r="G12" s="139" t="s">
        <v>21</v>
      </c>
    </row>
    <row r="13" spans="1:10" ht="12.6">
      <c r="B13" s="3" t="b">
        <v>1</v>
      </c>
      <c r="C13" s="139" t="s">
        <v>22</v>
      </c>
      <c r="D13" s="2"/>
      <c r="E13" s="2"/>
      <c r="F13" s="4" t="b">
        <v>1</v>
      </c>
      <c r="G13" s="139" t="s">
        <v>23</v>
      </c>
    </row>
    <row r="14" spans="1:10" ht="12.6">
      <c r="B14" s="3" t="b">
        <v>0</v>
      </c>
      <c r="C14" s="139" t="s">
        <v>24</v>
      </c>
      <c r="D14" s="2"/>
      <c r="E14" s="2"/>
      <c r="F14" s="4" t="b">
        <v>0</v>
      </c>
      <c r="G14" s="139" t="s">
        <v>25</v>
      </c>
    </row>
    <row r="15" spans="1:10" ht="12.6">
      <c r="B15" s="3" t="b">
        <v>1</v>
      </c>
      <c r="C15" s="139" t="s">
        <v>26</v>
      </c>
      <c r="D15" s="2"/>
      <c r="E15" s="2"/>
      <c r="F15" s="4" t="b">
        <v>0</v>
      </c>
      <c r="G15" s="139" t="s">
        <v>27</v>
      </c>
    </row>
    <row r="16" spans="1:10" ht="12.6">
      <c r="B16" s="3" t="b">
        <v>0</v>
      </c>
      <c r="C16" s="139" t="s">
        <v>28</v>
      </c>
      <c r="D16" s="2"/>
      <c r="E16" s="2"/>
      <c r="F16" s="4" t="b">
        <v>0</v>
      </c>
      <c r="G16" s="139" t="s">
        <v>29</v>
      </c>
    </row>
    <row r="18" spans="2:9" ht="12.95">
      <c r="B18" s="187" t="s">
        <v>30</v>
      </c>
      <c r="C18" s="271"/>
      <c r="D18" s="271"/>
      <c r="E18" s="271"/>
      <c r="F18" s="271"/>
      <c r="G18" s="271"/>
      <c r="H18" s="271"/>
      <c r="I18" s="272"/>
    </row>
    <row r="19" spans="2:9" ht="13.5">
      <c r="B19" s="192"/>
      <c r="C19" s="268"/>
      <c r="D19" s="268"/>
      <c r="E19" s="268"/>
      <c r="F19" s="268"/>
      <c r="G19" s="268"/>
      <c r="H19" s="268"/>
      <c r="I19" s="268"/>
    </row>
    <row r="21" spans="2:9" ht="12.6">
      <c r="B21" s="3" t="b">
        <v>0</v>
      </c>
      <c r="C21" s="139" t="s">
        <v>31</v>
      </c>
      <c r="D21" s="2"/>
      <c r="E21" s="2"/>
      <c r="F21" s="4" t="b">
        <v>0</v>
      </c>
      <c r="G21" s="139" t="s">
        <v>32</v>
      </c>
    </row>
    <row r="22" spans="2:9" ht="12.6">
      <c r="B22" s="3" t="b">
        <v>0</v>
      </c>
      <c r="C22" s="139" t="s">
        <v>33</v>
      </c>
      <c r="D22" s="2"/>
      <c r="E22" s="2"/>
      <c r="F22" s="4" t="b">
        <v>0</v>
      </c>
      <c r="G22" s="139" t="s">
        <v>34</v>
      </c>
    </row>
    <row r="23" spans="2:9" ht="12.6">
      <c r="B23" s="3" t="b">
        <v>0</v>
      </c>
      <c r="C23" s="139" t="s">
        <v>35</v>
      </c>
      <c r="D23" s="2"/>
      <c r="E23" s="2"/>
      <c r="F23" s="4" t="b">
        <v>0</v>
      </c>
      <c r="G23" s="139" t="s">
        <v>36</v>
      </c>
    </row>
    <row r="24" spans="2:9" ht="12.6">
      <c r="B24" s="3" t="b">
        <v>0</v>
      </c>
      <c r="C24" s="5" t="s">
        <v>37</v>
      </c>
      <c r="D24" s="2"/>
      <c r="E24" s="2"/>
      <c r="F24" s="4" t="b">
        <v>0</v>
      </c>
      <c r="G24" s="139" t="s">
        <v>38</v>
      </c>
    </row>
    <row r="25" spans="2:9" ht="12.6">
      <c r="B25" s="3" t="b">
        <v>0</v>
      </c>
      <c r="C25" s="139" t="s">
        <v>39</v>
      </c>
      <c r="D25" s="2"/>
      <c r="E25" s="2"/>
      <c r="F25" s="4" t="b">
        <v>0</v>
      </c>
      <c r="G25" s="139" t="s">
        <v>40</v>
      </c>
    </row>
    <row r="27" spans="2:9" ht="12.95">
      <c r="B27" s="187" t="s">
        <v>41</v>
      </c>
      <c r="C27" s="271"/>
      <c r="D27" s="271"/>
      <c r="E27" s="271"/>
      <c r="F27" s="271"/>
      <c r="G27" s="271"/>
      <c r="H27" s="271"/>
      <c r="I27" s="272"/>
    </row>
    <row r="28" spans="2:9" ht="12.95">
      <c r="B28" s="188" t="s">
        <v>42</v>
      </c>
      <c r="C28" s="268"/>
      <c r="D28" s="268"/>
      <c r="E28" s="268"/>
      <c r="F28" s="268"/>
      <c r="G28" s="268"/>
      <c r="H28" s="268"/>
      <c r="I28" s="268"/>
    </row>
    <row r="29" spans="2:9" ht="12.6">
      <c r="C29" s="2"/>
      <c r="D29" s="2"/>
      <c r="E29" s="2"/>
      <c r="F29" s="2"/>
      <c r="G29" s="2"/>
    </row>
    <row r="30" spans="2:9" ht="12.6">
      <c r="B30" s="3" t="b">
        <v>0</v>
      </c>
      <c r="C30" s="139" t="s">
        <v>43</v>
      </c>
      <c r="D30" s="2"/>
      <c r="E30" s="2"/>
      <c r="F30" s="4" t="b">
        <v>0</v>
      </c>
      <c r="G30" s="139" t="s">
        <v>44</v>
      </c>
      <c r="H30" s="2"/>
    </row>
    <row r="31" spans="2:9" ht="12.6">
      <c r="B31" s="3" t="b">
        <v>0</v>
      </c>
      <c r="C31" s="139" t="s">
        <v>45</v>
      </c>
      <c r="D31" s="2"/>
      <c r="E31" s="2"/>
      <c r="F31" s="4" t="b">
        <v>0</v>
      </c>
      <c r="G31" s="139" t="s">
        <v>46</v>
      </c>
      <c r="H31" s="2"/>
    </row>
    <row r="32" spans="2:9" ht="12.6">
      <c r="B32" s="3" t="b">
        <v>0</v>
      </c>
      <c r="C32" s="139" t="s">
        <v>47</v>
      </c>
      <c r="D32" s="2"/>
      <c r="E32" s="2"/>
      <c r="F32" s="4" t="b">
        <v>0</v>
      </c>
      <c r="G32" s="139" t="s">
        <v>48</v>
      </c>
      <c r="H32" s="2"/>
    </row>
    <row r="33" spans="2:9" ht="12.6">
      <c r="B33" s="3" t="b">
        <v>0</v>
      </c>
      <c r="C33" s="139" t="s">
        <v>49</v>
      </c>
      <c r="D33" s="2"/>
      <c r="E33" s="2"/>
      <c r="F33" s="4" t="b">
        <v>0</v>
      </c>
      <c r="G33" s="139" t="s">
        <v>50</v>
      </c>
      <c r="H33" s="2"/>
    </row>
    <row r="34" spans="2:9" ht="12.6">
      <c r="B34" s="3" t="b">
        <v>0</v>
      </c>
      <c r="C34" s="139" t="s">
        <v>51</v>
      </c>
      <c r="D34" s="2"/>
      <c r="E34" s="2"/>
      <c r="F34" s="4" t="b">
        <v>0</v>
      </c>
      <c r="G34" s="139" t="s">
        <v>52</v>
      </c>
      <c r="H34" s="2"/>
    </row>
    <row r="36" spans="2:9" ht="12.95">
      <c r="B36" s="187" t="s">
        <v>53</v>
      </c>
      <c r="C36" s="271"/>
      <c r="D36" s="271"/>
      <c r="E36" s="271"/>
      <c r="F36" s="271"/>
      <c r="G36" s="271"/>
      <c r="H36" s="271"/>
      <c r="I36" s="272"/>
    </row>
    <row r="37" spans="2:9" ht="12.95">
      <c r="B37" s="188" t="s">
        <v>54</v>
      </c>
      <c r="C37" s="268"/>
      <c r="D37" s="268"/>
      <c r="E37" s="268"/>
      <c r="F37" s="268"/>
      <c r="G37" s="268"/>
      <c r="H37" s="268"/>
      <c r="I37" s="268"/>
    </row>
    <row r="38" spans="2:9" ht="12.6">
      <c r="B38" s="2"/>
      <c r="C38" s="2"/>
      <c r="D38" s="2"/>
      <c r="E38" s="2"/>
      <c r="F38" s="2"/>
      <c r="G38" s="2"/>
      <c r="H38" s="2"/>
    </row>
    <row r="39" spans="2:9" ht="12.95">
      <c r="B39" s="4" t="b">
        <v>0</v>
      </c>
      <c r="C39" s="139" t="s">
        <v>55</v>
      </c>
      <c r="D39" s="140"/>
      <c r="E39" s="6"/>
      <c r="F39" s="4" t="b">
        <v>0</v>
      </c>
      <c r="G39" s="139" t="s">
        <v>56</v>
      </c>
      <c r="H39" s="2"/>
    </row>
    <row r="40" spans="2:9" ht="12.95">
      <c r="B40" s="4" t="b">
        <v>0</v>
      </c>
      <c r="C40" s="139" t="s">
        <v>57</v>
      </c>
      <c r="D40" s="140"/>
      <c r="E40" s="6"/>
      <c r="F40" s="4" t="b">
        <v>0</v>
      </c>
      <c r="G40" s="139" t="s">
        <v>58</v>
      </c>
      <c r="H40" s="2"/>
    </row>
    <row r="41" spans="2:9" ht="12.6">
      <c r="B41" s="4" t="b">
        <v>0</v>
      </c>
      <c r="C41" s="189" t="s">
        <v>59</v>
      </c>
      <c r="D41" s="268"/>
      <c r="E41" s="268"/>
      <c r="F41" s="4" t="b">
        <v>0</v>
      </c>
      <c r="G41" s="139" t="s">
        <v>60</v>
      </c>
      <c r="H41" s="2"/>
    </row>
    <row r="42" spans="2:9" ht="12.6">
      <c r="B42" s="4" t="b">
        <v>0</v>
      </c>
      <c r="C42" s="190" t="s">
        <v>61</v>
      </c>
      <c r="D42" s="273"/>
      <c r="E42" s="273"/>
      <c r="F42" s="2"/>
      <c r="G42" s="2"/>
      <c r="H42" s="2"/>
    </row>
    <row r="43" spans="2:9" ht="12.6">
      <c r="C43" s="2"/>
      <c r="D43" s="2"/>
      <c r="E43" s="2"/>
      <c r="F43" s="2"/>
      <c r="G43" s="2"/>
      <c r="H43" s="2"/>
    </row>
    <row r="44" spans="2:9" ht="12.95">
      <c r="B44" s="187" t="s">
        <v>62</v>
      </c>
      <c r="C44" s="271"/>
      <c r="D44" s="271"/>
      <c r="E44" s="271"/>
      <c r="F44" s="271"/>
      <c r="G44" s="271"/>
      <c r="H44" s="271"/>
      <c r="I44" s="272"/>
    </row>
    <row r="45" spans="2:9" ht="12.95">
      <c r="B45" s="188" t="s">
        <v>63</v>
      </c>
      <c r="C45" s="268"/>
      <c r="D45" s="268"/>
      <c r="E45" s="268"/>
      <c r="F45" s="268"/>
      <c r="G45" s="268"/>
      <c r="H45" s="268"/>
      <c r="I45" s="268"/>
    </row>
    <row r="47" spans="2:9" ht="12.6">
      <c r="B47" s="3" t="b">
        <v>0</v>
      </c>
      <c r="C47" s="141" t="s">
        <v>64</v>
      </c>
      <c r="D47" s="7"/>
      <c r="E47" s="7"/>
      <c r="F47" s="4" t="b">
        <v>0</v>
      </c>
      <c r="G47" s="141" t="s">
        <v>65</v>
      </c>
    </row>
    <row r="48" spans="2:9" ht="12.6">
      <c r="B48" s="3" t="b">
        <v>0</v>
      </c>
      <c r="C48" s="141" t="s">
        <v>66</v>
      </c>
      <c r="D48" s="7"/>
      <c r="E48" s="7"/>
      <c r="F48" s="4" t="b">
        <v>0</v>
      </c>
      <c r="G48" s="141" t="s">
        <v>67</v>
      </c>
    </row>
    <row r="49" spans="2:9" ht="12.6">
      <c r="B49" s="3" t="b">
        <v>0</v>
      </c>
      <c r="C49" s="141" t="s">
        <v>68</v>
      </c>
      <c r="D49" s="7"/>
      <c r="E49" s="7"/>
      <c r="F49" s="4" t="b">
        <v>0</v>
      </c>
      <c r="G49" s="141" t="s">
        <v>69</v>
      </c>
    </row>
    <row r="51" spans="2:9" ht="12.95">
      <c r="B51" s="187" t="s">
        <v>70</v>
      </c>
      <c r="C51" s="271"/>
      <c r="D51" s="271"/>
      <c r="E51" s="271"/>
      <c r="F51" s="271"/>
      <c r="G51" s="271"/>
      <c r="H51" s="271"/>
      <c r="I51" s="272"/>
    </row>
    <row r="52" spans="2:9" ht="12.95">
      <c r="B52" s="188" t="s">
        <v>71</v>
      </c>
      <c r="C52" s="268"/>
      <c r="D52" s="268"/>
      <c r="E52" s="268"/>
      <c r="F52" s="268"/>
      <c r="G52" s="268"/>
      <c r="H52" s="268"/>
      <c r="I52" s="268"/>
    </row>
    <row r="54" spans="2:9" ht="12.6">
      <c r="B54" s="3" t="b">
        <v>0</v>
      </c>
      <c r="C54" s="142" t="s">
        <v>72</v>
      </c>
      <c r="F54" s="3" t="b">
        <v>0</v>
      </c>
      <c r="G54" s="142" t="s">
        <v>73</v>
      </c>
    </row>
    <row r="55" spans="2:9" ht="12.6">
      <c r="B55" s="3" t="b">
        <v>0</v>
      </c>
      <c r="C55" s="142" t="s">
        <v>74</v>
      </c>
      <c r="F55" s="3" t="b">
        <v>0</v>
      </c>
      <c r="G55" s="142" t="s">
        <v>75</v>
      </c>
    </row>
    <row r="56" spans="2:9" ht="12.6">
      <c r="B56" s="3" t="b">
        <v>0</v>
      </c>
      <c r="C56" s="142" t="s">
        <v>76</v>
      </c>
      <c r="F56" s="3" t="b">
        <v>0</v>
      </c>
      <c r="G56" s="8" t="s">
        <v>77</v>
      </c>
    </row>
    <row r="58" spans="2:9" ht="12.95">
      <c r="B58" s="187" t="s">
        <v>78</v>
      </c>
      <c r="C58" s="271"/>
      <c r="D58" s="271"/>
      <c r="E58" s="271"/>
      <c r="F58" s="271"/>
      <c r="G58" s="271"/>
      <c r="H58" s="271"/>
      <c r="I58" s="272"/>
    </row>
    <row r="59" spans="2:9" ht="12.95">
      <c r="B59" s="188" t="s">
        <v>79</v>
      </c>
      <c r="C59" s="268"/>
      <c r="D59" s="268"/>
      <c r="E59" s="268"/>
      <c r="F59" s="268"/>
      <c r="G59" s="268"/>
      <c r="H59" s="268"/>
      <c r="I59" s="268"/>
    </row>
    <row r="61" spans="2:9" ht="12.6">
      <c r="B61" s="3" t="b">
        <v>0</v>
      </c>
      <c r="C61" s="142" t="s">
        <v>80</v>
      </c>
      <c r="F61" s="3" t="b">
        <v>0</v>
      </c>
      <c r="G61" s="142" t="s">
        <v>81</v>
      </c>
    </row>
    <row r="62" spans="2:9" ht="12.6">
      <c r="B62" s="3" t="b">
        <v>0</v>
      </c>
      <c r="C62" s="142" t="s">
        <v>82</v>
      </c>
      <c r="F62" s="3" t="b">
        <v>0</v>
      </c>
      <c r="G62" s="142" t="s">
        <v>83</v>
      </c>
    </row>
    <row r="63" spans="2:9" ht="12.6">
      <c r="B63" s="3" t="b">
        <v>0</v>
      </c>
      <c r="C63" s="142" t="s">
        <v>84</v>
      </c>
      <c r="F63" s="3" t="b">
        <v>0</v>
      </c>
      <c r="G63" s="8" t="s">
        <v>85</v>
      </c>
    </row>
    <row r="64" spans="2:9" ht="12.6">
      <c r="B64" s="3" t="b">
        <v>0</v>
      </c>
      <c r="C64" s="142" t="s">
        <v>86</v>
      </c>
      <c r="F64" s="3" t="b">
        <v>0</v>
      </c>
      <c r="G64" s="142" t="s">
        <v>87</v>
      </c>
    </row>
    <row r="66" spans="2:9" ht="12.95">
      <c r="B66" s="187" t="s">
        <v>88</v>
      </c>
      <c r="C66" s="271"/>
      <c r="D66" s="271"/>
      <c r="E66" s="271"/>
      <c r="F66" s="271"/>
      <c r="G66" s="271"/>
      <c r="H66" s="271"/>
      <c r="I66" s="272"/>
    </row>
    <row r="67" spans="2:9" ht="12.95">
      <c r="B67" s="188" t="s">
        <v>89</v>
      </c>
      <c r="C67" s="268"/>
      <c r="D67" s="268"/>
      <c r="E67" s="268"/>
      <c r="F67" s="268"/>
      <c r="G67" s="268"/>
      <c r="H67" s="268"/>
      <c r="I67" s="268"/>
    </row>
    <row r="69" spans="2:9" ht="12.6">
      <c r="B69" s="3" t="b">
        <v>0</v>
      </c>
      <c r="C69" s="8" t="s">
        <v>90</v>
      </c>
      <c r="F69" s="3" t="b">
        <v>0</v>
      </c>
      <c r="G69" s="8" t="s">
        <v>91</v>
      </c>
    </row>
    <row r="70" spans="2:9" ht="12.6">
      <c r="B70" s="3" t="b">
        <v>0</v>
      </c>
      <c r="C70" s="142" t="s">
        <v>92</v>
      </c>
      <c r="F70" s="3" t="b">
        <v>0</v>
      </c>
      <c r="G70" s="142" t="s">
        <v>93</v>
      </c>
    </row>
  </sheetData>
  <mergeCells count="28">
    <mergeCell ref="B2:I2"/>
    <mergeCell ref="B9:I9"/>
    <mergeCell ref="B10:I10"/>
    <mergeCell ref="B18:I18"/>
    <mergeCell ref="B19:I19"/>
    <mergeCell ref="F6:F7"/>
    <mergeCell ref="G6:G7"/>
    <mergeCell ref="H6:H7"/>
    <mergeCell ref="I6:I7"/>
    <mergeCell ref="B3:I3"/>
    <mergeCell ref="B6:B7"/>
    <mergeCell ref="C6:C7"/>
    <mergeCell ref="D6:D7"/>
    <mergeCell ref="E6:E7"/>
    <mergeCell ref="B27:I27"/>
    <mergeCell ref="B28:I28"/>
    <mergeCell ref="B36:I36"/>
    <mergeCell ref="B58:I58"/>
    <mergeCell ref="B59:I59"/>
    <mergeCell ref="B66:I66"/>
    <mergeCell ref="B67:I67"/>
    <mergeCell ref="B37:I37"/>
    <mergeCell ref="C41:E41"/>
    <mergeCell ref="C42:E42"/>
    <mergeCell ref="B44:I44"/>
    <mergeCell ref="B45:I45"/>
    <mergeCell ref="B51:I51"/>
    <mergeCell ref="B52:I52"/>
  </mergeCells>
  <pageMargins left="0.511811024" right="0.511811024" top="0.78740157499999996" bottom="0.78740157499999996" header="0.31496062000000002" footer="0.31496062000000002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8"/>
  <sheetViews>
    <sheetView showGridLines="0" tabSelected="1" zoomScale="80" zoomScaleNormal="80" workbookViewId="0">
      <selection activeCell="F16" sqref="F16"/>
    </sheetView>
  </sheetViews>
  <sheetFormatPr defaultColWidth="12.5703125" defaultRowHeight="15.75" customHeight="1"/>
  <cols>
    <col min="1" max="1" width="1" customWidth="1"/>
    <col min="2" max="9" width="18.140625" customWidth="1"/>
    <col min="10" max="10" width="12.5703125" customWidth="1"/>
  </cols>
  <sheetData>
    <row r="1" spans="2:9" ht="4.5" customHeight="1"/>
    <row r="2" spans="2:9" ht="32.25" customHeight="1">
      <c r="B2" s="191" t="s">
        <v>94</v>
      </c>
      <c r="C2" s="264"/>
      <c r="D2" s="264"/>
      <c r="E2" s="264"/>
      <c r="F2" s="264"/>
      <c r="G2" s="264"/>
      <c r="H2" s="264"/>
      <c r="I2" s="265"/>
    </row>
    <row r="3" spans="2:9" ht="68.25" customHeight="1">
      <c r="B3" s="196" t="s">
        <v>95</v>
      </c>
      <c r="C3" s="266"/>
      <c r="D3" s="266"/>
      <c r="E3" s="266"/>
      <c r="F3" s="266"/>
      <c r="G3" s="266"/>
      <c r="H3" s="266"/>
      <c r="I3" s="267"/>
    </row>
    <row r="4" spans="2:9" ht="6" customHeight="1"/>
    <row r="5" spans="2:9" ht="27" customHeight="1">
      <c r="B5" s="197" t="s">
        <v>96</v>
      </c>
      <c r="C5" s="272"/>
      <c r="D5" s="198" t="s">
        <v>97</v>
      </c>
      <c r="E5" s="274"/>
      <c r="F5" s="275"/>
      <c r="G5" s="9" t="s">
        <v>98</v>
      </c>
      <c r="H5" s="200">
        <v>45212</v>
      </c>
      <c r="I5" s="272"/>
    </row>
    <row r="6" spans="2:9" ht="27" customHeight="1">
      <c r="B6" s="197" t="s">
        <v>99</v>
      </c>
      <c r="C6" s="272"/>
      <c r="D6" s="199" t="s">
        <v>100</v>
      </c>
      <c r="E6" s="271"/>
      <c r="F6" s="272"/>
      <c r="G6" s="9" t="s">
        <v>101</v>
      </c>
      <c r="H6" s="201" t="s">
        <v>102</v>
      </c>
      <c r="I6" s="272"/>
    </row>
    <row r="7" spans="2:9" ht="84.75" customHeight="1">
      <c r="B7" s="197" t="s">
        <v>103</v>
      </c>
      <c r="C7" s="272"/>
      <c r="D7" s="205" t="s">
        <v>104</v>
      </c>
      <c r="E7" s="276"/>
      <c r="F7" s="277"/>
      <c r="G7" s="9" t="s">
        <v>105</v>
      </c>
      <c r="H7" s="202" t="s">
        <v>106</v>
      </c>
      <c r="I7" s="272"/>
    </row>
    <row r="8" spans="2:9" ht="27" customHeight="1">
      <c r="B8" s="197" t="s">
        <v>107</v>
      </c>
      <c r="C8" s="272"/>
      <c r="D8" s="206" t="s">
        <v>108</v>
      </c>
      <c r="E8" s="274"/>
      <c r="F8" s="275"/>
      <c r="G8" s="9" t="s">
        <v>109</v>
      </c>
      <c r="H8" s="203">
        <v>45260</v>
      </c>
      <c r="I8" s="204"/>
    </row>
  </sheetData>
  <mergeCells count="14">
    <mergeCell ref="H7:I7"/>
    <mergeCell ref="H8:I8"/>
    <mergeCell ref="B7:C7"/>
    <mergeCell ref="D7:F7"/>
    <mergeCell ref="B8:C8"/>
    <mergeCell ref="D8:F8"/>
    <mergeCell ref="B2:I2"/>
    <mergeCell ref="B3:I3"/>
    <mergeCell ref="B5:C5"/>
    <mergeCell ref="D5:F5"/>
    <mergeCell ref="B6:C6"/>
    <mergeCell ref="D6:F6"/>
    <mergeCell ref="H5:I5"/>
    <mergeCell ref="H6:I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K20"/>
  <sheetViews>
    <sheetView showGridLines="0" topLeftCell="A10" zoomScale="85" zoomScaleNormal="85" workbookViewId="0">
      <selection activeCell="B6" sqref="B6:F11"/>
    </sheetView>
  </sheetViews>
  <sheetFormatPr defaultColWidth="12.5703125" defaultRowHeight="15.75" customHeight="1"/>
  <cols>
    <col min="1" max="1" width="1" customWidth="1"/>
    <col min="2" max="9" width="18.140625" customWidth="1"/>
    <col min="10" max="10" width="12.5703125" customWidth="1"/>
  </cols>
  <sheetData>
    <row r="1" spans="2:11" ht="4.5" customHeight="1"/>
    <row r="2" spans="2:11" ht="32.25" customHeight="1">
      <c r="B2" s="210" t="s">
        <v>110</v>
      </c>
      <c r="C2" s="278"/>
      <c r="D2" s="278"/>
      <c r="E2" s="278"/>
      <c r="F2" s="278"/>
      <c r="G2" s="278"/>
      <c r="H2" s="278"/>
      <c r="I2" s="279"/>
    </row>
    <row r="3" spans="2:11" ht="68.25" customHeight="1">
      <c r="B3" s="196" t="s">
        <v>111</v>
      </c>
      <c r="C3" s="266"/>
      <c r="D3" s="266"/>
      <c r="E3" s="266"/>
      <c r="F3" s="266"/>
      <c r="G3" s="266"/>
      <c r="H3" s="266"/>
      <c r="I3" s="267"/>
    </row>
    <row r="4" spans="2:11" ht="6" customHeight="1"/>
    <row r="5" spans="2:11" ht="27" customHeight="1">
      <c r="B5" s="212" t="s">
        <v>39</v>
      </c>
      <c r="C5" s="271"/>
      <c r="D5" s="271"/>
      <c r="E5" s="271"/>
      <c r="F5" s="272"/>
      <c r="G5" s="213" t="s">
        <v>112</v>
      </c>
      <c r="H5" s="264"/>
      <c r="I5" s="265"/>
    </row>
    <row r="6" spans="2:11" ht="30.75" customHeight="1">
      <c r="B6" s="214"/>
      <c r="C6" s="264"/>
      <c r="D6" s="264"/>
      <c r="E6" s="264"/>
      <c r="F6" s="265"/>
      <c r="G6" s="10"/>
      <c r="H6" s="11"/>
      <c r="I6" s="12"/>
    </row>
    <row r="7" spans="2:11" ht="30.75" customHeight="1">
      <c r="B7" s="280"/>
      <c r="C7" s="268"/>
      <c r="D7" s="268"/>
      <c r="E7" s="268"/>
      <c r="F7" s="281"/>
      <c r="G7" s="13"/>
      <c r="I7" s="14"/>
    </row>
    <row r="8" spans="2:11" ht="30.75" customHeight="1">
      <c r="B8" s="280"/>
      <c r="C8" s="268"/>
      <c r="D8" s="268"/>
      <c r="E8" s="268"/>
      <c r="F8" s="281"/>
      <c r="G8" s="13"/>
      <c r="I8" s="14"/>
    </row>
    <row r="9" spans="2:11" ht="30.75" customHeight="1">
      <c r="B9" s="280"/>
      <c r="C9" s="268"/>
      <c r="D9" s="268"/>
      <c r="E9" s="268"/>
      <c r="F9" s="281"/>
      <c r="G9" s="13"/>
      <c r="I9" s="14"/>
    </row>
    <row r="10" spans="2:11" ht="30.75" customHeight="1">
      <c r="B10" s="280"/>
      <c r="C10" s="268"/>
      <c r="D10" s="268"/>
      <c r="E10" s="268"/>
      <c r="F10" s="281"/>
      <c r="G10" s="13"/>
      <c r="I10" s="14"/>
    </row>
    <row r="11" spans="2:11" ht="12.6">
      <c r="B11" s="282"/>
      <c r="C11" s="266"/>
      <c r="D11" s="266"/>
      <c r="E11" s="266"/>
      <c r="F11" s="267"/>
      <c r="G11" s="13"/>
      <c r="I11" s="14"/>
    </row>
    <row r="12" spans="2:11" ht="55.5" customHeight="1">
      <c r="B12" s="208" t="s">
        <v>113</v>
      </c>
      <c r="C12" s="272"/>
      <c r="D12" s="215" t="s">
        <v>114</v>
      </c>
      <c r="E12" s="216"/>
      <c r="F12" s="217"/>
      <c r="G12" s="13"/>
      <c r="I12" s="14"/>
    </row>
    <row r="13" spans="2:11" ht="33.75" customHeight="1">
      <c r="B13" s="208" t="s">
        <v>115</v>
      </c>
      <c r="C13" s="272"/>
      <c r="D13" s="209" t="s">
        <v>116</v>
      </c>
      <c r="E13" s="271"/>
      <c r="F13" s="272"/>
      <c r="G13" s="13"/>
      <c r="I13" s="14"/>
      <c r="K13" s="112"/>
    </row>
    <row r="14" spans="2:11" ht="33.75" customHeight="1">
      <c r="B14" s="208" t="s">
        <v>117</v>
      </c>
      <c r="C14" s="272"/>
      <c r="D14" s="209" t="s">
        <v>118</v>
      </c>
      <c r="E14" s="271"/>
      <c r="F14" s="272"/>
      <c r="G14" s="13"/>
      <c r="I14" s="14"/>
      <c r="K14" s="113"/>
    </row>
    <row r="15" spans="2:11" ht="33.75" customHeight="1">
      <c r="B15" s="208" t="s">
        <v>32</v>
      </c>
      <c r="C15" s="272"/>
      <c r="D15" s="209" t="s">
        <v>119</v>
      </c>
      <c r="E15" s="271"/>
      <c r="F15" s="272"/>
      <c r="G15" s="13"/>
      <c r="I15" s="14"/>
      <c r="K15" s="113"/>
    </row>
    <row r="16" spans="2:11" ht="33.75" customHeight="1">
      <c r="B16" s="208" t="s">
        <v>120</v>
      </c>
      <c r="C16" s="272"/>
      <c r="D16" s="209" t="s">
        <v>121</v>
      </c>
      <c r="E16" s="271"/>
      <c r="F16" s="272"/>
      <c r="G16" s="13"/>
      <c r="I16" s="14"/>
      <c r="K16" s="113"/>
    </row>
    <row r="17" spans="2:11" ht="50.45" customHeight="1">
      <c r="B17" s="208" t="s">
        <v>122</v>
      </c>
      <c r="C17" s="272"/>
      <c r="D17" s="211" t="s">
        <v>123</v>
      </c>
      <c r="E17" s="271"/>
      <c r="F17" s="272"/>
      <c r="G17" s="15"/>
      <c r="H17" s="16"/>
      <c r="I17" s="17"/>
      <c r="K17" s="113"/>
    </row>
    <row r="18" spans="2:11" ht="33.75" customHeight="1">
      <c r="B18" s="207"/>
      <c r="C18" s="268"/>
      <c r="K18" s="113"/>
    </row>
    <row r="19" spans="2:11" ht="15.75" customHeight="1">
      <c r="K19" s="113"/>
    </row>
    <row r="20" spans="2:11" ht="15.75" customHeight="1">
      <c r="K20" s="114"/>
    </row>
  </sheetData>
  <mergeCells count="18">
    <mergeCell ref="B2:I2"/>
    <mergeCell ref="B16:C16"/>
    <mergeCell ref="D16:F16"/>
    <mergeCell ref="B17:C17"/>
    <mergeCell ref="D17:F17"/>
    <mergeCell ref="B3:I3"/>
    <mergeCell ref="B5:F5"/>
    <mergeCell ref="G5:I5"/>
    <mergeCell ref="B6:F11"/>
    <mergeCell ref="D12:F12"/>
    <mergeCell ref="B18:C18"/>
    <mergeCell ref="B12:C12"/>
    <mergeCell ref="B13:C13"/>
    <mergeCell ref="D13:F13"/>
    <mergeCell ref="B14:C14"/>
    <mergeCell ref="D14:F14"/>
    <mergeCell ref="B15:C15"/>
    <mergeCell ref="D15:F15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1"/>
  <sheetViews>
    <sheetView showGridLines="0" zoomScale="85" zoomScaleNormal="85" workbookViewId="0">
      <selection activeCell="D6" sqref="D6"/>
    </sheetView>
  </sheetViews>
  <sheetFormatPr defaultColWidth="12.5703125" defaultRowHeight="15.75" customHeight="1"/>
  <cols>
    <col min="1" max="1" width="1" customWidth="1"/>
    <col min="2" max="9" width="18.140625" customWidth="1"/>
    <col min="10" max="10" width="12.5703125" customWidth="1"/>
  </cols>
  <sheetData>
    <row r="1" spans="1:10" ht="4.5" customHeight="1"/>
    <row r="2" spans="1:10" ht="32.25" customHeight="1">
      <c r="B2" s="191" t="s">
        <v>124</v>
      </c>
      <c r="C2" s="264"/>
      <c r="D2" s="264"/>
      <c r="E2" s="264"/>
      <c r="F2" s="264"/>
      <c r="G2" s="264"/>
      <c r="H2" s="264"/>
      <c r="I2" s="265"/>
    </row>
    <row r="3" spans="1:10" ht="68.25" customHeight="1">
      <c r="B3" s="196" t="s">
        <v>125</v>
      </c>
      <c r="C3" s="266"/>
      <c r="D3" s="266"/>
      <c r="E3" s="266"/>
      <c r="F3" s="266"/>
      <c r="G3" s="266"/>
      <c r="H3" s="266"/>
      <c r="I3" s="267"/>
    </row>
    <row r="4" spans="1:10" ht="6" customHeight="1"/>
    <row r="5" spans="1:10" ht="27" customHeight="1">
      <c r="B5" s="219" t="s">
        <v>126</v>
      </c>
      <c r="C5" s="272"/>
      <c r="D5" s="19">
        <v>1</v>
      </c>
      <c r="E5" s="19">
        <v>2</v>
      </c>
      <c r="F5" s="19">
        <v>3</v>
      </c>
      <c r="G5" s="19">
        <v>4</v>
      </c>
      <c r="H5" s="19">
        <v>5</v>
      </c>
      <c r="I5" s="19">
        <v>6</v>
      </c>
    </row>
    <row r="6" spans="1:10" ht="72" customHeight="1">
      <c r="A6" s="2"/>
      <c r="B6" s="218" t="s">
        <v>127</v>
      </c>
      <c r="C6" s="272"/>
      <c r="D6" s="20"/>
      <c r="E6" s="20"/>
      <c r="F6" s="20"/>
      <c r="G6" s="21"/>
      <c r="H6" s="22"/>
      <c r="I6" s="23"/>
      <c r="J6" s="2"/>
    </row>
    <row r="7" spans="1:10" ht="72" customHeight="1">
      <c r="A7" s="2"/>
      <c r="B7" s="218" t="s">
        <v>128</v>
      </c>
      <c r="C7" s="272"/>
      <c r="D7" s="20"/>
      <c r="E7" s="20"/>
      <c r="F7" s="20"/>
      <c r="G7" s="21"/>
      <c r="H7" s="22"/>
      <c r="I7" s="23"/>
      <c r="J7" s="2"/>
    </row>
    <row r="8" spans="1:10" ht="72" customHeight="1">
      <c r="A8" s="2"/>
      <c r="B8" s="218" t="s">
        <v>129</v>
      </c>
      <c r="C8" s="272"/>
      <c r="D8" s="24"/>
      <c r="E8" s="20"/>
      <c r="F8" s="20"/>
      <c r="G8" s="21"/>
      <c r="H8" s="22"/>
      <c r="I8" s="23"/>
      <c r="J8" s="2"/>
    </row>
    <row r="9" spans="1:10" ht="72" customHeight="1">
      <c r="A9" s="2"/>
      <c r="B9" s="218" t="s">
        <v>130</v>
      </c>
      <c r="C9" s="272"/>
      <c r="D9" s="25"/>
      <c r="E9" s="26"/>
      <c r="F9" s="26"/>
      <c r="G9" s="21"/>
      <c r="H9" s="22"/>
      <c r="I9" s="23"/>
      <c r="J9" s="2"/>
    </row>
    <row r="10" spans="1:10" ht="72" customHeight="1">
      <c r="A10" s="2"/>
      <c r="B10" s="218" t="s">
        <v>131</v>
      </c>
      <c r="C10" s="272"/>
      <c r="D10" s="25"/>
      <c r="E10" s="25"/>
      <c r="F10" s="25"/>
      <c r="G10" s="21"/>
      <c r="H10" s="22"/>
      <c r="I10" s="23"/>
      <c r="J10" s="2"/>
    </row>
    <row r="11" spans="1:10" ht="33.75" customHeight="1">
      <c r="B11" s="207"/>
      <c r="C11" s="268"/>
    </row>
  </sheetData>
  <mergeCells count="9">
    <mergeCell ref="B2:I2"/>
    <mergeCell ref="B9:C9"/>
    <mergeCell ref="B10:C10"/>
    <mergeCell ref="B11:C11"/>
    <mergeCell ref="B3:I3"/>
    <mergeCell ref="B5:C5"/>
    <mergeCell ref="B6:C6"/>
    <mergeCell ref="B7:C7"/>
    <mergeCell ref="B8:C8"/>
  </mergeCells>
  <pageMargins left="0.511811024" right="0.511811024" top="0.78740157499999996" bottom="0.78740157499999996" header="0.31496062000000002" footer="0.31496062000000002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1"/>
  <sheetViews>
    <sheetView showGridLines="0" workbookViewId="0">
      <selection activeCell="D8" sqref="D8:E8"/>
    </sheetView>
  </sheetViews>
  <sheetFormatPr defaultColWidth="12.5703125" defaultRowHeight="15.75" customHeight="1"/>
  <cols>
    <col min="1" max="1" width="1" customWidth="1"/>
    <col min="2" max="2" width="8.85546875" customWidth="1"/>
    <col min="3" max="5" width="18.140625" customWidth="1"/>
    <col min="6" max="6" width="5.5703125" customWidth="1"/>
    <col min="7" max="9" width="18.140625" customWidth="1"/>
    <col min="10" max="10" width="9" customWidth="1"/>
    <col min="11" max="11" width="2.7109375" customWidth="1"/>
  </cols>
  <sheetData>
    <row r="1" spans="1:11" ht="4.5" customHeight="1"/>
    <row r="2" spans="1:11" ht="32.25" customHeight="1">
      <c r="B2" s="191" t="s">
        <v>132</v>
      </c>
      <c r="C2" s="264"/>
      <c r="D2" s="264"/>
      <c r="E2" s="264"/>
      <c r="F2" s="264"/>
      <c r="G2" s="264"/>
      <c r="H2" s="264"/>
      <c r="I2" s="264"/>
      <c r="J2" s="265"/>
    </row>
    <row r="3" spans="1:11" ht="68.25" customHeight="1">
      <c r="B3" s="196" t="s">
        <v>133</v>
      </c>
      <c r="C3" s="266"/>
      <c r="D3" s="266"/>
      <c r="E3" s="266"/>
      <c r="F3" s="266"/>
      <c r="G3" s="266"/>
      <c r="H3" s="266"/>
      <c r="I3" s="266"/>
      <c r="J3" s="267"/>
    </row>
    <row r="4" spans="1:11" ht="6" customHeight="1"/>
    <row r="5" spans="1:11" ht="27" customHeight="1">
      <c r="B5" s="212" t="s">
        <v>134</v>
      </c>
      <c r="C5" s="271"/>
      <c r="D5" s="271"/>
      <c r="E5" s="271"/>
      <c r="F5" s="271"/>
      <c r="G5" s="271"/>
      <c r="H5" s="271"/>
      <c r="I5" s="271"/>
      <c r="J5" s="272"/>
    </row>
    <row r="6" spans="1:11" ht="11.25" customHeight="1">
      <c r="A6" s="2"/>
      <c r="C6" s="27"/>
      <c r="D6" s="27"/>
      <c r="E6" s="27"/>
      <c r="F6" s="27"/>
      <c r="G6" s="27"/>
      <c r="H6" s="27"/>
      <c r="I6" s="28"/>
      <c r="J6" s="2"/>
      <c r="K6" s="2"/>
    </row>
    <row r="7" spans="1:11" ht="24.75" customHeight="1">
      <c r="A7" s="2"/>
      <c r="C7" s="29" t="b">
        <v>0</v>
      </c>
      <c r="D7" s="221" t="s">
        <v>135</v>
      </c>
      <c r="E7" s="272"/>
      <c r="G7" s="29" t="b">
        <v>0</v>
      </c>
      <c r="H7" s="221" t="s">
        <v>136</v>
      </c>
      <c r="I7" s="272"/>
      <c r="J7" s="2"/>
      <c r="K7" s="2"/>
    </row>
    <row r="8" spans="1:11" ht="24.75" customHeight="1">
      <c r="A8" s="2"/>
      <c r="C8" s="29" t="b">
        <v>0</v>
      </c>
      <c r="D8" s="221" t="s">
        <v>137</v>
      </c>
      <c r="E8" s="272"/>
      <c r="G8" s="29" t="b">
        <v>0</v>
      </c>
      <c r="H8" s="221" t="s">
        <v>138</v>
      </c>
      <c r="I8" s="272"/>
      <c r="J8" s="2"/>
      <c r="K8" s="2"/>
    </row>
    <row r="9" spans="1:11" ht="24.75" customHeight="1">
      <c r="A9" s="2"/>
      <c r="C9" s="29" t="b">
        <v>0</v>
      </c>
      <c r="D9" s="221" t="s">
        <v>139</v>
      </c>
      <c r="E9" s="272"/>
      <c r="G9" s="29" t="b">
        <v>0</v>
      </c>
      <c r="H9" s="221" t="s">
        <v>140</v>
      </c>
      <c r="I9" s="272"/>
      <c r="J9" s="2"/>
      <c r="K9" s="2"/>
    </row>
    <row r="10" spans="1:11" ht="24.75" customHeight="1">
      <c r="A10" s="2"/>
      <c r="B10" s="30"/>
      <c r="C10" s="29" t="b">
        <v>0</v>
      </c>
      <c r="D10" s="221" t="s">
        <v>141</v>
      </c>
      <c r="E10" s="272"/>
      <c r="G10" s="29" t="b">
        <v>0</v>
      </c>
      <c r="H10" s="221" t="s">
        <v>142</v>
      </c>
      <c r="I10" s="272"/>
      <c r="J10" s="2"/>
      <c r="K10" s="2"/>
    </row>
    <row r="11" spans="1:11" ht="24.75" customHeight="1">
      <c r="B11" s="30"/>
      <c r="C11" s="29" t="b">
        <v>0</v>
      </c>
      <c r="D11" s="220" t="s">
        <v>143</v>
      </c>
      <c r="E11" s="267"/>
      <c r="F11" s="31"/>
    </row>
  </sheetData>
  <mergeCells count="12">
    <mergeCell ref="B2:J2"/>
    <mergeCell ref="D11:E11"/>
    <mergeCell ref="B3:J3"/>
    <mergeCell ref="B5:J5"/>
    <mergeCell ref="D7:E7"/>
    <mergeCell ref="H7:I7"/>
    <mergeCell ref="H8:I8"/>
    <mergeCell ref="D8:E8"/>
    <mergeCell ref="D9:E9"/>
    <mergeCell ref="H9:I9"/>
    <mergeCell ref="D10:E10"/>
    <mergeCell ref="H10:I10"/>
  </mergeCells>
  <hyperlinks>
    <hyperlink ref="D7" location="Fluxograma!A1" display="🎯 FLUXOGRAMA" xr:uid="{00000000-0004-0000-0400-000000000000}"/>
    <hyperlink ref="H7" location="Check List (Folha de Verificaçã!A1" display="🎯 CHECK LIST" xr:uid="{00000000-0004-0000-0400-000001000000}"/>
    <hyperlink ref="D8" location="Brainstorming!A1" display="🎯 BRAINSTORMING" xr:uid="{00000000-0004-0000-0400-000002000000}"/>
    <hyperlink ref="H8" location="Gráfico Geral!A1" display="🎯 GRÁFICO GERAL" xr:uid="{00000000-0004-0000-0400-000003000000}"/>
    <hyperlink ref="D9" location="Diagrama de Ishikawa (Espinha d!A1" display="🎯 DIAGRAMA DE ISHIKAWA " xr:uid="{00000000-0004-0000-0400-000004000000}"/>
    <hyperlink ref="H9" location="Carta de Tendência!A1" display="🎯 CARTA DE TENDÊNCIA" xr:uid="{00000000-0004-0000-0400-000005000000}"/>
    <hyperlink ref="D10" location="5 Porquês!A1" display="🎯 5 PORQUÊS" xr:uid="{00000000-0004-0000-0400-000006000000}"/>
    <hyperlink ref="H10" location="Outras Ferramentas!A1" display="🎯 OUTRAS FERRAMENTAS" xr:uid="{00000000-0004-0000-0400-000007000000}"/>
    <hyperlink ref="D11" location="Gráfico de Pareto!A1" display="🎯 GRÁFICO DE PARETO" xr:uid="{00000000-0004-0000-0400-000008000000}"/>
  </hyperlinks>
  <pageMargins left="0.511811024" right="0.511811024" top="0.78740157499999996" bottom="0.78740157499999996" header="0.31496062000000002" footer="0.31496062000000002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Right="0"/>
  </sheetPr>
  <dimension ref="A1:L100"/>
  <sheetViews>
    <sheetView showGridLines="0" zoomScale="70" zoomScaleNormal="70" workbookViewId="0">
      <pane ySplit="12" topLeftCell="A13" activePane="bottomLeft" state="frozen"/>
      <selection pane="bottomLeft" activeCell="U17" sqref="U17"/>
    </sheetView>
  </sheetViews>
  <sheetFormatPr defaultColWidth="12.5703125" defaultRowHeight="15.75" customHeight="1"/>
  <cols>
    <col min="1" max="1" width="0.7109375" customWidth="1"/>
    <col min="2" max="2" width="51.85546875" customWidth="1"/>
    <col min="3" max="3" width="27.5703125" customWidth="1"/>
    <col min="4" max="4" width="15.85546875" customWidth="1"/>
    <col min="5" max="5" width="16" customWidth="1"/>
    <col min="6" max="7" width="15" customWidth="1"/>
    <col min="8" max="8" width="25.42578125" customWidth="1"/>
    <col min="9" max="10" width="12.28515625" customWidth="1"/>
    <col min="11" max="11" width="15.140625" customWidth="1"/>
    <col min="12" max="12" width="3.140625" customWidth="1"/>
  </cols>
  <sheetData>
    <row r="1" spans="1:12" ht="4.5" customHeight="1"/>
    <row r="2" spans="1:12" ht="32.25" customHeight="1">
      <c r="B2" s="191" t="s">
        <v>144</v>
      </c>
      <c r="C2" s="264"/>
      <c r="D2" s="264"/>
      <c r="E2" s="264"/>
      <c r="F2" s="264"/>
      <c r="G2" s="264"/>
      <c r="H2" s="264"/>
      <c r="I2" s="265"/>
    </row>
    <row r="3" spans="1:12" ht="68.25" customHeight="1">
      <c r="B3" s="196" t="s">
        <v>145</v>
      </c>
      <c r="C3" s="266"/>
      <c r="D3" s="266"/>
      <c r="E3" s="266"/>
      <c r="F3" s="266"/>
      <c r="G3" s="266"/>
      <c r="H3" s="266"/>
      <c r="I3" s="267"/>
    </row>
    <row r="4" spans="1:12" ht="6" customHeight="1"/>
    <row r="5" spans="1:12" ht="14.25" customHeight="1">
      <c r="A5" s="143"/>
      <c r="B5" s="144" t="str">
        <f>"AÇÕES PLANEJADAS (ACCIONES PLANEADAS): "&amp;COUNTIF(C13:C100,"Planeada/Planejada")</f>
        <v>AÇÕES PLANEJADAS (ACCIONES PLANEADAS): 0</v>
      </c>
      <c r="C5" s="143"/>
      <c r="D5" s="224" t="s">
        <v>146</v>
      </c>
      <c r="E5" s="224"/>
      <c r="F5" s="224"/>
      <c r="G5" s="224"/>
      <c r="H5" s="224"/>
      <c r="I5" s="224"/>
      <c r="J5" s="32"/>
      <c r="K5" s="32"/>
      <c r="L5" s="32"/>
    </row>
    <row r="6" spans="1:12" ht="14.25" customHeight="1">
      <c r="A6" s="143"/>
      <c r="B6" s="145" t="str">
        <f>"AÇÕES COMPLETAS (ACCIONES COMPLETAS): "&amp;COUNTIFS(C13:C100,"Completa/Concluído")</f>
        <v>AÇÕES COMPLETAS (ACCIONES COMPLETAS): 0</v>
      </c>
      <c r="C6" s="143"/>
      <c r="D6" s="146"/>
      <c r="E6" s="147"/>
      <c r="F6" s="147"/>
      <c r="G6" s="147"/>
      <c r="H6" s="148"/>
      <c r="I6" s="32"/>
      <c r="J6" s="32"/>
      <c r="K6" s="32"/>
      <c r="L6" s="32"/>
    </row>
    <row r="7" spans="1:12" ht="14.25" customHeight="1">
      <c r="A7" s="143"/>
      <c r="B7" s="149" t="str">
        <f>"AÇÕES EM ANDAMENTO (ACCIONES EN CURSO): "&amp;COUNTIFS(C13:C100,"En Curso/Andamento")</f>
        <v>AÇÕES EM ANDAMENTO (ACCIONES EN CURSO): 0</v>
      </c>
      <c r="C7" s="143"/>
      <c r="D7" s="116"/>
      <c r="E7" s="283"/>
      <c r="F7" s="283"/>
      <c r="G7" s="283"/>
      <c r="H7" s="283"/>
      <c r="I7" s="283"/>
      <c r="J7" s="32"/>
      <c r="K7" s="32"/>
      <c r="L7" s="32"/>
    </row>
    <row r="8" spans="1:12" ht="14.25" customHeight="1">
      <c r="A8" s="143"/>
      <c r="B8" s="150" t="str">
        <f>"AÇÕES PRIORIDADE EM ANDAMENTO (ACCIONES PRIORIDAD EN CURSO): "&amp;COUNTIFS(C13:C100,"En Curso/Andamento",D13:D100,"Y")</f>
        <v>AÇÕES PRIORIDADE EM ANDAMENTO (ACCIONES PRIORIDAD EN CURSO): 0</v>
      </c>
      <c r="C8" s="143"/>
      <c r="D8" s="151"/>
      <c r="E8" s="147"/>
      <c r="F8" s="147"/>
      <c r="G8" s="147"/>
      <c r="H8" s="148"/>
      <c r="I8" s="32"/>
      <c r="J8" s="32"/>
      <c r="K8" s="32"/>
      <c r="L8" s="32"/>
    </row>
    <row r="9" spans="1:12" ht="14.25" customHeight="1">
      <c r="A9" s="143"/>
      <c r="B9" s="143"/>
      <c r="C9" s="143"/>
      <c r="D9" s="146"/>
      <c r="E9" s="147"/>
      <c r="F9" s="147"/>
      <c r="G9" s="147"/>
      <c r="H9" s="148"/>
      <c r="I9" s="32"/>
      <c r="J9" s="32"/>
      <c r="K9" s="32"/>
      <c r="L9" s="32"/>
    </row>
    <row r="10" spans="1:12" ht="13.5">
      <c r="A10" s="152"/>
      <c r="B10" s="223" t="s">
        <v>147</v>
      </c>
      <c r="C10" s="264"/>
      <c r="D10" s="265"/>
      <c r="E10" s="222" t="s">
        <v>148</v>
      </c>
      <c r="F10" s="222" t="s">
        <v>149</v>
      </c>
      <c r="G10" s="222" t="s">
        <v>150</v>
      </c>
      <c r="H10" s="222" t="s">
        <v>151</v>
      </c>
      <c r="I10" s="223" t="s">
        <v>152</v>
      </c>
      <c r="J10" s="264"/>
      <c r="K10" s="265"/>
      <c r="L10" s="33"/>
    </row>
    <row r="11" spans="1:12" ht="13.5">
      <c r="A11" s="152"/>
      <c r="B11" s="282"/>
      <c r="C11" s="266"/>
      <c r="D11" s="267"/>
      <c r="E11" s="284"/>
      <c r="F11" s="284"/>
      <c r="G11" s="284"/>
      <c r="H11" s="285"/>
      <c r="I11" s="282"/>
      <c r="J11" s="266"/>
      <c r="K11" s="267"/>
      <c r="L11" s="33"/>
    </row>
    <row r="12" spans="1:12" ht="32.25" customHeight="1">
      <c r="A12" s="152"/>
      <c r="B12" s="34" t="s">
        <v>153</v>
      </c>
      <c r="C12" s="34" t="s">
        <v>154</v>
      </c>
      <c r="D12" s="34" t="s">
        <v>155</v>
      </c>
      <c r="E12" s="35" t="s">
        <v>156</v>
      </c>
      <c r="F12" s="35" t="s">
        <v>157</v>
      </c>
      <c r="G12" s="35" t="s">
        <v>157</v>
      </c>
      <c r="H12" s="284"/>
      <c r="I12" s="35" t="s">
        <v>158</v>
      </c>
      <c r="J12" s="35" t="s">
        <v>159</v>
      </c>
      <c r="K12" s="35" t="s">
        <v>160</v>
      </c>
      <c r="L12" s="33"/>
    </row>
    <row r="13" spans="1:12" ht="25.5" customHeight="1">
      <c r="A13" s="152"/>
      <c r="B13" s="36"/>
      <c r="C13" s="37"/>
      <c r="D13" s="38"/>
      <c r="E13" s="39"/>
      <c r="F13" s="40"/>
      <c r="G13" s="40"/>
      <c r="H13" s="39"/>
      <c r="I13" s="36" t="b">
        <v>0</v>
      </c>
      <c r="J13" s="36" t="b">
        <v>0</v>
      </c>
      <c r="K13" s="36" t="b">
        <v>0</v>
      </c>
      <c r="L13" s="41"/>
    </row>
    <row r="14" spans="1:12" ht="25.5" customHeight="1">
      <c r="A14" s="152"/>
      <c r="B14" s="36"/>
      <c r="C14" s="37"/>
      <c r="D14" s="37"/>
      <c r="E14" s="39"/>
      <c r="F14" s="42"/>
      <c r="G14" s="36"/>
      <c r="H14" s="39"/>
      <c r="I14" s="36" t="b">
        <v>0</v>
      </c>
      <c r="J14" s="36" t="b">
        <v>0</v>
      </c>
      <c r="K14" s="36" t="b">
        <v>0</v>
      </c>
      <c r="L14" s="41"/>
    </row>
    <row r="15" spans="1:12" ht="25.5" customHeight="1">
      <c r="A15" s="152"/>
      <c r="B15" s="47"/>
      <c r="C15" s="37"/>
      <c r="D15" s="153"/>
      <c r="E15" s="39"/>
      <c r="F15" s="42"/>
      <c r="G15" s="39"/>
      <c r="H15" s="39"/>
      <c r="I15" s="39" t="b">
        <v>0</v>
      </c>
      <c r="J15" s="39" t="b">
        <v>0</v>
      </c>
      <c r="K15" s="39" t="b">
        <v>0</v>
      </c>
      <c r="L15" s="43"/>
    </row>
    <row r="16" spans="1:12" ht="25.5" customHeight="1">
      <c r="A16" s="152"/>
      <c r="B16" s="47"/>
      <c r="C16" s="37"/>
      <c r="D16" s="153"/>
      <c r="E16" s="39"/>
      <c r="F16" s="42"/>
      <c r="G16" s="39"/>
      <c r="H16" s="39"/>
      <c r="I16" s="39" t="b">
        <v>0</v>
      </c>
      <c r="J16" s="39" t="b">
        <v>0</v>
      </c>
      <c r="K16" s="39" t="b">
        <v>0</v>
      </c>
      <c r="L16" s="43"/>
    </row>
    <row r="17" spans="1:12" ht="25.5" customHeight="1">
      <c r="A17" s="152"/>
      <c r="B17" s="47"/>
      <c r="C17" s="37"/>
      <c r="D17" s="153"/>
      <c r="E17" s="39"/>
      <c r="F17" s="42"/>
      <c r="G17" s="39"/>
      <c r="H17" s="39"/>
      <c r="I17" s="39" t="b">
        <v>0</v>
      </c>
      <c r="J17" s="39" t="b">
        <v>0</v>
      </c>
      <c r="K17" s="39" t="b">
        <v>0</v>
      </c>
      <c r="L17" s="43"/>
    </row>
    <row r="18" spans="1:12" ht="25.5" customHeight="1">
      <c r="A18" s="152"/>
      <c r="B18" s="44"/>
      <c r="C18" s="37"/>
      <c r="D18" s="45"/>
      <c r="E18" s="37"/>
      <c r="F18" s="46"/>
      <c r="G18" s="38"/>
      <c r="H18" s="39"/>
      <c r="I18" s="39" t="b">
        <v>0</v>
      </c>
      <c r="J18" s="39" t="b">
        <v>0</v>
      </c>
      <c r="K18" s="39" t="b">
        <v>0</v>
      </c>
      <c r="L18" s="43"/>
    </row>
    <row r="19" spans="1:12" ht="25.5" customHeight="1">
      <c r="A19" s="152"/>
      <c r="B19" s="36"/>
      <c r="C19" s="37"/>
      <c r="D19" s="39"/>
      <c r="E19" s="37"/>
      <c r="F19" s="46"/>
      <c r="G19" s="38"/>
      <c r="H19" s="39"/>
      <c r="I19" s="39" t="b">
        <v>0</v>
      </c>
      <c r="J19" s="39" t="b">
        <v>0</v>
      </c>
      <c r="K19" s="39" t="b">
        <v>0</v>
      </c>
      <c r="L19" s="43"/>
    </row>
    <row r="20" spans="1:12" ht="25.5" customHeight="1">
      <c r="A20" s="152"/>
      <c r="B20" s="47"/>
      <c r="C20" s="37"/>
      <c r="D20" s="37"/>
      <c r="E20" s="39"/>
      <c r="F20" s="39"/>
      <c r="G20" s="39"/>
      <c r="H20" s="39"/>
      <c r="I20" s="39" t="b">
        <v>0</v>
      </c>
      <c r="J20" s="39" t="b">
        <v>0</v>
      </c>
      <c r="K20" s="39" t="b">
        <v>0</v>
      </c>
      <c r="L20" s="43"/>
    </row>
    <row r="21" spans="1:12" ht="25.5" customHeight="1">
      <c r="A21" s="152"/>
      <c r="B21" s="47"/>
      <c r="C21" s="37"/>
      <c r="D21" s="37"/>
      <c r="E21" s="39"/>
      <c r="F21" s="39"/>
      <c r="G21" s="39"/>
      <c r="H21" s="39"/>
      <c r="I21" s="39" t="b">
        <v>0</v>
      </c>
      <c r="J21" s="39" t="b">
        <v>0</v>
      </c>
      <c r="K21" s="39" t="b">
        <v>0</v>
      </c>
      <c r="L21" s="43"/>
    </row>
    <row r="22" spans="1:12" ht="25.5" customHeight="1">
      <c r="A22" s="152"/>
      <c r="B22" s="47"/>
      <c r="C22" s="37"/>
      <c r="D22" s="37"/>
      <c r="E22" s="39"/>
      <c r="F22" s="39"/>
      <c r="G22" s="39"/>
      <c r="H22" s="39"/>
      <c r="I22" s="39" t="b">
        <v>0</v>
      </c>
      <c r="J22" s="39" t="b">
        <v>0</v>
      </c>
      <c r="K22" s="39" t="b">
        <v>0</v>
      </c>
      <c r="L22" s="43"/>
    </row>
    <row r="23" spans="1:12" ht="25.5" customHeight="1">
      <c r="A23" s="152"/>
      <c r="B23" s="47"/>
      <c r="C23" s="37"/>
      <c r="D23" s="37"/>
      <c r="E23" s="39"/>
      <c r="F23" s="39"/>
      <c r="G23" s="39"/>
      <c r="H23" s="39"/>
      <c r="I23" s="39" t="b">
        <v>0</v>
      </c>
      <c r="J23" s="39" t="b">
        <v>0</v>
      </c>
      <c r="K23" s="39" t="b">
        <v>0</v>
      </c>
      <c r="L23" s="43"/>
    </row>
    <row r="24" spans="1:12" ht="25.5" customHeight="1">
      <c r="A24" s="152"/>
      <c r="B24" s="47"/>
      <c r="C24" s="37"/>
      <c r="D24" s="37"/>
      <c r="E24" s="39"/>
      <c r="F24" s="39"/>
      <c r="G24" s="39"/>
      <c r="H24" s="39"/>
      <c r="I24" s="39" t="b">
        <v>0</v>
      </c>
      <c r="J24" s="39" t="b">
        <v>0</v>
      </c>
      <c r="K24" s="39" t="b">
        <v>0</v>
      </c>
      <c r="L24" s="43"/>
    </row>
    <row r="25" spans="1:12" ht="25.5" customHeight="1">
      <c r="A25" s="152"/>
      <c r="B25" s="47"/>
      <c r="C25" s="37"/>
      <c r="D25" s="37"/>
      <c r="E25" s="39"/>
      <c r="F25" s="39"/>
      <c r="G25" s="39"/>
      <c r="H25" s="39"/>
      <c r="I25" s="39" t="b">
        <v>0</v>
      </c>
      <c r="J25" s="39" t="b">
        <v>0</v>
      </c>
      <c r="K25" s="39" t="b">
        <v>0</v>
      </c>
      <c r="L25" s="43"/>
    </row>
    <row r="26" spans="1:12" ht="25.5" customHeight="1">
      <c r="A26" s="152"/>
      <c r="B26" s="47"/>
      <c r="C26" s="37"/>
      <c r="D26" s="37"/>
      <c r="E26" s="39"/>
      <c r="F26" s="39"/>
      <c r="G26" s="39"/>
      <c r="H26" s="39"/>
      <c r="I26" s="39" t="b">
        <v>0</v>
      </c>
      <c r="J26" s="39" t="b">
        <v>0</v>
      </c>
      <c r="K26" s="39" t="b">
        <v>0</v>
      </c>
      <c r="L26" s="43"/>
    </row>
    <row r="27" spans="1:12" ht="25.5" customHeight="1">
      <c r="A27" s="152"/>
      <c r="B27" s="47"/>
      <c r="C27" s="37"/>
      <c r="D27" s="37"/>
      <c r="E27" s="39"/>
      <c r="F27" s="39"/>
      <c r="G27" s="39"/>
      <c r="H27" s="39"/>
      <c r="I27" s="39" t="b">
        <v>0</v>
      </c>
      <c r="J27" s="39" t="b">
        <v>0</v>
      </c>
      <c r="K27" s="39" t="b">
        <v>0</v>
      </c>
      <c r="L27" s="43"/>
    </row>
    <row r="28" spans="1:12" ht="25.5" customHeight="1">
      <c r="A28" s="152"/>
      <c r="B28" s="47"/>
      <c r="C28" s="37"/>
      <c r="D28" s="37"/>
      <c r="E28" s="48"/>
      <c r="F28" s="48"/>
      <c r="G28" s="48"/>
      <c r="H28" s="39"/>
      <c r="I28" s="39" t="b">
        <v>0</v>
      </c>
      <c r="J28" s="39" t="b">
        <v>0</v>
      </c>
      <c r="K28" s="39" t="b">
        <v>0</v>
      </c>
      <c r="L28" s="43"/>
    </row>
    <row r="29" spans="1:12" ht="25.5" customHeight="1">
      <c r="A29" s="152"/>
      <c r="B29" s="36"/>
      <c r="C29" s="37"/>
      <c r="D29" s="37"/>
      <c r="E29" s="39"/>
      <c r="F29" s="39"/>
      <c r="G29" s="39"/>
      <c r="H29" s="39"/>
      <c r="I29" s="39" t="b">
        <v>0</v>
      </c>
      <c r="J29" s="39" t="b">
        <v>0</v>
      </c>
      <c r="K29" s="39" t="b">
        <v>0</v>
      </c>
      <c r="L29" s="43"/>
    </row>
    <row r="30" spans="1:12" ht="25.5" customHeight="1">
      <c r="A30" s="152"/>
      <c r="B30" s="36"/>
      <c r="C30" s="37"/>
      <c r="D30" s="37"/>
      <c r="E30" s="39"/>
      <c r="F30" s="39"/>
      <c r="G30" s="39"/>
      <c r="H30" s="39"/>
      <c r="I30" s="39" t="b">
        <v>0</v>
      </c>
      <c r="J30" s="39" t="b">
        <v>0</v>
      </c>
      <c r="K30" s="39" t="b">
        <v>0</v>
      </c>
      <c r="L30" s="43"/>
    </row>
    <row r="31" spans="1:12" ht="25.5" customHeight="1">
      <c r="A31" s="152"/>
      <c r="B31" s="36"/>
      <c r="C31" s="37"/>
      <c r="D31" s="37"/>
      <c r="E31" s="39"/>
      <c r="F31" s="39"/>
      <c r="G31" s="39"/>
      <c r="H31" s="39"/>
      <c r="I31" s="39" t="b">
        <v>0</v>
      </c>
      <c r="J31" s="39" t="b">
        <v>0</v>
      </c>
      <c r="K31" s="39" t="b">
        <v>0</v>
      </c>
      <c r="L31" s="43"/>
    </row>
    <row r="32" spans="1:12" ht="25.5" customHeight="1">
      <c r="A32" s="152"/>
      <c r="B32" s="36"/>
      <c r="C32" s="37"/>
      <c r="D32" s="37"/>
      <c r="E32" s="39"/>
      <c r="F32" s="39"/>
      <c r="G32" s="39"/>
      <c r="H32" s="39"/>
      <c r="I32" s="39" t="b">
        <v>0</v>
      </c>
      <c r="J32" s="39" t="b">
        <v>0</v>
      </c>
      <c r="K32" s="39" t="b">
        <v>0</v>
      </c>
      <c r="L32" s="43"/>
    </row>
    <row r="33" spans="1:12" ht="25.5" customHeight="1">
      <c r="A33" s="152"/>
      <c r="B33" s="36"/>
      <c r="C33" s="37"/>
      <c r="D33" s="37"/>
      <c r="E33" s="39"/>
      <c r="F33" s="39"/>
      <c r="G33" s="39"/>
      <c r="H33" s="39"/>
      <c r="I33" s="39" t="b">
        <v>0</v>
      </c>
      <c r="J33" s="39" t="b">
        <v>0</v>
      </c>
      <c r="K33" s="39" t="b">
        <v>0</v>
      </c>
      <c r="L33" s="43"/>
    </row>
    <row r="34" spans="1:12" ht="25.5" customHeight="1">
      <c r="A34" s="152"/>
      <c r="B34" s="36"/>
      <c r="C34" s="37"/>
      <c r="D34" s="37"/>
      <c r="E34" s="39"/>
      <c r="F34" s="39"/>
      <c r="G34" s="39"/>
      <c r="H34" s="39"/>
      <c r="I34" s="39" t="b">
        <v>0</v>
      </c>
      <c r="J34" s="39" t="b">
        <v>0</v>
      </c>
      <c r="K34" s="39" t="b">
        <v>0</v>
      </c>
      <c r="L34" s="43"/>
    </row>
    <row r="35" spans="1:12" ht="25.5" customHeight="1">
      <c r="A35" s="152"/>
      <c r="B35" s="36"/>
      <c r="C35" s="37"/>
      <c r="D35" s="37"/>
      <c r="E35" s="39"/>
      <c r="F35" s="39"/>
      <c r="G35" s="39"/>
      <c r="H35" s="39"/>
      <c r="I35" s="39" t="b">
        <v>0</v>
      </c>
      <c r="J35" s="39" t="b">
        <v>0</v>
      </c>
      <c r="K35" s="39" t="b">
        <v>0</v>
      </c>
      <c r="L35" s="43"/>
    </row>
    <row r="36" spans="1:12" ht="25.5" customHeight="1">
      <c r="A36" s="152"/>
      <c r="B36" s="36"/>
      <c r="C36" s="37"/>
      <c r="D36" s="37"/>
      <c r="E36" s="39"/>
      <c r="F36" s="39"/>
      <c r="G36" s="39"/>
      <c r="H36" s="39"/>
      <c r="I36" s="39" t="b">
        <v>0</v>
      </c>
      <c r="J36" s="39" t="b">
        <v>0</v>
      </c>
      <c r="K36" s="39" t="b">
        <v>0</v>
      </c>
      <c r="L36" s="43"/>
    </row>
    <row r="37" spans="1:12" ht="25.5" customHeight="1">
      <c r="A37" s="152"/>
      <c r="B37" s="36"/>
      <c r="C37" s="37"/>
      <c r="D37" s="37"/>
      <c r="E37" s="39"/>
      <c r="F37" s="39"/>
      <c r="G37" s="39"/>
      <c r="H37" s="39"/>
      <c r="I37" s="39" t="b">
        <v>0</v>
      </c>
      <c r="J37" s="39" t="b">
        <v>0</v>
      </c>
      <c r="K37" s="39" t="b">
        <v>0</v>
      </c>
      <c r="L37" s="43"/>
    </row>
    <row r="38" spans="1:12" ht="25.5" customHeight="1">
      <c r="A38" s="152"/>
      <c r="B38" s="36"/>
      <c r="C38" s="37"/>
      <c r="D38" s="37"/>
      <c r="E38" s="39"/>
      <c r="F38" s="39"/>
      <c r="G38" s="39"/>
      <c r="H38" s="39"/>
      <c r="I38" s="39" t="b">
        <v>0</v>
      </c>
      <c r="J38" s="39" t="b">
        <v>0</v>
      </c>
      <c r="K38" s="39" t="b">
        <v>0</v>
      </c>
      <c r="L38" s="43"/>
    </row>
    <row r="39" spans="1:12" ht="25.5" customHeight="1">
      <c r="A39" s="152"/>
      <c r="B39" s="36"/>
      <c r="C39" s="37"/>
      <c r="D39" s="37"/>
      <c r="E39" s="39"/>
      <c r="F39" s="39"/>
      <c r="G39" s="39"/>
      <c r="H39" s="39"/>
      <c r="I39" s="39" t="b">
        <v>0</v>
      </c>
      <c r="J39" s="39" t="b">
        <v>0</v>
      </c>
      <c r="K39" s="39" t="b">
        <v>0</v>
      </c>
      <c r="L39" s="43"/>
    </row>
    <row r="40" spans="1:12" ht="25.5" customHeight="1">
      <c r="A40" s="152"/>
      <c r="B40" s="36"/>
      <c r="C40" s="37"/>
      <c r="D40" s="37"/>
      <c r="E40" s="39"/>
      <c r="F40" s="39"/>
      <c r="G40" s="39"/>
      <c r="H40" s="39"/>
      <c r="I40" s="39" t="b">
        <v>0</v>
      </c>
      <c r="J40" s="39" t="b">
        <v>0</v>
      </c>
      <c r="K40" s="39" t="b">
        <v>0</v>
      </c>
      <c r="L40" s="43"/>
    </row>
    <row r="41" spans="1:12" ht="25.5" customHeight="1">
      <c r="A41" s="152"/>
      <c r="B41" s="36"/>
      <c r="C41" s="37"/>
      <c r="D41" s="37"/>
      <c r="E41" s="39"/>
      <c r="F41" s="39"/>
      <c r="G41" s="39"/>
      <c r="H41" s="39"/>
      <c r="I41" s="39" t="b">
        <v>0</v>
      </c>
      <c r="J41" s="39" t="b">
        <v>0</v>
      </c>
      <c r="K41" s="39" t="b">
        <v>0</v>
      </c>
      <c r="L41" s="43"/>
    </row>
    <row r="42" spans="1:12" ht="25.5" customHeight="1">
      <c r="A42" s="152"/>
      <c r="B42" s="36"/>
      <c r="C42" s="37"/>
      <c r="D42" s="37"/>
      <c r="E42" s="39"/>
      <c r="F42" s="39"/>
      <c r="G42" s="39"/>
      <c r="H42" s="39"/>
      <c r="I42" s="39" t="b">
        <v>0</v>
      </c>
      <c r="J42" s="39" t="b">
        <v>0</v>
      </c>
      <c r="K42" s="39" t="b">
        <v>0</v>
      </c>
      <c r="L42" s="43"/>
    </row>
    <row r="43" spans="1:12" ht="25.5" customHeight="1">
      <c r="A43" s="152"/>
      <c r="B43" s="36"/>
      <c r="C43" s="37"/>
      <c r="D43" s="37"/>
      <c r="E43" s="39"/>
      <c r="F43" s="39"/>
      <c r="G43" s="39"/>
      <c r="H43" s="39"/>
      <c r="I43" s="39" t="b">
        <v>0</v>
      </c>
      <c r="J43" s="39" t="b">
        <v>0</v>
      </c>
      <c r="K43" s="39" t="b">
        <v>0</v>
      </c>
      <c r="L43" s="43"/>
    </row>
    <row r="44" spans="1:12" ht="25.5" customHeight="1">
      <c r="A44" s="152"/>
      <c r="B44" s="36"/>
      <c r="C44" s="37"/>
      <c r="D44" s="37"/>
      <c r="E44" s="39"/>
      <c r="F44" s="39"/>
      <c r="G44" s="39"/>
      <c r="H44" s="39"/>
      <c r="I44" s="39" t="b">
        <v>0</v>
      </c>
      <c r="J44" s="39" t="b">
        <v>0</v>
      </c>
      <c r="K44" s="39" t="b">
        <v>0</v>
      </c>
      <c r="L44" s="43"/>
    </row>
    <row r="45" spans="1:12" ht="25.5" customHeight="1">
      <c r="A45" s="152"/>
      <c r="B45" s="36"/>
      <c r="C45" s="37"/>
      <c r="D45" s="37"/>
      <c r="E45" s="39"/>
      <c r="F45" s="39"/>
      <c r="G45" s="39"/>
      <c r="H45" s="39"/>
      <c r="I45" s="39" t="b">
        <v>0</v>
      </c>
      <c r="J45" s="39" t="b">
        <v>0</v>
      </c>
      <c r="K45" s="39" t="b">
        <v>0</v>
      </c>
      <c r="L45" s="43"/>
    </row>
    <row r="46" spans="1:12" ht="25.5" customHeight="1">
      <c r="A46" s="152"/>
      <c r="B46" s="36"/>
      <c r="C46" s="37"/>
      <c r="D46" s="37"/>
      <c r="E46" s="39"/>
      <c r="F46" s="39"/>
      <c r="G46" s="39"/>
      <c r="H46" s="39"/>
      <c r="I46" s="39" t="b">
        <v>0</v>
      </c>
      <c r="J46" s="39" t="b">
        <v>0</v>
      </c>
      <c r="K46" s="39" t="b">
        <v>0</v>
      </c>
      <c r="L46" s="43"/>
    </row>
    <row r="47" spans="1:12" ht="25.5" customHeight="1">
      <c r="A47" s="152"/>
      <c r="B47" s="36"/>
      <c r="C47" s="37"/>
      <c r="D47" s="37"/>
      <c r="E47" s="39"/>
      <c r="F47" s="39"/>
      <c r="G47" s="39"/>
      <c r="H47" s="39"/>
      <c r="I47" s="39" t="b">
        <v>0</v>
      </c>
      <c r="J47" s="39" t="b">
        <v>0</v>
      </c>
      <c r="K47" s="39" t="b">
        <v>0</v>
      </c>
      <c r="L47" s="43"/>
    </row>
    <row r="48" spans="1:12" ht="25.5" customHeight="1">
      <c r="A48" s="152"/>
      <c r="B48" s="36"/>
      <c r="C48" s="37"/>
      <c r="D48" s="37"/>
      <c r="E48" s="39"/>
      <c r="F48" s="39"/>
      <c r="G48" s="39"/>
      <c r="H48" s="39"/>
      <c r="I48" s="39" t="b">
        <v>0</v>
      </c>
      <c r="J48" s="39" t="b">
        <v>0</v>
      </c>
      <c r="K48" s="39" t="b">
        <v>0</v>
      </c>
      <c r="L48" s="43"/>
    </row>
    <row r="49" spans="1:12" ht="25.5" customHeight="1">
      <c r="A49" s="152"/>
      <c r="B49" s="36"/>
      <c r="C49" s="37"/>
      <c r="D49" s="37"/>
      <c r="E49" s="39"/>
      <c r="F49" s="39"/>
      <c r="G49" s="39"/>
      <c r="H49" s="39"/>
      <c r="I49" s="39" t="b">
        <v>0</v>
      </c>
      <c r="J49" s="39" t="b">
        <v>0</v>
      </c>
      <c r="K49" s="39" t="b">
        <v>0</v>
      </c>
      <c r="L49" s="43"/>
    </row>
    <row r="50" spans="1:12" ht="25.5" customHeight="1">
      <c r="A50" s="152"/>
      <c r="B50" s="36"/>
      <c r="C50" s="37"/>
      <c r="D50" s="37"/>
      <c r="E50" s="39"/>
      <c r="F50" s="39"/>
      <c r="G50" s="39"/>
      <c r="H50" s="39"/>
      <c r="I50" s="39" t="b">
        <v>0</v>
      </c>
      <c r="J50" s="39" t="b">
        <v>0</v>
      </c>
      <c r="K50" s="39" t="b">
        <v>0</v>
      </c>
      <c r="L50" s="43"/>
    </row>
    <row r="51" spans="1:12" ht="25.5" customHeight="1">
      <c r="A51" s="152"/>
      <c r="B51" s="36"/>
      <c r="C51" s="37"/>
      <c r="D51" s="37"/>
      <c r="E51" s="39"/>
      <c r="F51" s="39"/>
      <c r="G51" s="39"/>
      <c r="H51" s="39"/>
      <c r="I51" s="39" t="b">
        <v>0</v>
      </c>
      <c r="J51" s="39" t="b">
        <v>0</v>
      </c>
      <c r="K51" s="39" t="b">
        <v>0</v>
      </c>
      <c r="L51" s="43"/>
    </row>
    <row r="52" spans="1:12" ht="25.5" customHeight="1">
      <c r="A52" s="152"/>
      <c r="B52" s="36"/>
      <c r="C52" s="37"/>
      <c r="D52" s="37"/>
      <c r="E52" s="39"/>
      <c r="F52" s="39"/>
      <c r="G52" s="39"/>
      <c r="H52" s="39"/>
      <c r="I52" s="39" t="b">
        <v>0</v>
      </c>
      <c r="J52" s="39" t="b">
        <v>0</v>
      </c>
      <c r="K52" s="39" t="b">
        <v>0</v>
      </c>
      <c r="L52" s="43"/>
    </row>
    <row r="53" spans="1:12" ht="25.5" customHeight="1">
      <c r="A53" s="152"/>
      <c r="B53" s="36"/>
      <c r="C53" s="37"/>
      <c r="D53" s="37"/>
      <c r="E53" s="39"/>
      <c r="F53" s="39"/>
      <c r="G53" s="39"/>
      <c r="H53" s="39"/>
      <c r="I53" s="39" t="b">
        <v>0</v>
      </c>
      <c r="J53" s="39" t="b">
        <v>0</v>
      </c>
      <c r="K53" s="39" t="b">
        <v>0</v>
      </c>
      <c r="L53" s="43"/>
    </row>
    <row r="54" spans="1:12" ht="25.5" customHeight="1">
      <c r="A54" s="152"/>
      <c r="B54" s="36"/>
      <c r="C54" s="37"/>
      <c r="D54" s="37"/>
      <c r="E54" s="39"/>
      <c r="F54" s="39"/>
      <c r="G54" s="39"/>
      <c r="H54" s="39"/>
      <c r="I54" s="39" t="b">
        <v>0</v>
      </c>
      <c r="J54" s="39" t="b">
        <v>0</v>
      </c>
      <c r="K54" s="39" t="b">
        <v>0</v>
      </c>
      <c r="L54" s="43"/>
    </row>
    <row r="55" spans="1:12" ht="25.5" customHeight="1">
      <c r="A55" s="152"/>
      <c r="B55" s="36"/>
      <c r="C55" s="37"/>
      <c r="D55" s="37"/>
      <c r="E55" s="39"/>
      <c r="F55" s="39"/>
      <c r="G55" s="39"/>
      <c r="H55" s="39"/>
      <c r="I55" s="39" t="b">
        <v>0</v>
      </c>
      <c r="J55" s="39" t="b">
        <v>0</v>
      </c>
      <c r="K55" s="39" t="b">
        <v>0</v>
      </c>
      <c r="L55" s="43"/>
    </row>
    <row r="56" spans="1:12" ht="25.5" customHeight="1">
      <c r="A56" s="152"/>
      <c r="B56" s="36"/>
      <c r="C56" s="37"/>
      <c r="D56" s="37"/>
      <c r="E56" s="39"/>
      <c r="F56" s="39"/>
      <c r="G56" s="39"/>
      <c r="H56" s="39"/>
      <c r="I56" s="39" t="b">
        <v>0</v>
      </c>
      <c r="J56" s="39" t="b">
        <v>0</v>
      </c>
      <c r="K56" s="39" t="b">
        <v>0</v>
      </c>
      <c r="L56" s="43"/>
    </row>
    <row r="57" spans="1:12" ht="25.5" customHeight="1">
      <c r="A57" s="152"/>
      <c r="B57" s="36"/>
      <c r="C57" s="37"/>
      <c r="D57" s="37"/>
      <c r="E57" s="39"/>
      <c r="F57" s="39"/>
      <c r="G57" s="39"/>
      <c r="H57" s="39"/>
      <c r="I57" s="39" t="b">
        <v>0</v>
      </c>
      <c r="J57" s="39" t="b">
        <v>0</v>
      </c>
      <c r="K57" s="39" t="b">
        <v>0</v>
      </c>
      <c r="L57" s="43"/>
    </row>
    <row r="58" spans="1:12" ht="25.5" customHeight="1">
      <c r="A58" s="152"/>
      <c r="B58" s="36"/>
      <c r="C58" s="37"/>
      <c r="D58" s="37"/>
      <c r="E58" s="39"/>
      <c r="F58" s="39"/>
      <c r="G58" s="39"/>
      <c r="H58" s="39"/>
      <c r="I58" s="39" t="b">
        <v>0</v>
      </c>
      <c r="J58" s="39" t="b">
        <v>0</v>
      </c>
      <c r="K58" s="39" t="b">
        <v>0</v>
      </c>
      <c r="L58" s="43"/>
    </row>
    <row r="59" spans="1:12" ht="25.5" customHeight="1">
      <c r="A59" s="152"/>
      <c r="B59" s="36"/>
      <c r="C59" s="37"/>
      <c r="D59" s="37"/>
      <c r="E59" s="39"/>
      <c r="F59" s="39"/>
      <c r="G59" s="39"/>
      <c r="H59" s="39"/>
      <c r="I59" s="39" t="b">
        <v>0</v>
      </c>
      <c r="J59" s="39" t="b">
        <v>0</v>
      </c>
      <c r="K59" s="39" t="b">
        <v>0</v>
      </c>
      <c r="L59" s="43"/>
    </row>
    <row r="60" spans="1:12" ht="25.5" customHeight="1">
      <c r="A60" s="152"/>
      <c r="B60" s="36"/>
      <c r="C60" s="37"/>
      <c r="D60" s="37"/>
      <c r="E60" s="39"/>
      <c r="F60" s="39"/>
      <c r="G60" s="39"/>
      <c r="H60" s="39"/>
      <c r="I60" s="39" t="b">
        <v>0</v>
      </c>
      <c r="J60" s="39" t="b">
        <v>0</v>
      </c>
      <c r="K60" s="39" t="b">
        <v>0</v>
      </c>
      <c r="L60" s="43"/>
    </row>
    <row r="61" spans="1:12" ht="25.5" customHeight="1">
      <c r="A61" s="152"/>
      <c r="B61" s="36"/>
      <c r="C61" s="37"/>
      <c r="D61" s="37"/>
      <c r="E61" s="39"/>
      <c r="F61" s="39"/>
      <c r="G61" s="39"/>
      <c r="H61" s="39"/>
      <c r="I61" s="39" t="b">
        <v>0</v>
      </c>
      <c r="J61" s="39" t="b">
        <v>0</v>
      </c>
      <c r="K61" s="39" t="b">
        <v>0</v>
      </c>
      <c r="L61" s="43"/>
    </row>
    <row r="62" spans="1:12" ht="25.5" customHeight="1">
      <c r="A62" s="152"/>
      <c r="B62" s="36"/>
      <c r="C62" s="37"/>
      <c r="D62" s="37"/>
      <c r="E62" s="39"/>
      <c r="F62" s="39"/>
      <c r="G62" s="39"/>
      <c r="H62" s="39"/>
      <c r="I62" s="39" t="b">
        <v>0</v>
      </c>
      <c r="J62" s="39" t="b">
        <v>0</v>
      </c>
      <c r="K62" s="39" t="b">
        <v>0</v>
      </c>
      <c r="L62" s="43"/>
    </row>
    <row r="63" spans="1:12" ht="25.5" customHeight="1">
      <c r="A63" s="152"/>
      <c r="B63" s="36"/>
      <c r="C63" s="37"/>
      <c r="D63" s="37"/>
      <c r="E63" s="39"/>
      <c r="F63" s="39"/>
      <c r="G63" s="39"/>
      <c r="H63" s="39"/>
      <c r="I63" s="39" t="b">
        <v>0</v>
      </c>
      <c r="J63" s="39" t="b">
        <v>0</v>
      </c>
      <c r="K63" s="39" t="b">
        <v>0</v>
      </c>
      <c r="L63" s="43"/>
    </row>
    <row r="64" spans="1:12" ht="25.5" customHeight="1">
      <c r="A64" s="152"/>
      <c r="B64" s="36"/>
      <c r="C64" s="37"/>
      <c r="D64" s="37"/>
      <c r="E64" s="39"/>
      <c r="F64" s="39"/>
      <c r="G64" s="39"/>
      <c r="H64" s="39"/>
      <c r="I64" s="39" t="b">
        <v>0</v>
      </c>
      <c r="J64" s="39" t="b">
        <v>0</v>
      </c>
      <c r="K64" s="39" t="b">
        <v>0</v>
      </c>
      <c r="L64" s="43"/>
    </row>
    <row r="65" spans="1:12" ht="25.5" customHeight="1">
      <c r="A65" s="152"/>
      <c r="B65" s="36"/>
      <c r="C65" s="37"/>
      <c r="D65" s="37"/>
      <c r="E65" s="39"/>
      <c r="F65" s="39"/>
      <c r="G65" s="39"/>
      <c r="H65" s="39"/>
      <c r="I65" s="39" t="b">
        <v>0</v>
      </c>
      <c r="J65" s="39" t="b">
        <v>0</v>
      </c>
      <c r="K65" s="39" t="b">
        <v>0</v>
      </c>
      <c r="L65" s="43"/>
    </row>
    <row r="66" spans="1:12" ht="25.5" customHeight="1">
      <c r="A66" s="152"/>
      <c r="B66" s="36"/>
      <c r="C66" s="37"/>
      <c r="D66" s="37"/>
      <c r="E66" s="39"/>
      <c r="F66" s="39"/>
      <c r="G66" s="39"/>
      <c r="H66" s="39"/>
      <c r="I66" s="39" t="b">
        <v>0</v>
      </c>
      <c r="J66" s="39" t="b">
        <v>0</v>
      </c>
      <c r="K66" s="39" t="b">
        <v>0</v>
      </c>
      <c r="L66" s="43"/>
    </row>
    <row r="67" spans="1:12" ht="25.5" customHeight="1">
      <c r="A67" s="152"/>
      <c r="B67" s="36"/>
      <c r="C67" s="37"/>
      <c r="D67" s="37"/>
      <c r="E67" s="39"/>
      <c r="F67" s="39"/>
      <c r="G67" s="39"/>
      <c r="H67" s="39"/>
      <c r="I67" s="39" t="b">
        <v>0</v>
      </c>
      <c r="J67" s="39" t="b">
        <v>0</v>
      </c>
      <c r="K67" s="39" t="b">
        <v>0</v>
      </c>
      <c r="L67" s="43"/>
    </row>
    <row r="68" spans="1:12" ht="25.5" customHeight="1">
      <c r="A68" s="152"/>
      <c r="B68" s="36"/>
      <c r="C68" s="37"/>
      <c r="D68" s="37"/>
      <c r="E68" s="39"/>
      <c r="F68" s="39"/>
      <c r="G68" s="39"/>
      <c r="H68" s="39"/>
      <c r="I68" s="39" t="b">
        <v>0</v>
      </c>
      <c r="J68" s="39" t="b">
        <v>0</v>
      </c>
      <c r="K68" s="39" t="b">
        <v>0</v>
      </c>
      <c r="L68" s="43"/>
    </row>
    <row r="69" spans="1:12" ht="25.5" customHeight="1">
      <c r="A69" s="152"/>
      <c r="B69" s="36"/>
      <c r="C69" s="37"/>
      <c r="D69" s="37"/>
      <c r="E69" s="39"/>
      <c r="F69" s="39"/>
      <c r="G69" s="39"/>
      <c r="H69" s="39"/>
      <c r="I69" s="39" t="b">
        <v>0</v>
      </c>
      <c r="J69" s="39" t="b">
        <v>0</v>
      </c>
      <c r="K69" s="39" t="b">
        <v>0</v>
      </c>
      <c r="L69" s="43"/>
    </row>
    <row r="70" spans="1:12" ht="25.5" customHeight="1">
      <c r="A70" s="152"/>
      <c r="B70" s="36"/>
      <c r="C70" s="37"/>
      <c r="D70" s="37"/>
      <c r="E70" s="39"/>
      <c r="F70" s="39"/>
      <c r="G70" s="39"/>
      <c r="H70" s="39"/>
      <c r="I70" s="39" t="b">
        <v>0</v>
      </c>
      <c r="J70" s="39" t="b">
        <v>0</v>
      </c>
      <c r="K70" s="39" t="b">
        <v>0</v>
      </c>
      <c r="L70" s="43"/>
    </row>
    <row r="71" spans="1:12" ht="25.5" customHeight="1">
      <c r="A71" s="152"/>
      <c r="B71" s="36"/>
      <c r="C71" s="37"/>
      <c r="D71" s="37"/>
      <c r="E71" s="39"/>
      <c r="F71" s="39"/>
      <c r="G71" s="39"/>
      <c r="H71" s="39"/>
      <c r="I71" s="39" t="b">
        <v>0</v>
      </c>
      <c r="J71" s="39" t="b">
        <v>0</v>
      </c>
      <c r="K71" s="39" t="b">
        <v>0</v>
      </c>
      <c r="L71" s="43"/>
    </row>
    <row r="72" spans="1:12" ht="25.5" customHeight="1">
      <c r="A72" s="152"/>
      <c r="B72" s="36"/>
      <c r="C72" s="37"/>
      <c r="D72" s="37"/>
      <c r="E72" s="39"/>
      <c r="F72" s="39"/>
      <c r="G72" s="39"/>
      <c r="H72" s="39"/>
      <c r="I72" s="39" t="b">
        <v>0</v>
      </c>
      <c r="J72" s="39" t="b">
        <v>0</v>
      </c>
      <c r="K72" s="39" t="b">
        <v>0</v>
      </c>
      <c r="L72" s="43"/>
    </row>
    <row r="73" spans="1:12" ht="25.5" customHeight="1">
      <c r="A73" s="152"/>
      <c r="B73" s="36"/>
      <c r="C73" s="37"/>
      <c r="D73" s="37"/>
      <c r="E73" s="39"/>
      <c r="F73" s="39"/>
      <c r="G73" s="39"/>
      <c r="H73" s="39"/>
      <c r="I73" s="39" t="b">
        <v>0</v>
      </c>
      <c r="J73" s="39" t="b">
        <v>0</v>
      </c>
      <c r="K73" s="39" t="b">
        <v>0</v>
      </c>
      <c r="L73" s="43"/>
    </row>
    <row r="74" spans="1:12" ht="25.5" customHeight="1">
      <c r="A74" s="152"/>
      <c r="B74" s="36"/>
      <c r="C74" s="37"/>
      <c r="D74" s="37"/>
      <c r="E74" s="39"/>
      <c r="F74" s="39"/>
      <c r="G74" s="39"/>
      <c r="H74" s="39"/>
      <c r="I74" s="39" t="b">
        <v>0</v>
      </c>
      <c r="J74" s="39" t="b">
        <v>0</v>
      </c>
      <c r="K74" s="39" t="b">
        <v>0</v>
      </c>
      <c r="L74" s="43"/>
    </row>
    <row r="75" spans="1:12" ht="25.5" customHeight="1">
      <c r="A75" s="152"/>
      <c r="B75" s="36"/>
      <c r="C75" s="37"/>
      <c r="D75" s="37"/>
      <c r="E75" s="39"/>
      <c r="F75" s="39"/>
      <c r="G75" s="39"/>
      <c r="H75" s="39"/>
      <c r="I75" s="39" t="b">
        <v>0</v>
      </c>
      <c r="J75" s="39" t="b">
        <v>0</v>
      </c>
      <c r="K75" s="39" t="b">
        <v>0</v>
      </c>
      <c r="L75" s="43"/>
    </row>
    <row r="76" spans="1:12" ht="25.5" customHeight="1">
      <c r="A76" s="152"/>
      <c r="B76" s="36"/>
      <c r="C76" s="37"/>
      <c r="D76" s="37"/>
      <c r="E76" s="39"/>
      <c r="F76" s="39"/>
      <c r="G76" s="39"/>
      <c r="H76" s="39"/>
      <c r="I76" s="39" t="b">
        <v>0</v>
      </c>
      <c r="J76" s="39" t="b">
        <v>0</v>
      </c>
      <c r="K76" s="39" t="b">
        <v>0</v>
      </c>
      <c r="L76" s="43"/>
    </row>
    <row r="77" spans="1:12" ht="25.5" customHeight="1">
      <c r="A77" s="152"/>
      <c r="B77" s="36"/>
      <c r="C77" s="37"/>
      <c r="D77" s="37"/>
      <c r="E77" s="39"/>
      <c r="F77" s="39"/>
      <c r="G77" s="39"/>
      <c r="H77" s="39"/>
      <c r="I77" s="39" t="b">
        <v>0</v>
      </c>
      <c r="J77" s="39" t="b">
        <v>0</v>
      </c>
      <c r="K77" s="39" t="b">
        <v>0</v>
      </c>
      <c r="L77" s="43"/>
    </row>
    <row r="78" spans="1:12" ht="25.5" customHeight="1">
      <c r="A78" s="152"/>
      <c r="B78" s="36"/>
      <c r="C78" s="37"/>
      <c r="D78" s="37"/>
      <c r="E78" s="39"/>
      <c r="F78" s="39"/>
      <c r="G78" s="39"/>
      <c r="H78" s="39"/>
      <c r="I78" s="39" t="b">
        <v>0</v>
      </c>
      <c r="J78" s="39" t="b">
        <v>0</v>
      </c>
      <c r="K78" s="39" t="b">
        <v>0</v>
      </c>
      <c r="L78" s="43"/>
    </row>
    <row r="79" spans="1:12" ht="25.5" customHeight="1">
      <c r="A79" s="152"/>
      <c r="B79" s="36"/>
      <c r="C79" s="37"/>
      <c r="D79" s="37"/>
      <c r="E79" s="39"/>
      <c r="F79" s="39"/>
      <c r="G79" s="39"/>
      <c r="H79" s="39"/>
      <c r="I79" s="39" t="b">
        <v>0</v>
      </c>
      <c r="J79" s="39" t="b">
        <v>0</v>
      </c>
      <c r="K79" s="39" t="b">
        <v>0</v>
      </c>
      <c r="L79" s="43"/>
    </row>
    <row r="80" spans="1:12" ht="25.5" customHeight="1">
      <c r="A80" s="152"/>
      <c r="B80" s="36"/>
      <c r="C80" s="37"/>
      <c r="D80" s="37"/>
      <c r="E80" s="39"/>
      <c r="F80" s="39"/>
      <c r="G80" s="39"/>
      <c r="H80" s="39"/>
      <c r="I80" s="39" t="b">
        <v>0</v>
      </c>
      <c r="J80" s="39" t="b">
        <v>0</v>
      </c>
      <c r="K80" s="39" t="b">
        <v>0</v>
      </c>
      <c r="L80" s="43"/>
    </row>
    <row r="81" spans="1:12" ht="25.5" customHeight="1">
      <c r="A81" s="152"/>
      <c r="B81" s="36"/>
      <c r="C81" s="37"/>
      <c r="D81" s="37"/>
      <c r="E81" s="39"/>
      <c r="F81" s="39"/>
      <c r="G81" s="39"/>
      <c r="H81" s="39"/>
      <c r="I81" s="39" t="b">
        <v>0</v>
      </c>
      <c r="J81" s="39" t="b">
        <v>0</v>
      </c>
      <c r="K81" s="39" t="b">
        <v>0</v>
      </c>
      <c r="L81" s="43"/>
    </row>
    <row r="82" spans="1:12" ht="25.5" customHeight="1">
      <c r="A82" s="152"/>
      <c r="B82" s="36"/>
      <c r="C82" s="37"/>
      <c r="D82" s="37"/>
      <c r="E82" s="39"/>
      <c r="F82" s="39"/>
      <c r="G82" s="39"/>
      <c r="H82" s="39"/>
      <c r="I82" s="39" t="b">
        <v>0</v>
      </c>
      <c r="J82" s="39" t="b">
        <v>0</v>
      </c>
      <c r="K82" s="39" t="b">
        <v>0</v>
      </c>
      <c r="L82" s="43"/>
    </row>
    <row r="83" spans="1:12" ht="25.5" customHeight="1">
      <c r="A83" s="152"/>
      <c r="B83" s="36"/>
      <c r="C83" s="37"/>
      <c r="D83" s="37"/>
      <c r="E83" s="39"/>
      <c r="F83" s="39"/>
      <c r="G83" s="39"/>
      <c r="H83" s="39"/>
      <c r="I83" s="39" t="b">
        <v>0</v>
      </c>
      <c r="J83" s="39" t="b">
        <v>0</v>
      </c>
      <c r="K83" s="39" t="b">
        <v>0</v>
      </c>
      <c r="L83" s="43"/>
    </row>
    <row r="84" spans="1:12" ht="25.5" customHeight="1">
      <c r="A84" s="152"/>
      <c r="B84" s="36"/>
      <c r="C84" s="37"/>
      <c r="D84" s="37"/>
      <c r="E84" s="39"/>
      <c r="F84" s="39"/>
      <c r="G84" s="39"/>
      <c r="H84" s="39"/>
      <c r="I84" s="39" t="b">
        <v>0</v>
      </c>
      <c r="J84" s="39" t="b">
        <v>0</v>
      </c>
      <c r="K84" s="39" t="b">
        <v>0</v>
      </c>
      <c r="L84" s="43"/>
    </row>
    <row r="85" spans="1:12" ht="25.5" customHeight="1">
      <c r="A85" s="152"/>
      <c r="B85" s="36"/>
      <c r="C85" s="37"/>
      <c r="D85" s="37"/>
      <c r="E85" s="39"/>
      <c r="F85" s="39"/>
      <c r="G85" s="39"/>
      <c r="H85" s="39"/>
      <c r="I85" s="39" t="b">
        <v>0</v>
      </c>
      <c r="J85" s="39" t="b">
        <v>0</v>
      </c>
      <c r="K85" s="39" t="b">
        <v>0</v>
      </c>
      <c r="L85" s="43"/>
    </row>
    <row r="86" spans="1:12" ht="25.5" customHeight="1">
      <c r="A86" s="152"/>
      <c r="B86" s="36"/>
      <c r="C86" s="37"/>
      <c r="D86" s="37"/>
      <c r="E86" s="39"/>
      <c r="F86" s="39"/>
      <c r="G86" s="39"/>
      <c r="H86" s="39"/>
      <c r="I86" s="39" t="b">
        <v>0</v>
      </c>
      <c r="J86" s="39" t="b">
        <v>0</v>
      </c>
      <c r="K86" s="39" t="b">
        <v>0</v>
      </c>
      <c r="L86" s="43"/>
    </row>
    <row r="87" spans="1:12" ht="25.5" customHeight="1">
      <c r="A87" s="152"/>
      <c r="B87" s="36"/>
      <c r="C87" s="37"/>
      <c r="D87" s="37"/>
      <c r="E87" s="39"/>
      <c r="F87" s="39"/>
      <c r="G87" s="39"/>
      <c r="H87" s="39"/>
      <c r="I87" s="39" t="b">
        <v>0</v>
      </c>
      <c r="J87" s="39" t="b">
        <v>0</v>
      </c>
      <c r="K87" s="39" t="b">
        <v>0</v>
      </c>
      <c r="L87" s="43"/>
    </row>
    <row r="88" spans="1:12" ht="25.5" customHeight="1">
      <c r="A88" s="152"/>
      <c r="B88" s="36"/>
      <c r="C88" s="37"/>
      <c r="D88" s="37"/>
      <c r="E88" s="39"/>
      <c r="F88" s="39"/>
      <c r="G88" s="39"/>
      <c r="H88" s="39"/>
      <c r="I88" s="39" t="b">
        <v>0</v>
      </c>
      <c r="J88" s="39" t="b">
        <v>0</v>
      </c>
      <c r="K88" s="39" t="b">
        <v>0</v>
      </c>
      <c r="L88" s="43"/>
    </row>
    <row r="89" spans="1:12" ht="25.5" customHeight="1">
      <c r="A89" s="152"/>
      <c r="B89" s="36"/>
      <c r="C89" s="37"/>
      <c r="D89" s="37"/>
      <c r="E89" s="39"/>
      <c r="F89" s="39"/>
      <c r="G89" s="39"/>
      <c r="H89" s="39"/>
      <c r="I89" s="39" t="b">
        <v>0</v>
      </c>
      <c r="J89" s="39" t="b">
        <v>0</v>
      </c>
      <c r="K89" s="39" t="b">
        <v>0</v>
      </c>
      <c r="L89" s="43"/>
    </row>
    <row r="90" spans="1:12" ht="25.5" customHeight="1">
      <c r="A90" s="152"/>
      <c r="B90" s="36"/>
      <c r="C90" s="37"/>
      <c r="D90" s="37"/>
      <c r="E90" s="39"/>
      <c r="F90" s="39"/>
      <c r="G90" s="39"/>
      <c r="H90" s="39"/>
      <c r="I90" s="39" t="b">
        <v>0</v>
      </c>
      <c r="J90" s="39" t="b">
        <v>0</v>
      </c>
      <c r="K90" s="39" t="b">
        <v>0</v>
      </c>
      <c r="L90" s="43"/>
    </row>
    <row r="91" spans="1:12" ht="25.5" customHeight="1">
      <c r="A91" s="152"/>
      <c r="B91" s="36"/>
      <c r="C91" s="37"/>
      <c r="D91" s="37"/>
      <c r="E91" s="39"/>
      <c r="F91" s="39"/>
      <c r="G91" s="39"/>
      <c r="H91" s="39"/>
      <c r="I91" s="39" t="b">
        <v>0</v>
      </c>
      <c r="J91" s="39" t="b">
        <v>0</v>
      </c>
      <c r="K91" s="39" t="b">
        <v>0</v>
      </c>
      <c r="L91" s="43"/>
    </row>
    <row r="92" spans="1:12" ht="25.5" customHeight="1">
      <c r="A92" s="152"/>
      <c r="B92" s="36"/>
      <c r="C92" s="37"/>
      <c r="D92" s="37"/>
      <c r="E92" s="39"/>
      <c r="F92" s="39"/>
      <c r="G92" s="39"/>
      <c r="H92" s="39"/>
      <c r="I92" s="39" t="b">
        <v>0</v>
      </c>
      <c r="J92" s="39" t="b">
        <v>0</v>
      </c>
      <c r="K92" s="39" t="b">
        <v>0</v>
      </c>
      <c r="L92" s="43"/>
    </row>
    <row r="93" spans="1:12" ht="25.5" customHeight="1">
      <c r="A93" s="152"/>
      <c r="B93" s="36"/>
      <c r="C93" s="37"/>
      <c r="D93" s="37"/>
      <c r="E93" s="39"/>
      <c r="F93" s="39"/>
      <c r="G93" s="39"/>
      <c r="H93" s="39"/>
      <c r="I93" s="39" t="b">
        <v>0</v>
      </c>
      <c r="J93" s="39" t="b">
        <v>0</v>
      </c>
      <c r="K93" s="39" t="b">
        <v>0</v>
      </c>
      <c r="L93" s="43"/>
    </row>
    <row r="94" spans="1:12" ht="25.5" customHeight="1">
      <c r="A94" s="152"/>
      <c r="B94" s="36"/>
      <c r="C94" s="37"/>
      <c r="D94" s="37"/>
      <c r="E94" s="39"/>
      <c r="F94" s="39"/>
      <c r="G94" s="39"/>
      <c r="H94" s="39"/>
      <c r="I94" s="39" t="b">
        <v>0</v>
      </c>
      <c r="J94" s="39" t="b">
        <v>0</v>
      </c>
      <c r="K94" s="39" t="b">
        <v>0</v>
      </c>
      <c r="L94" s="43"/>
    </row>
    <row r="95" spans="1:12" ht="25.5" customHeight="1">
      <c r="A95" s="152"/>
      <c r="B95" s="36"/>
      <c r="C95" s="37"/>
      <c r="D95" s="37"/>
      <c r="E95" s="39"/>
      <c r="F95" s="39"/>
      <c r="G95" s="39"/>
      <c r="H95" s="39"/>
      <c r="I95" s="39" t="b">
        <v>0</v>
      </c>
      <c r="J95" s="39" t="b">
        <v>0</v>
      </c>
      <c r="K95" s="39" t="b">
        <v>0</v>
      </c>
      <c r="L95" s="43"/>
    </row>
    <row r="96" spans="1:12" ht="25.5" customHeight="1">
      <c r="A96" s="152"/>
      <c r="B96" s="36"/>
      <c r="C96" s="37"/>
      <c r="D96" s="37"/>
      <c r="E96" s="39"/>
      <c r="F96" s="39"/>
      <c r="G96" s="39"/>
      <c r="H96" s="39"/>
      <c r="I96" s="39" t="b">
        <v>0</v>
      </c>
      <c r="J96" s="39" t="b">
        <v>0</v>
      </c>
      <c r="K96" s="39" t="b">
        <v>0</v>
      </c>
      <c r="L96" s="43"/>
    </row>
    <row r="97" spans="1:12" ht="25.5" customHeight="1">
      <c r="A97" s="152"/>
      <c r="B97" s="36"/>
      <c r="C97" s="37"/>
      <c r="D97" s="37"/>
      <c r="E97" s="39"/>
      <c r="F97" s="39"/>
      <c r="G97" s="39"/>
      <c r="H97" s="39"/>
      <c r="I97" s="39" t="b">
        <v>0</v>
      </c>
      <c r="J97" s="39" t="b">
        <v>0</v>
      </c>
      <c r="K97" s="39" t="b">
        <v>0</v>
      </c>
      <c r="L97" s="43"/>
    </row>
    <row r="98" spans="1:12" ht="25.5" customHeight="1">
      <c r="A98" s="152"/>
      <c r="B98" s="36"/>
      <c r="C98" s="37"/>
      <c r="D98" s="37"/>
      <c r="E98" s="39"/>
      <c r="F98" s="39"/>
      <c r="G98" s="39"/>
      <c r="H98" s="39"/>
      <c r="I98" s="39" t="b">
        <v>0</v>
      </c>
      <c r="J98" s="39" t="b">
        <v>0</v>
      </c>
      <c r="K98" s="39" t="b">
        <v>0</v>
      </c>
      <c r="L98" s="43"/>
    </row>
    <row r="99" spans="1:12" ht="25.5" customHeight="1">
      <c r="A99" s="152"/>
      <c r="B99" s="36"/>
      <c r="C99" s="37"/>
      <c r="D99" s="37"/>
      <c r="E99" s="39"/>
      <c r="F99" s="39"/>
      <c r="G99" s="39"/>
      <c r="H99" s="39"/>
      <c r="I99" s="39" t="b">
        <v>0</v>
      </c>
      <c r="J99" s="39" t="b">
        <v>0</v>
      </c>
      <c r="K99" s="39" t="b">
        <v>0</v>
      </c>
      <c r="L99" s="43"/>
    </row>
    <row r="100" spans="1:12" ht="25.5" customHeight="1">
      <c r="A100" s="152"/>
      <c r="B100" s="36"/>
      <c r="C100" s="37"/>
      <c r="D100" s="37"/>
      <c r="E100" s="39"/>
      <c r="F100" s="39"/>
      <c r="G100" s="39"/>
      <c r="H100" s="39"/>
      <c r="I100" s="39" t="b">
        <v>0</v>
      </c>
      <c r="J100" s="39" t="b">
        <v>0</v>
      </c>
      <c r="K100" s="39" t="b">
        <v>0</v>
      </c>
      <c r="L100" s="43"/>
    </row>
  </sheetData>
  <mergeCells count="10">
    <mergeCell ref="B2:I2"/>
    <mergeCell ref="G10:G11"/>
    <mergeCell ref="I10:K11"/>
    <mergeCell ref="B3:I3"/>
    <mergeCell ref="B10:D11"/>
    <mergeCell ref="E10:E11"/>
    <mergeCell ref="F10:F11"/>
    <mergeCell ref="H10:H12"/>
    <mergeCell ref="E7:I7"/>
    <mergeCell ref="D5:I5"/>
  </mergeCells>
  <conditionalFormatting sqref="C13:C100">
    <cfRule type="cellIs" dxfId="5" priority="1" operator="equal">
      <formula>"Completa/Concluído"</formula>
    </cfRule>
  </conditionalFormatting>
  <conditionalFormatting sqref="C13:C100">
    <cfRule type="cellIs" dxfId="4" priority="2" operator="equal">
      <formula>"Planeada/Planejada"</formula>
    </cfRule>
  </conditionalFormatting>
  <conditionalFormatting sqref="C13:C100">
    <cfRule type="cellIs" dxfId="3" priority="3" operator="equal">
      <formula>"En Curso/Andamento"</formula>
    </cfRule>
  </conditionalFormatting>
  <conditionalFormatting sqref="C13:C100">
    <cfRule type="cellIs" dxfId="2" priority="4" operator="equal">
      <formula>"Retardo/Atrasada"</formula>
    </cfRule>
  </conditionalFormatting>
  <conditionalFormatting sqref="C13:C100">
    <cfRule type="cellIs" dxfId="1" priority="5" operator="equal">
      <formula>"Cancelada"</formula>
    </cfRule>
  </conditionalFormatting>
  <dataValidations count="2">
    <dataValidation type="list" allowBlank="1" sqref="D13:D100" xr:uid="{00000000-0002-0000-0500-000000000000}">
      <formula1>"Y,N"</formula1>
    </dataValidation>
    <dataValidation type="list" allowBlank="1" sqref="C13:C100" xr:uid="{00000000-0002-0000-0500-000001000000}">
      <formula1>"Planeada/Planejada,En Curso/Andamento,Retardo/Atrasada,Completa/Concluído,Cancelada"</formula1>
    </dataValidation>
  </dataValidations>
  <hyperlinks>
    <hyperlink ref="D5" r:id="rId1" xr:uid="{00000000-0004-0000-0500-000000000000}"/>
  </hyperlinks>
  <pageMargins left="0.7" right="0.7" top="0.75" bottom="0.75" header="0" footer="0"/>
  <pageSetup orientation="landscape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legacy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1"/>
  <sheetViews>
    <sheetView showGridLines="0" zoomScale="85" zoomScaleNormal="85" workbookViewId="0"/>
  </sheetViews>
  <sheetFormatPr defaultColWidth="12.5703125" defaultRowHeight="15.75" customHeight="1"/>
  <cols>
    <col min="1" max="1" width="1" customWidth="1"/>
    <col min="2" max="9" width="18.140625" customWidth="1"/>
    <col min="10" max="10" width="12.5703125" customWidth="1"/>
  </cols>
  <sheetData>
    <row r="1" spans="1:10" ht="4.5" customHeight="1"/>
    <row r="2" spans="1:10" ht="32.25" customHeight="1">
      <c r="B2" s="191" t="s">
        <v>161</v>
      </c>
      <c r="C2" s="264"/>
      <c r="D2" s="264"/>
      <c r="E2" s="264"/>
      <c r="F2" s="264"/>
      <c r="G2" s="264"/>
      <c r="H2" s="264"/>
      <c r="I2" s="265"/>
    </row>
    <row r="3" spans="1:10" ht="68.25" customHeight="1">
      <c r="B3" s="196" t="s">
        <v>162</v>
      </c>
      <c r="C3" s="266"/>
      <c r="D3" s="266"/>
      <c r="E3" s="266"/>
      <c r="F3" s="266"/>
      <c r="G3" s="266"/>
      <c r="H3" s="266"/>
      <c r="I3" s="267"/>
    </row>
    <row r="4" spans="1:10" ht="6" customHeight="1"/>
    <row r="5" spans="1:10" ht="27" customHeight="1">
      <c r="B5" s="212" t="s">
        <v>163</v>
      </c>
      <c r="C5" s="271"/>
      <c r="D5" s="271"/>
      <c r="E5" s="271"/>
      <c r="F5" s="212" t="s">
        <v>164</v>
      </c>
      <c r="G5" s="271"/>
      <c r="H5" s="271"/>
      <c r="I5" s="271"/>
    </row>
    <row r="6" spans="1:10" ht="72" customHeight="1">
      <c r="A6" s="2"/>
      <c r="B6" s="225"/>
      <c r="C6" s="264"/>
      <c r="D6" s="264"/>
      <c r="E6" s="265"/>
      <c r="F6" s="226"/>
      <c r="G6" s="264"/>
      <c r="H6" s="264"/>
      <c r="I6" s="265"/>
      <c r="J6" s="2"/>
    </row>
    <row r="7" spans="1:10" ht="72" customHeight="1">
      <c r="A7" s="2"/>
      <c r="B7" s="280"/>
      <c r="C7" s="268"/>
      <c r="D7" s="268"/>
      <c r="E7" s="281"/>
      <c r="F7" s="280"/>
      <c r="G7" s="268"/>
      <c r="H7" s="268"/>
      <c r="I7" s="281"/>
      <c r="J7" s="2"/>
    </row>
    <row r="8" spans="1:10" ht="72" customHeight="1">
      <c r="A8" s="2"/>
      <c r="B8" s="280"/>
      <c r="C8" s="268"/>
      <c r="D8" s="268"/>
      <c r="E8" s="281"/>
      <c r="F8" s="280"/>
      <c r="G8" s="268"/>
      <c r="H8" s="268"/>
      <c r="I8" s="281"/>
      <c r="J8" s="2"/>
    </row>
    <row r="9" spans="1:10" ht="72" customHeight="1">
      <c r="A9" s="2"/>
      <c r="B9" s="280"/>
      <c r="C9" s="268"/>
      <c r="D9" s="268"/>
      <c r="E9" s="281"/>
      <c r="F9" s="280"/>
      <c r="G9" s="268"/>
      <c r="H9" s="268"/>
      <c r="I9" s="281"/>
      <c r="J9" s="2"/>
    </row>
    <row r="10" spans="1:10" ht="72" customHeight="1">
      <c r="A10" s="2"/>
      <c r="B10" s="282"/>
      <c r="C10" s="266"/>
      <c r="D10" s="266"/>
      <c r="E10" s="267"/>
      <c r="F10" s="282"/>
      <c r="G10" s="266"/>
      <c r="H10" s="266"/>
      <c r="I10" s="267"/>
      <c r="J10" s="2"/>
    </row>
    <row r="11" spans="1:10" ht="33.75" customHeight="1">
      <c r="B11" s="207"/>
      <c r="C11" s="268"/>
    </row>
  </sheetData>
  <mergeCells count="7">
    <mergeCell ref="B11:C11"/>
    <mergeCell ref="B2:I2"/>
    <mergeCell ref="B3:I3"/>
    <mergeCell ref="B5:E5"/>
    <mergeCell ref="F5:I5"/>
    <mergeCell ref="B6:E10"/>
    <mergeCell ref="F6:I10"/>
  </mergeCells>
  <pageMargins left="0.511811024" right="0.511811024" top="0.78740157499999996" bottom="0.78740157499999996" header="0.31496062000000002" footer="0.31496062000000002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4"/>
  <sheetViews>
    <sheetView showGridLines="0" topLeftCell="A7" zoomScale="85" zoomScaleNormal="85" workbookViewId="0"/>
  </sheetViews>
  <sheetFormatPr defaultColWidth="12.5703125" defaultRowHeight="15.75" customHeight="1"/>
  <cols>
    <col min="1" max="1" width="1" customWidth="1"/>
    <col min="2" max="9" width="18.140625" customWidth="1"/>
    <col min="10" max="10" width="12.5703125" customWidth="1"/>
  </cols>
  <sheetData>
    <row r="1" spans="1:10" ht="4.5" customHeight="1"/>
    <row r="2" spans="1:10" ht="32.25" customHeight="1">
      <c r="B2" s="191" t="s">
        <v>165</v>
      </c>
      <c r="C2" s="264"/>
      <c r="D2" s="264"/>
      <c r="E2" s="264"/>
      <c r="F2" s="264"/>
      <c r="G2" s="264"/>
      <c r="H2" s="264"/>
      <c r="I2" s="265"/>
    </row>
    <row r="3" spans="1:10" ht="68.25" customHeight="1">
      <c r="B3" s="196" t="s">
        <v>166</v>
      </c>
      <c r="C3" s="266"/>
      <c r="D3" s="266"/>
      <c r="E3" s="266"/>
      <c r="F3" s="266"/>
      <c r="G3" s="266"/>
      <c r="H3" s="266"/>
      <c r="I3" s="267"/>
    </row>
    <row r="4" spans="1:10" ht="6" customHeight="1"/>
    <row r="5" spans="1:10" ht="63" customHeight="1">
      <c r="B5" s="230" t="s">
        <v>167</v>
      </c>
      <c r="C5" s="264"/>
      <c r="D5" s="264"/>
      <c r="E5" s="264"/>
      <c r="F5" s="264"/>
      <c r="G5" s="264"/>
      <c r="H5" s="264"/>
      <c r="I5" s="265"/>
    </row>
    <row r="6" spans="1:10" ht="63" customHeight="1">
      <c r="A6" s="2"/>
      <c r="B6" s="282"/>
      <c r="C6" s="266"/>
      <c r="D6" s="266"/>
      <c r="E6" s="266"/>
      <c r="F6" s="266"/>
      <c r="G6" s="266"/>
      <c r="H6" s="266"/>
      <c r="I6" s="267"/>
      <c r="J6" s="2"/>
    </row>
    <row r="7" spans="1:10" ht="6" customHeight="1"/>
    <row r="8" spans="1:10" ht="27" customHeight="1">
      <c r="B8" s="212" t="s">
        <v>168</v>
      </c>
      <c r="C8" s="271"/>
      <c r="D8" s="271"/>
      <c r="E8" s="271"/>
      <c r="F8" s="271"/>
      <c r="G8" s="271"/>
      <c r="H8" s="271"/>
      <c r="I8" s="272"/>
    </row>
    <row r="9" spans="1:10" ht="17.25" customHeight="1">
      <c r="A9" s="2"/>
      <c r="B9" s="229" t="s">
        <v>169</v>
      </c>
      <c r="C9" s="265"/>
      <c r="D9" s="229" t="s">
        <v>170</v>
      </c>
      <c r="E9" s="265"/>
      <c r="F9" s="229" t="s">
        <v>171</v>
      </c>
      <c r="G9" s="265"/>
      <c r="H9" s="231" t="s">
        <v>129</v>
      </c>
      <c r="I9" s="231" t="s">
        <v>172</v>
      </c>
      <c r="J9" s="2"/>
    </row>
    <row r="10" spans="1:10" ht="14.25" customHeight="1">
      <c r="A10" s="2"/>
      <c r="B10" s="282"/>
      <c r="C10" s="267"/>
      <c r="D10" s="49" t="s">
        <v>158</v>
      </c>
      <c r="E10" s="50" t="s">
        <v>159</v>
      </c>
      <c r="F10" s="282"/>
      <c r="G10" s="267"/>
      <c r="H10" s="284"/>
      <c r="I10" s="284"/>
      <c r="J10" s="2"/>
    </row>
    <row r="11" spans="1:10" ht="33.75" customHeight="1">
      <c r="B11" s="205" t="s">
        <v>173</v>
      </c>
      <c r="C11" s="272"/>
      <c r="D11" s="51" t="b">
        <v>0</v>
      </c>
      <c r="E11" s="51" t="b">
        <v>0</v>
      </c>
      <c r="F11" s="205"/>
      <c r="G11" s="272"/>
      <c r="H11" s="52"/>
      <c r="I11" s="53"/>
    </row>
    <row r="12" spans="1:10" ht="33.75" customHeight="1">
      <c r="B12" s="205" t="s">
        <v>174</v>
      </c>
      <c r="C12" s="272"/>
      <c r="D12" s="51" t="b">
        <v>0</v>
      </c>
      <c r="E12" s="51" t="b">
        <v>0</v>
      </c>
      <c r="F12" s="205"/>
      <c r="G12" s="272"/>
      <c r="H12" s="52"/>
      <c r="I12" s="53"/>
    </row>
    <row r="13" spans="1:10" ht="33.75" customHeight="1">
      <c r="B13" s="205" t="s">
        <v>175</v>
      </c>
      <c r="C13" s="272"/>
      <c r="D13" s="51" t="b">
        <v>0</v>
      </c>
      <c r="E13" s="51" t="b">
        <v>0</v>
      </c>
      <c r="F13" s="205"/>
      <c r="G13" s="272"/>
      <c r="H13" s="52"/>
      <c r="I13" s="53"/>
    </row>
    <row r="14" spans="1:10" ht="33.75" customHeight="1">
      <c r="B14" s="205" t="s">
        <v>176</v>
      </c>
      <c r="C14" s="272"/>
      <c r="D14" s="51" t="b">
        <v>0</v>
      </c>
      <c r="E14" s="51" t="b">
        <v>0</v>
      </c>
      <c r="F14" s="205"/>
      <c r="G14" s="272"/>
      <c r="H14" s="52"/>
      <c r="I14" s="53"/>
    </row>
    <row r="15" spans="1:10" ht="33.75" customHeight="1">
      <c r="B15" s="205" t="s">
        <v>177</v>
      </c>
      <c r="C15" s="272"/>
      <c r="D15" s="51" t="b">
        <v>0</v>
      </c>
      <c r="E15" s="51" t="b">
        <v>0</v>
      </c>
      <c r="F15" s="205"/>
      <c r="G15" s="272"/>
      <c r="H15" s="52"/>
      <c r="I15" s="53"/>
    </row>
    <row r="16" spans="1:10" ht="33.75" customHeight="1">
      <c r="B16" s="205" t="s">
        <v>178</v>
      </c>
      <c r="C16" s="272"/>
      <c r="D16" s="51" t="b">
        <v>0</v>
      </c>
      <c r="E16" s="51" t="b">
        <v>0</v>
      </c>
      <c r="F16" s="205"/>
      <c r="G16" s="272"/>
      <c r="H16" s="52"/>
      <c r="I16" s="53"/>
    </row>
    <row r="17" spans="1:10" ht="6" customHeight="1"/>
    <row r="18" spans="1:10" ht="33.75" customHeight="1">
      <c r="B18" s="228" t="s">
        <v>127</v>
      </c>
      <c r="C18" s="272"/>
      <c r="D18" s="228" t="s">
        <v>128</v>
      </c>
      <c r="E18" s="272"/>
      <c r="F18" s="228" t="s">
        <v>129</v>
      </c>
      <c r="G18" s="272"/>
      <c r="H18" s="54" t="s">
        <v>130</v>
      </c>
      <c r="I18" s="55" t="s">
        <v>131</v>
      </c>
    </row>
    <row r="19" spans="1:10" ht="57" customHeight="1">
      <c r="A19" s="56"/>
      <c r="B19" s="227"/>
      <c r="C19" s="272"/>
      <c r="D19" s="227"/>
      <c r="E19" s="272"/>
      <c r="F19" s="227"/>
      <c r="G19" s="272"/>
      <c r="H19" s="57"/>
      <c r="I19" s="58"/>
      <c r="J19" s="56"/>
    </row>
    <row r="20" spans="1:10" ht="57" customHeight="1">
      <c r="A20" s="56"/>
      <c r="B20" s="227"/>
      <c r="C20" s="272"/>
      <c r="D20" s="227"/>
      <c r="E20" s="272"/>
      <c r="F20" s="227"/>
      <c r="G20" s="272"/>
      <c r="H20" s="57"/>
      <c r="I20" s="58"/>
      <c r="J20" s="56"/>
    </row>
    <row r="21" spans="1:10" ht="57" customHeight="1">
      <c r="A21" s="56"/>
      <c r="B21" s="227"/>
      <c r="C21" s="272"/>
      <c r="D21" s="227"/>
      <c r="E21" s="272"/>
      <c r="F21" s="227"/>
      <c r="G21" s="272"/>
      <c r="H21" s="57"/>
      <c r="I21" s="58"/>
      <c r="J21" s="56"/>
    </row>
    <row r="22" spans="1:10" ht="57" customHeight="1">
      <c r="A22" s="56"/>
      <c r="B22" s="227"/>
      <c r="C22" s="272"/>
      <c r="D22" s="227"/>
      <c r="E22" s="272"/>
      <c r="F22" s="227"/>
      <c r="G22" s="272"/>
      <c r="H22" s="57"/>
      <c r="I22" s="58"/>
      <c r="J22" s="56"/>
    </row>
    <row r="23" spans="1:10" ht="57" customHeight="1">
      <c r="A23" s="56"/>
      <c r="B23" s="227"/>
      <c r="C23" s="272"/>
      <c r="D23" s="227"/>
      <c r="E23" s="272"/>
      <c r="F23" s="227"/>
      <c r="G23" s="272"/>
      <c r="H23" s="57"/>
      <c r="I23" s="58"/>
      <c r="J23" s="56"/>
    </row>
    <row r="24" spans="1:10" ht="33.75" customHeight="1">
      <c r="B24" s="59"/>
      <c r="C24" s="60"/>
      <c r="D24" s="31"/>
      <c r="E24" s="31"/>
      <c r="F24" s="61"/>
    </row>
  </sheetData>
  <mergeCells count="39">
    <mergeCell ref="F16:G16"/>
    <mergeCell ref="B3:I3"/>
    <mergeCell ref="B5:I6"/>
    <mergeCell ref="B8:I8"/>
    <mergeCell ref="D9:E9"/>
    <mergeCell ref="I9:I10"/>
    <mergeCell ref="F9:G10"/>
    <mergeCell ref="H9:H10"/>
    <mergeCell ref="F11:G11"/>
    <mergeCell ref="F12:G12"/>
    <mergeCell ref="F13:G13"/>
    <mergeCell ref="B2:I2"/>
    <mergeCell ref="B18:C18"/>
    <mergeCell ref="D18:E18"/>
    <mergeCell ref="F18:G18"/>
    <mergeCell ref="D19:E19"/>
    <mergeCell ref="F19:G19"/>
    <mergeCell ref="B9:C10"/>
    <mergeCell ref="B11:C11"/>
    <mergeCell ref="B12:C12"/>
    <mergeCell ref="B13:C13"/>
    <mergeCell ref="B14:C14"/>
    <mergeCell ref="B15:C15"/>
    <mergeCell ref="B16:C16"/>
    <mergeCell ref="B19:C19"/>
    <mergeCell ref="F14:G14"/>
    <mergeCell ref="F15:G1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</mergeCells>
  <pageMargins left="0.511811024" right="0.511811024" top="0.78740157499999996" bottom="0.78740157499999996" header="0.31496062000000002" footer="0.31496062000000002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7"/>
  <sheetViews>
    <sheetView showGridLines="0" zoomScale="85" zoomScaleNormal="85" workbookViewId="0"/>
  </sheetViews>
  <sheetFormatPr defaultColWidth="12.5703125" defaultRowHeight="15.75" customHeight="1"/>
  <cols>
    <col min="1" max="1" width="1" customWidth="1"/>
    <col min="2" max="9" width="18.140625" customWidth="1"/>
    <col min="10" max="10" width="12.5703125" customWidth="1"/>
  </cols>
  <sheetData>
    <row r="1" spans="1:10" ht="4.5" customHeight="1"/>
    <row r="2" spans="1:10" ht="32.25" customHeight="1">
      <c r="B2" s="191" t="s">
        <v>179</v>
      </c>
      <c r="C2" s="264"/>
      <c r="D2" s="264"/>
      <c r="E2" s="264"/>
      <c r="F2" s="264"/>
      <c r="G2" s="264"/>
      <c r="H2" s="264"/>
      <c r="I2" s="265"/>
    </row>
    <row r="3" spans="1:10" ht="68.25" customHeight="1">
      <c r="B3" s="196" t="s">
        <v>180</v>
      </c>
      <c r="C3" s="266"/>
      <c r="D3" s="266"/>
      <c r="E3" s="266"/>
      <c r="F3" s="266"/>
      <c r="G3" s="266"/>
      <c r="H3" s="266"/>
      <c r="I3" s="267"/>
    </row>
    <row r="4" spans="1:10" ht="6" customHeight="1"/>
    <row r="5" spans="1:10" ht="27" customHeight="1">
      <c r="B5" s="213" t="s">
        <v>181</v>
      </c>
      <c r="C5" s="265"/>
      <c r="E5" s="213" t="s">
        <v>182</v>
      </c>
      <c r="F5" s="265"/>
      <c r="H5" s="213" t="s">
        <v>183</v>
      </c>
      <c r="I5" s="265"/>
    </row>
    <row r="6" spans="1:10" ht="20.25" customHeight="1">
      <c r="A6" s="2"/>
      <c r="B6" s="62" t="s">
        <v>158</v>
      </c>
      <c r="C6" s="63" t="s">
        <v>159</v>
      </c>
      <c r="E6" s="62" t="s">
        <v>158</v>
      </c>
      <c r="F6" s="63" t="s">
        <v>159</v>
      </c>
      <c r="H6" s="282"/>
      <c r="I6" s="267"/>
      <c r="J6" s="2"/>
    </row>
    <row r="7" spans="1:10" ht="36" customHeight="1">
      <c r="A7" s="2"/>
      <c r="B7" s="22" t="b">
        <v>0</v>
      </c>
      <c r="C7" s="22" t="b">
        <v>0</v>
      </c>
      <c r="D7" s="28"/>
      <c r="E7" s="22" t="b">
        <v>0</v>
      </c>
      <c r="F7" s="22" t="b">
        <v>0</v>
      </c>
      <c r="G7" s="28"/>
      <c r="H7" s="234"/>
      <c r="I7" s="272"/>
      <c r="J7" s="2"/>
    </row>
    <row r="8" spans="1:10" ht="8.25" customHeight="1">
      <c r="A8" s="2"/>
      <c r="B8" s="28"/>
      <c r="C8" s="28"/>
      <c r="D8" s="28"/>
      <c r="E8" s="28"/>
      <c r="F8" s="28"/>
      <c r="G8" s="28"/>
      <c r="H8" s="28"/>
      <c r="I8" s="28"/>
      <c r="J8" s="2"/>
    </row>
    <row r="9" spans="1:10" ht="94.5" customHeight="1">
      <c r="A9" s="2"/>
      <c r="B9" s="232" t="s">
        <v>184</v>
      </c>
      <c r="C9" s="271"/>
      <c r="D9" s="271"/>
      <c r="E9" s="271"/>
      <c r="F9" s="271"/>
      <c r="G9" s="271"/>
      <c r="H9" s="271"/>
      <c r="I9" s="272"/>
      <c r="J9" s="2"/>
    </row>
    <row r="10" spans="1:10" ht="8.25" customHeight="1">
      <c r="A10" s="2"/>
      <c r="B10" s="28"/>
      <c r="C10" s="28"/>
      <c r="D10" s="28"/>
      <c r="E10" s="28"/>
      <c r="F10" s="28"/>
      <c r="G10" s="28"/>
      <c r="H10" s="28"/>
      <c r="I10" s="28"/>
      <c r="J10" s="2"/>
    </row>
    <row r="11" spans="1:10" ht="33.75" customHeight="1">
      <c r="B11" s="212" t="s">
        <v>185</v>
      </c>
      <c r="C11" s="271"/>
      <c r="D11" s="271"/>
      <c r="E11" s="271"/>
      <c r="F11" s="271"/>
      <c r="G11" s="271"/>
      <c r="H11" s="271"/>
      <c r="I11" s="272"/>
    </row>
    <row r="12" spans="1:10" ht="33.75" customHeight="1">
      <c r="B12" s="233"/>
      <c r="C12" s="264"/>
      <c r="D12" s="264"/>
      <c r="E12" s="264"/>
      <c r="F12" s="264"/>
      <c r="G12" s="264"/>
      <c r="H12" s="264"/>
      <c r="I12" s="265"/>
    </row>
    <row r="13" spans="1:10" ht="33.75" customHeight="1">
      <c r="B13" s="280"/>
      <c r="C13" s="268"/>
      <c r="D13" s="268"/>
      <c r="E13" s="268"/>
      <c r="F13" s="268"/>
      <c r="G13" s="268"/>
      <c r="H13" s="268"/>
      <c r="I13" s="281"/>
    </row>
    <row r="14" spans="1:10" ht="33.75" customHeight="1">
      <c r="B14" s="280"/>
      <c r="C14" s="268"/>
      <c r="D14" s="268"/>
      <c r="E14" s="268"/>
      <c r="F14" s="268"/>
      <c r="G14" s="268"/>
      <c r="H14" s="268"/>
      <c r="I14" s="281"/>
    </row>
    <row r="15" spans="1:10" ht="33.75" customHeight="1">
      <c r="B15" s="280"/>
      <c r="C15" s="268"/>
      <c r="D15" s="268"/>
      <c r="E15" s="268"/>
      <c r="F15" s="268"/>
      <c r="G15" s="268"/>
      <c r="H15" s="268"/>
      <c r="I15" s="281"/>
    </row>
    <row r="16" spans="1:10" ht="33.75" customHeight="1">
      <c r="B16" s="282"/>
      <c r="C16" s="266"/>
      <c r="D16" s="266"/>
      <c r="E16" s="266"/>
      <c r="F16" s="266"/>
      <c r="G16" s="266"/>
      <c r="H16" s="266"/>
      <c r="I16" s="267"/>
    </row>
    <row r="17" spans="2:3" ht="33.75" customHeight="1">
      <c r="B17" s="18"/>
      <c r="C17" s="18"/>
    </row>
  </sheetData>
  <mergeCells count="9">
    <mergeCell ref="B2:I2"/>
    <mergeCell ref="B9:I9"/>
    <mergeCell ref="B11:I11"/>
    <mergeCell ref="B12:I16"/>
    <mergeCell ref="B3:I3"/>
    <mergeCell ref="B5:C5"/>
    <mergeCell ref="E5:F5"/>
    <mergeCell ref="H5:I6"/>
    <mergeCell ref="H7:I7"/>
  </mergeCells>
  <pageMargins left="0.511811024" right="0.511811024" top="0.78740157499999996" bottom="0.78740157499999996" header="0.31496062000000002" footer="0.31496062000000002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FF"/>
  </sheetPr>
  <dimension ref="A1:H30"/>
  <sheetViews>
    <sheetView showGridLines="0" workbookViewId="0"/>
  </sheetViews>
  <sheetFormatPr defaultColWidth="12.5703125" defaultRowHeight="15.75" customHeight="1"/>
  <cols>
    <col min="1" max="1" width="2.42578125" customWidth="1"/>
    <col min="2" max="2" width="19.140625" customWidth="1"/>
    <col min="3" max="3" width="14" customWidth="1"/>
    <col min="4" max="4" width="2.5703125" customWidth="1"/>
    <col min="5" max="5" width="15.42578125" customWidth="1"/>
    <col min="6" max="6" width="20.140625" customWidth="1"/>
    <col min="7" max="7" width="15.42578125" customWidth="1"/>
    <col min="8" max="8" width="4.140625" customWidth="1"/>
  </cols>
  <sheetData>
    <row r="1" spans="1:8" ht="9.75" customHeight="1"/>
    <row r="2" spans="1:8" ht="27" customHeight="1">
      <c r="A2" s="64"/>
      <c r="B2" s="237" t="s">
        <v>186</v>
      </c>
      <c r="C2" s="271"/>
      <c r="D2" s="271"/>
      <c r="E2" s="271"/>
      <c r="F2" s="271"/>
      <c r="G2" s="272"/>
      <c r="H2" s="64"/>
    </row>
    <row r="3" spans="1:8" ht="14.45">
      <c r="B3" s="65"/>
      <c r="C3" s="65"/>
      <c r="D3" s="65"/>
      <c r="E3" s="65"/>
      <c r="F3" s="65"/>
      <c r="G3" s="65"/>
    </row>
    <row r="4" spans="1:8" ht="15" customHeight="1">
      <c r="B4" s="66" t="s">
        <v>187</v>
      </c>
      <c r="C4" s="66" t="s">
        <v>188</v>
      </c>
      <c r="D4" s="65"/>
      <c r="E4" s="235" t="s">
        <v>189</v>
      </c>
      <c r="F4" s="286"/>
      <c r="G4" s="287"/>
    </row>
    <row r="5" spans="1:8" ht="14.45">
      <c r="B5" s="67" t="s">
        <v>190</v>
      </c>
      <c r="C5" s="67" t="s">
        <v>191</v>
      </c>
      <c r="D5" s="65"/>
      <c r="E5" s="238" t="s">
        <v>192</v>
      </c>
      <c r="F5" s="286"/>
      <c r="G5" s="287"/>
    </row>
    <row r="6" spans="1:8" ht="14.45">
      <c r="B6" s="67" t="s">
        <v>193</v>
      </c>
      <c r="C6" s="67" t="s">
        <v>194</v>
      </c>
      <c r="D6" s="65"/>
      <c r="E6" s="65"/>
      <c r="F6" s="65"/>
      <c r="G6" s="65"/>
    </row>
    <row r="7" spans="1:8" ht="14.45">
      <c r="B7" s="67" t="s">
        <v>195</v>
      </c>
      <c r="C7" s="67" t="s">
        <v>196</v>
      </c>
      <c r="D7" s="65"/>
      <c r="E7" s="65"/>
      <c r="F7" s="65"/>
      <c r="G7" s="65"/>
    </row>
    <row r="8" spans="1:8" ht="14.45">
      <c r="B8" s="67" t="s">
        <v>197</v>
      </c>
      <c r="C8" s="67" t="s">
        <v>198</v>
      </c>
      <c r="D8" s="65"/>
      <c r="E8" s="235" t="s">
        <v>199</v>
      </c>
      <c r="F8" s="286"/>
      <c r="G8" s="287"/>
    </row>
    <row r="9" spans="1:8" ht="14.45">
      <c r="B9" s="67" t="s">
        <v>200</v>
      </c>
      <c r="C9" s="67" t="s">
        <v>201</v>
      </c>
      <c r="D9" s="65"/>
      <c r="E9" s="239" t="s">
        <v>202</v>
      </c>
      <c r="F9" s="288"/>
      <c r="G9" s="289"/>
    </row>
    <row r="10" spans="1:8" ht="14.45">
      <c r="B10" s="67" t="s">
        <v>203</v>
      </c>
      <c r="C10" s="67" t="s">
        <v>204</v>
      </c>
      <c r="D10" s="65"/>
      <c r="E10" s="290"/>
      <c r="F10" s="268"/>
      <c r="G10" s="291"/>
    </row>
    <row r="11" spans="1:8" ht="14.45">
      <c r="B11" s="67" t="s">
        <v>205</v>
      </c>
      <c r="C11" s="67" t="s">
        <v>206</v>
      </c>
      <c r="D11" s="65"/>
      <c r="E11" s="292"/>
      <c r="F11" s="293"/>
      <c r="G11" s="294"/>
    </row>
    <row r="12" spans="1:8" ht="14.45">
      <c r="B12" s="67" t="s">
        <v>207</v>
      </c>
      <c r="C12" s="67" t="s">
        <v>208</v>
      </c>
      <c r="D12" s="65"/>
      <c r="E12" s="65"/>
      <c r="F12" s="65"/>
      <c r="G12" s="65"/>
    </row>
    <row r="13" spans="1:8" ht="14.45">
      <c r="B13" s="67" t="s">
        <v>209</v>
      </c>
      <c r="C13" s="67" t="s">
        <v>210</v>
      </c>
      <c r="D13" s="65"/>
      <c r="E13" s="235" t="s">
        <v>211</v>
      </c>
      <c r="F13" s="286"/>
      <c r="G13" s="287"/>
    </row>
    <row r="14" spans="1:8" ht="15" customHeight="1">
      <c r="B14" s="67" t="s">
        <v>212</v>
      </c>
      <c r="C14" s="67" t="s">
        <v>213</v>
      </c>
      <c r="D14" s="65"/>
      <c r="E14" s="236" t="s">
        <v>214</v>
      </c>
      <c r="F14" s="288"/>
      <c r="G14" s="289"/>
    </row>
    <row r="15" spans="1:8" ht="15" customHeight="1">
      <c r="B15" s="67" t="s">
        <v>215</v>
      </c>
      <c r="C15" s="67" t="s">
        <v>216</v>
      </c>
      <c r="D15" s="65"/>
      <c r="E15" s="290"/>
      <c r="F15" s="268"/>
      <c r="G15" s="291"/>
    </row>
    <row r="16" spans="1:8" ht="14.45">
      <c r="B16" s="67" t="s">
        <v>217</v>
      </c>
      <c r="C16" s="67" t="s">
        <v>218</v>
      </c>
      <c r="D16" s="65"/>
      <c r="E16" s="292"/>
      <c r="F16" s="293"/>
      <c r="G16" s="294"/>
    </row>
    <row r="17" spans="2:7" ht="14.45">
      <c r="B17" s="67" t="s">
        <v>219</v>
      </c>
      <c r="C17" s="67" t="s">
        <v>220</v>
      </c>
      <c r="D17" s="65"/>
      <c r="E17" s="65"/>
      <c r="F17" s="65"/>
      <c r="G17" s="65"/>
    </row>
    <row r="18" spans="2:7" ht="15" customHeight="1">
      <c r="B18" s="67" t="s">
        <v>221</v>
      </c>
      <c r="C18" s="67" t="s">
        <v>222</v>
      </c>
      <c r="D18" s="65"/>
      <c r="E18" s="65"/>
      <c r="F18" s="65"/>
      <c r="G18" s="65"/>
    </row>
    <row r="19" spans="2:7" ht="15" customHeight="1">
      <c r="B19" s="67" t="s">
        <v>223</v>
      </c>
      <c r="C19" s="67" t="s">
        <v>224</v>
      </c>
      <c r="D19" s="65"/>
      <c r="E19" s="65"/>
      <c r="F19" s="65"/>
      <c r="G19" s="65"/>
    </row>
    <row r="20" spans="2:7" ht="15" customHeight="1">
      <c r="B20" s="67" t="s">
        <v>225</v>
      </c>
      <c r="C20" s="67" t="s">
        <v>226</v>
      </c>
      <c r="D20" s="65"/>
      <c r="E20" s="65"/>
      <c r="F20" s="65"/>
      <c r="G20" s="65"/>
    </row>
    <row r="21" spans="2:7" ht="14.45">
      <c r="B21" s="67" t="s">
        <v>227</v>
      </c>
      <c r="C21" s="67" t="s">
        <v>228</v>
      </c>
      <c r="D21" s="65"/>
      <c r="E21" s="65"/>
      <c r="F21" s="65"/>
      <c r="G21" s="65"/>
    </row>
    <row r="22" spans="2:7" ht="14.45">
      <c r="B22" s="67" t="s">
        <v>229</v>
      </c>
      <c r="C22" s="67" t="s">
        <v>230</v>
      </c>
      <c r="D22" s="65"/>
      <c r="E22" s="65"/>
      <c r="F22" s="65"/>
      <c r="G22" s="65"/>
    </row>
    <row r="23" spans="2:7" ht="14.45">
      <c r="B23" s="67" t="s">
        <v>231</v>
      </c>
      <c r="C23" s="67" t="s">
        <v>232</v>
      </c>
      <c r="D23" s="65"/>
      <c r="E23" s="65"/>
      <c r="F23" s="65"/>
      <c r="G23" s="65"/>
    </row>
    <row r="24" spans="2:7" ht="14.45">
      <c r="B24" s="67" t="s">
        <v>233</v>
      </c>
      <c r="C24" s="67" t="s">
        <v>234</v>
      </c>
      <c r="D24" s="65"/>
      <c r="E24" s="65"/>
      <c r="F24" s="65"/>
      <c r="G24" s="65"/>
    </row>
    <row r="25" spans="2:7" ht="14.45">
      <c r="B25" s="67" t="s">
        <v>235</v>
      </c>
      <c r="C25" s="67" t="s">
        <v>236</v>
      </c>
      <c r="D25" s="65"/>
      <c r="E25" s="65"/>
      <c r="F25" s="65"/>
      <c r="G25" s="65"/>
    </row>
    <row r="26" spans="2:7" ht="14.45">
      <c r="B26" s="67" t="s">
        <v>237</v>
      </c>
      <c r="C26" s="67" t="s">
        <v>238</v>
      </c>
      <c r="D26" s="65"/>
      <c r="E26" s="65"/>
      <c r="F26" s="65"/>
      <c r="G26" s="65"/>
    </row>
    <row r="27" spans="2:7" ht="14.45">
      <c r="B27" s="67" t="s">
        <v>239</v>
      </c>
      <c r="C27" s="67" t="s">
        <v>240</v>
      </c>
      <c r="D27" s="65"/>
      <c r="E27" s="65"/>
      <c r="F27" s="65"/>
      <c r="G27" s="65"/>
    </row>
    <row r="28" spans="2:7" ht="14.45">
      <c r="B28" s="67" t="s">
        <v>241</v>
      </c>
      <c r="C28" s="67" t="s">
        <v>242</v>
      </c>
      <c r="D28" s="65"/>
      <c r="E28" s="65"/>
      <c r="F28" s="65"/>
      <c r="G28" s="65"/>
    </row>
    <row r="29" spans="2:7" ht="14.45">
      <c r="B29" s="67" t="s">
        <v>243</v>
      </c>
      <c r="C29" s="67" t="s">
        <v>244</v>
      </c>
      <c r="D29" s="65"/>
      <c r="E29" s="65"/>
      <c r="F29" s="65"/>
      <c r="G29" s="65"/>
    </row>
    <row r="30" spans="2:7" ht="12.6"/>
  </sheetData>
  <mergeCells count="7">
    <mergeCell ref="E13:G13"/>
    <mergeCell ref="E14:G16"/>
    <mergeCell ref="B2:G2"/>
    <mergeCell ref="E4:G4"/>
    <mergeCell ref="E5:G5"/>
    <mergeCell ref="E8:G8"/>
    <mergeCell ref="E9:G11"/>
  </mergeCells>
  <pageMargins left="0.7" right="0.7" top="0.75" bottom="0.75" header="0" footer="0"/>
  <pageSetup paperSize="9" scale="48" orientation="portrait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36"/>
  <sheetViews>
    <sheetView showGridLines="0" workbookViewId="0">
      <selection activeCell="R3" sqref="R3"/>
    </sheetView>
  </sheetViews>
  <sheetFormatPr defaultColWidth="12.5703125" defaultRowHeight="15.75" customHeight="1"/>
  <cols>
    <col min="1" max="1" width="1.85546875" customWidth="1"/>
    <col min="2" max="18" width="7.5703125" customWidth="1"/>
    <col min="19" max="49" width="2.85546875" customWidth="1"/>
  </cols>
  <sheetData>
    <row r="1" spans="1:49" ht="8.25" customHeight="1">
      <c r="A1" s="132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  <c r="N1" s="69"/>
      <c r="O1" s="69"/>
      <c r="P1" s="69"/>
      <c r="Q1" s="69"/>
      <c r="R1" s="69"/>
      <c r="S1" s="69"/>
      <c r="T1" s="132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9"/>
      <c r="AG1" s="69"/>
      <c r="AH1" s="69"/>
      <c r="AI1" s="69"/>
      <c r="AJ1" s="69"/>
      <c r="AK1" s="69"/>
      <c r="AL1" s="69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</row>
    <row r="2" spans="1:49" ht="18" customHeight="1">
      <c r="A2" s="132"/>
      <c r="B2" s="240" t="s">
        <v>245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70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154"/>
      <c r="AP2" s="154"/>
      <c r="AQ2" s="154"/>
      <c r="AR2" s="154"/>
      <c r="AS2" s="154"/>
      <c r="AT2" s="154"/>
      <c r="AU2" s="154"/>
      <c r="AV2" s="154"/>
      <c r="AW2" s="154"/>
    </row>
    <row r="3" spans="1:49" ht="18" customHeight="1">
      <c r="A3" s="132"/>
      <c r="B3" s="296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71" t="s">
        <v>5</v>
      </c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154"/>
      <c r="AP3" s="154"/>
      <c r="AQ3" s="154"/>
      <c r="AR3" s="154"/>
      <c r="AS3" s="154"/>
      <c r="AT3" s="154"/>
      <c r="AU3" s="154"/>
      <c r="AV3" s="154"/>
      <c r="AW3" s="154"/>
    </row>
    <row r="4" spans="1:49" ht="23.25" customHeight="1">
      <c r="A4" s="85"/>
      <c r="B4" s="241" t="s">
        <v>246</v>
      </c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98"/>
      <c r="S4" s="155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</row>
    <row r="5" spans="1:49" ht="27.75" customHeight="1">
      <c r="A5" s="85"/>
      <c r="B5" s="84"/>
      <c r="C5" s="85"/>
      <c r="D5" s="85"/>
      <c r="E5" s="85"/>
      <c r="F5" s="85"/>
      <c r="G5" s="85"/>
      <c r="H5" s="85"/>
      <c r="I5" s="85"/>
      <c r="J5" s="85"/>
      <c r="K5" s="85"/>
      <c r="L5" s="85"/>
      <c r="M5" s="126"/>
      <c r="N5" s="126"/>
      <c r="O5" s="126"/>
      <c r="P5" s="126"/>
      <c r="Q5" s="126"/>
      <c r="R5" s="86"/>
      <c r="S5" s="126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</row>
    <row r="6" spans="1:49" ht="27.75" customHeight="1">
      <c r="A6" s="126"/>
      <c r="B6" s="156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157"/>
    </row>
    <row r="7" spans="1:49" ht="27.75" customHeight="1">
      <c r="A7" s="126"/>
      <c r="B7" s="156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157"/>
    </row>
    <row r="8" spans="1:49" ht="27.75" customHeight="1">
      <c r="A8" s="126"/>
      <c r="B8" s="156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157"/>
    </row>
    <row r="9" spans="1:49" ht="27.75" customHeight="1">
      <c r="A9" s="126"/>
      <c r="B9" s="156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157"/>
    </row>
    <row r="10" spans="1:49" ht="27.75" customHeight="1">
      <c r="A10" s="126"/>
      <c r="B10" s="156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157"/>
    </row>
    <row r="11" spans="1:49" ht="27.75" customHeight="1">
      <c r="A11" s="126"/>
      <c r="B11" s="156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157"/>
    </row>
    <row r="12" spans="1:49" ht="27.75" customHeight="1">
      <c r="A12" s="126"/>
      <c r="B12" s="156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57"/>
    </row>
    <row r="13" spans="1:49" ht="27.75" customHeight="1">
      <c r="A13" s="126"/>
      <c r="B13" s="156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157"/>
    </row>
    <row r="14" spans="1:49" ht="27.75" customHeight="1">
      <c r="A14" s="126"/>
      <c r="B14" s="156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157"/>
    </row>
    <row r="15" spans="1:49" ht="27.75" customHeight="1">
      <c r="A15" s="126"/>
      <c r="B15" s="156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57"/>
    </row>
    <row r="16" spans="1:49" ht="27.75" customHeight="1">
      <c r="A16" s="126"/>
      <c r="B16" s="156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157"/>
    </row>
    <row r="17" spans="1:18" ht="27.75" customHeight="1">
      <c r="A17" s="126"/>
      <c r="B17" s="156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57"/>
    </row>
    <row r="18" spans="1:18" ht="27.75" customHeight="1">
      <c r="A18" s="126"/>
      <c r="B18" s="156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157"/>
    </row>
    <row r="19" spans="1:18" ht="27.75" customHeight="1">
      <c r="A19" s="126"/>
      <c r="B19" s="156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157"/>
    </row>
    <row r="20" spans="1:18" ht="27.75" customHeight="1">
      <c r="A20" s="126"/>
      <c r="B20" s="156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157"/>
    </row>
    <row r="21" spans="1:18" ht="27.75" customHeight="1">
      <c r="A21" s="126"/>
      <c r="B21" s="156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157"/>
    </row>
    <row r="22" spans="1:18" ht="27.75" customHeight="1">
      <c r="A22" s="126"/>
      <c r="B22" s="156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157"/>
    </row>
    <row r="23" spans="1:18" ht="27.75" customHeight="1">
      <c r="A23" s="126"/>
      <c r="B23" s="156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157"/>
    </row>
    <row r="24" spans="1:18" ht="27.75" customHeight="1">
      <c r="A24" s="126"/>
      <c r="B24" s="156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157"/>
    </row>
    <row r="25" spans="1:18" ht="27.75" customHeight="1">
      <c r="A25" s="126"/>
      <c r="B25" s="156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157"/>
    </row>
    <row r="26" spans="1:18" ht="27.75" customHeight="1">
      <c r="A26" s="126"/>
      <c r="B26" s="156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157"/>
    </row>
    <row r="27" spans="1:18" ht="27.75" customHeight="1">
      <c r="A27" s="126"/>
      <c r="B27" s="156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157"/>
    </row>
    <row r="28" spans="1:18" ht="27.75" customHeight="1">
      <c r="A28" s="126"/>
      <c r="B28" s="156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157"/>
    </row>
    <row r="29" spans="1:18" ht="27.75" customHeight="1">
      <c r="A29" s="126"/>
      <c r="B29" s="156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157"/>
    </row>
    <row r="30" spans="1:18" ht="27.75" customHeight="1">
      <c r="A30" s="126"/>
      <c r="B30" s="156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157"/>
    </row>
    <row r="31" spans="1:18" ht="27.75" customHeight="1">
      <c r="A31" s="126"/>
      <c r="B31" s="156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157"/>
    </row>
    <row r="32" spans="1:18" ht="27.75" customHeight="1">
      <c r="A32" s="126"/>
      <c r="B32" s="156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157"/>
    </row>
    <row r="33" spans="1:18" ht="27.75" customHeight="1">
      <c r="A33" s="126"/>
      <c r="B33" s="156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157"/>
    </row>
    <row r="34" spans="1:18" ht="27.75" customHeight="1">
      <c r="A34" s="126"/>
      <c r="B34" s="156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157"/>
    </row>
    <row r="35" spans="1:18" ht="27.75" customHeight="1">
      <c r="A35" s="126"/>
      <c r="B35" s="158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60"/>
    </row>
    <row r="36" spans="1:18" ht="14.1">
      <c r="A36" s="126"/>
    </row>
  </sheetData>
  <mergeCells count="2">
    <mergeCell ref="B2:Q3"/>
    <mergeCell ref="B4:R4"/>
  </mergeCells>
  <hyperlinks>
    <hyperlink ref="R3" location="D4!A1" display="D4" xr:uid="{00000000-0004-0000-0A00-000000000000}"/>
  </hyperlinks>
  <pageMargins left="0.7" right="0.7" top="0.75" bottom="0.75" header="0" footer="0"/>
  <pageSetup paperSize="9" scale="55" orientation="portrait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drawing r:id="rId1"/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47"/>
  <sheetViews>
    <sheetView showGridLines="0" workbookViewId="0"/>
  </sheetViews>
  <sheetFormatPr defaultColWidth="12.5703125" defaultRowHeight="15.75" customHeight="1"/>
  <cols>
    <col min="1" max="1" width="1.85546875" customWidth="1"/>
    <col min="2" max="19" width="3.42578125" customWidth="1"/>
    <col min="20" max="25" width="3.5703125" customWidth="1"/>
    <col min="26" max="26" width="3.28515625" customWidth="1"/>
  </cols>
  <sheetData>
    <row r="1" spans="1:26" ht="8.25" customHeight="1">
      <c r="A1" s="132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  <c r="N1" s="69"/>
      <c r="O1" s="69"/>
      <c r="P1" s="69"/>
      <c r="Q1" s="69"/>
      <c r="R1" s="69"/>
      <c r="S1" s="69"/>
      <c r="T1" s="132"/>
      <c r="U1" s="68"/>
      <c r="V1" s="68"/>
      <c r="W1" s="68"/>
      <c r="X1" s="68"/>
      <c r="Y1" s="68"/>
      <c r="Z1" s="68"/>
    </row>
    <row r="2" spans="1:26" ht="20.25" customHeight="1">
      <c r="A2" s="132"/>
      <c r="B2" s="240" t="s">
        <v>247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47"/>
      <c r="Y2" s="265"/>
      <c r="Z2" s="69"/>
    </row>
    <row r="3" spans="1:26" ht="17.25" customHeight="1">
      <c r="A3" s="132"/>
      <c r="B3" s="296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48" t="s">
        <v>5</v>
      </c>
      <c r="Y3" s="267"/>
      <c r="Z3" s="69"/>
    </row>
    <row r="4" spans="1:26" ht="20.25" customHeight="1">
      <c r="A4" s="161"/>
      <c r="B4" s="244" t="s">
        <v>248</v>
      </c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300"/>
      <c r="Z4" s="161"/>
    </row>
    <row r="5" spans="1:26" ht="17.25" customHeight="1">
      <c r="A5" s="161"/>
      <c r="B5" s="162">
        <v>1</v>
      </c>
      <c r="C5" s="246"/>
      <c r="D5" s="301"/>
      <c r="E5" s="301"/>
      <c r="F5" s="301"/>
      <c r="G5" s="301"/>
      <c r="H5" s="301"/>
      <c r="I5" s="302"/>
      <c r="J5" s="163">
        <v>8</v>
      </c>
      <c r="K5" s="246"/>
      <c r="L5" s="301"/>
      <c r="M5" s="301"/>
      <c r="N5" s="301"/>
      <c r="O5" s="301"/>
      <c r="P5" s="301"/>
      <c r="Q5" s="302"/>
      <c r="R5" s="162">
        <v>15</v>
      </c>
      <c r="S5" s="246"/>
      <c r="T5" s="301"/>
      <c r="U5" s="301"/>
      <c r="V5" s="301"/>
      <c r="W5" s="301"/>
      <c r="X5" s="301"/>
      <c r="Y5" s="303"/>
      <c r="Z5" s="161"/>
    </row>
    <row r="6" spans="1:26" ht="17.25" customHeight="1">
      <c r="A6" s="161"/>
      <c r="B6" s="164">
        <v>2</v>
      </c>
      <c r="C6" s="242"/>
      <c r="D6" s="304"/>
      <c r="E6" s="304"/>
      <c r="F6" s="304"/>
      <c r="G6" s="304"/>
      <c r="H6" s="304"/>
      <c r="I6" s="305"/>
      <c r="J6" s="165">
        <v>9</v>
      </c>
      <c r="K6" s="242"/>
      <c r="L6" s="304"/>
      <c r="M6" s="304"/>
      <c r="N6" s="304"/>
      <c r="O6" s="304"/>
      <c r="P6" s="304"/>
      <c r="Q6" s="305"/>
      <c r="R6" s="164">
        <v>16</v>
      </c>
      <c r="S6" s="242"/>
      <c r="T6" s="304"/>
      <c r="U6" s="304"/>
      <c r="V6" s="304"/>
      <c r="W6" s="304"/>
      <c r="X6" s="304"/>
      <c r="Y6" s="306"/>
      <c r="Z6" s="161"/>
    </row>
    <row r="7" spans="1:26" ht="17.25" customHeight="1">
      <c r="A7" s="161"/>
      <c r="B7" s="164">
        <v>3</v>
      </c>
      <c r="C7" s="242"/>
      <c r="D7" s="304"/>
      <c r="E7" s="304"/>
      <c r="F7" s="304"/>
      <c r="G7" s="304"/>
      <c r="H7" s="304"/>
      <c r="I7" s="305"/>
      <c r="J7" s="165">
        <v>10</v>
      </c>
      <c r="K7" s="242"/>
      <c r="L7" s="304"/>
      <c r="M7" s="304"/>
      <c r="N7" s="304"/>
      <c r="O7" s="304"/>
      <c r="P7" s="304"/>
      <c r="Q7" s="305"/>
      <c r="R7" s="164">
        <v>17</v>
      </c>
      <c r="S7" s="242"/>
      <c r="T7" s="304"/>
      <c r="U7" s="304"/>
      <c r="V7" s="304"/>
      <c r="W7" s="304"/>
      <c r="X7" s="304"/>
      <c r="Y7" s="306"/>
      <c r="Z7" s="161"/>
    </row>
    <row r="8" spans="1:26" ht="17.25" customHeight="1">
      <c r="A8" s="161"/>
      <c r="B8" s="164">
        <v>4</v>
      </c>
      <c r="C8" s="242"/>
      <c r="D8" s="304"/>
      <c r="E8" s="304"/>
      <c r="F8" s="304"/>
      <c r="G8" s="304"/>
      <c r="H8" s="304"/>
      <c r="I8" s="305"/>
      <c r="J8" s="165">
        <v>11</v>
      </c>
      <c r="K8" s="242"/>
      <c r="L8" s="304"/>
      <c r="M8" s="304"/>
      <c r="N8" s="304"/>
      <c r="O8" s="304"/>
      <c r="P8" s="304"/>
      <c r="Q8" s="305"/>
      <c r="R8" s="164">
        <v>18</v>
      </c>
      <c r="S8" s="242"/>
      <c r="T8" s="304"/>
      <c r="U8" s="304"/>
      <c r="V8" s="304"/>
      <c r="W8" s="304"/>
      <c r="X8" s="304"/>
      <c r="Y8" s="306"/>
      <c r="Z8" s="161"/>
    </row>
    <row r="9" spans="1:26" ht="17.25" customHeight="1">
      <c r="A9" s="161"/>
      <c r="B9" s="164">
        <v>5</v>
      </c>
      <c r="C9" s="242"/>
      <c r="D9" s="304"/>
      <c r="E9" s="304"/>
      <c r="F9" s="304"/>
      <c r="G9" s="304"/>
      <c r="H9" s="304"/>
      <c r="I9" s="305"/>
      <c r="J9" s="165">
        <v>12</v>
      </c>
      <c r="K9" s="242"/>
      <c r="L9" s="304"/>
      <c r="M9" s="304"/>
      <c r="N9" s="304"/>
      <c r="O9" s="304"/>
      <c r="P9" s="304"/>
      <c r="Q9" s="305"/>
      <c r="R9" s="164">
        <v>19</v>
      </c>
      <c r="S9" s="242"/>
      <c r="T9" s="304"/>
      <c r="U9" s="304"/>
      <c r="V9" s="304"/>
      <c r="W9" s="304"/>
      <c r="X9" s="304"/>
      <c r="Y9" s="306"/>
      <c r="Z9" s="161"/>
    </row>
    <row r="10" spans="1:26" ht="17.25" customHeight="1">
      <c r="A10" s="161"/>
      <c r="B10" s="164">
        <v>6</v>
      </c>
      <c r="C10" s="242"/>
      <c r="D10" s="304"/>
      <c r="E10" s="304"/>
      <c r="F10" s="304"/>
      <c r="G10" s="304"/>
      <c r="H10" s="304"/>
      <c r="I10" s="305"/>
      <c r="J10" s="165">
        <v>13</v>
      </c>
      <c r="K10" s="242"/>
      <c r="L10" s="304"/>
      <c r="M10" s="304"/>
      <c r="N10" s="304"/>
      <c r="O10" s="304"/>
      <c r="P10" s="304"/>
      <c r="Q10" s="305"/>
      <c r="R10" s="164">
        <v>20</v>
      </c>
      <c r="S10" s="242"/>
      <c r="T10" s="304"/>
      <c r="U10" s="304"/>
      <c r="V10" s="304"/>
      <c r="W10" s="304"/>
      <c r="X10" s="304"/>
      <c r="Y10" s="306"/>
      <c r="Z10" s="161"/>
    </row>
    <row r="11" spans="1:26" ht="16.5" customHeight="1">
      <c r="A11" s="161"/>
      <c r="B11" s="166">
        <v>7</v>
      </c>
      <c r="C11" s="243"/>
      <c r="D11" s="307"/>
      <c r="E11" s="307"/>
      <c r="F11" s="307"/>
      <c r="G11" s="307"/>
      <c r="H11" s="307"/>
      <c r="I11" s="308"/>
      <c r="J11" s="167">
        <v>14</v>
      </c>
      <c r="K11" s="243"/>
      <c r="L11" s="307"/>
      <c r="M11" s="307"/>
      <c r="N11" s="307"/>
      <c r="O11" s="307"/>
      <c r="P11" s="307"/>
      <c r="Q11" s="308"/>
      <c r="R11" s="166">
        <v>21</v>
      </c>
      <c r="S11" s="243"/>
      <c r="T11" s="307"/>
      <c r="U11" s="307"/>
      <c r="V11" s="307"/>
      <c r="W11" s="307"/>
      <c r="X11" s="307"/>
      <c r="Y11" s="309"/>
      <c r="Z11" s="161"/>
    </row>
    <row r="12" spans="1:26" ht="16.5" customHeight="1">
      <c r="A12" s="161"/>
      <c r="B12" s="244" t="s">
        <v>249</v>
      </c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300"/>
      <c r="Z12" s="161"/>
    </row>
    <row r="13" spans="1:26" ht="14.25" customHeight="1">
      <c r="A13" s="161"/>
      <c r="B13" s="245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1"/>
      <c r="Z13" s="161"/>
    </row>
    <row r="14" spans="1:26" ht="14.25" customHeight="1">
      <c r="A14" s="161"/>
      <c r="B14" s="312"/>
      <c r="C14" s="268"/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98"/>
      <c r="Z14" s="161"/>
    </row>
    <row r="15" spans="1:26" ht="14.25" customHeight="1">
      <c r="A15" s="161"/>
      <c r="B15" s="313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300"/>
      <c r="Z15" s="161"/>
    </row>
    <row r="16" spans="1:26" ht="14.25" customHeight="1">
      <c r="A16" s="161"/>
      <c r="B16" s="244" t="s">
        <v>250</v>
      </c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300"/>
      <c r="Z16" s="161"/>
    </row>
    <row r="17" spans="1:26" ht="31.5" customHeight="1">
      <c r="A17" s="168"/>
      <c r="B17" s="162">
        <v>1</v>
      </c>
      <c r="C17" s="246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3"/>
      <c r="Z17" s="168"/>
    </row>
    <row r="18" spans="1:26" ht="31.5" customHeight="1">
      <c r="A18" s="168"/>
      <c r="B18" s="164">
        <v>2</v>
      </c>
      <c r="C18" s="242"/>
      <c r="D18" s="304"/>
      <c r="E18" s="304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6"/>
      <c r="Z18" s="168"/>
    </row>
    <row r="19" spans="1:26" ht="31.5" customHeight="1">
      <c r="A19" s="168"/>
      <c r="B19" s="164">
        <v>3</v>
      </c>
      <c r="C19" s="242"/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6"/>
      <c r="Z19" s="168"/>
    </row>
    <row r="20" spans="1:26" ht="31.5" customHeight="1">
      <c r="A20" s="168"/>
      <c r="B20" s="164">
        <v>4</v>
      </c>
      <c r="C20" s="242"/>
      <c r="D20" s="304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6"/>
      <c r="Z20" s="168"/>
    </row>
    <row r="21" spans="1:26" ht="31.5" customHeight="1">
      <c r="A21" s="168"/>
      <c r="B21" s="164">
        <v>5</v>
      </c>
      <c r="C21" s="242"/>
      <c r="D21" s="304"/>
      <c r="E21" s="304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6"/>
      <c r="Z21" s="168"/>
    </row>
    <row r="22" spans="1:26" ht="31.5" customHeight="1">
      <c r="A22" s="168"/>
      <c r="B22" s="164">
        <v>6</v>
      </c>
      <c r="C22" s="242"/>
      <c r="D22" s="304"/>
      <c r="E22" s="304"/>
      <c r="F22" s="304"/>
      <c r="G22" s="304"/>
      <c r="H22" s="304"/>
      <c r="I22" s="304"/>
      <c r="J22" s="304"/>
      <c r="K22" s="304"/>
      <c r="L22" s="304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6"/>
      <c r="Z22" s="168"/>
    </row>
    <row r="23" spans="1:26" ht="31.5" customHeight="1">
      <c r="A23" s="168"/>
      <c r="B23" s="164">
        <v>7</v>
      </c>
      <c r="C23" s="242"/>
      <c r="D23" s="304"/>
      <c r="E23" s="304"/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6"/>
      <c r="Z23" s="168"/>
    </row>
    <row r="24" spans="1:26" ht="31.5" customHeight="1">
      <c r="A24" s="168"/>
      <c r="B24" s="164">
        <v>8</v>
      </c>
      <c r="C24" s="242"/>
      <c r="D24" s="304"/>
      <c r="E24" s="304"/>
      <c r="F24" s="304"/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  <c r="R24" s="304"/>
      <c r="S24" s="304"/>
      <c r="T24" s="304"/>
      <c r="U24" s="304"/>
      <c r="V24" s="304"/>
      <c r="W24" s="304"/>
      <c r="X24" s="304"/>
      <c r="Y24" s="306"/>
      <c r="Z24" s="168"/>
    </row>
    <row r="25" spans="1:26" ht="31.5" customHeight="1">
      <c r="A25" s="168"/>
      <c r="B25" s="164">
        <v>9</v>
      </c>
      <c r="C25" s="242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6"/>
      <c r="Z25" s="168"/>
    </row>
    <row r="26" spans="1:26" ht="31.5" customHeight="1">
      <c r="A26" s="168"/>
      <c r="B26" s="164">
        <v>10</v>
      </c>
      <c r="C26" s="242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6"/>
      <c r="Z26" s="168"/>
    </row>
    <row r="27" spans="1:26" ht="31.5" customHeight="1">
      <c r="A27" s="168"/>
      <c r="B27" s="164">
        <v>11</v>
      </c>
      <c r="C27" s="242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6"/>
      <c r="Z27" s="168"/>
    </row>
    <row r="28" spans="1:26" ht="31.5" customHeight="1">
      <c r="A28" s="168"/>
      <c r="B28" s="164">
        <v>12</v>
      </c>
      <c r="C28" s="242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304"/>
      <c r="R28" s="304"/>
      <c r="S28" s="304"/>
      <c r="T28" s="304"/>
      <c r="U28" s="304"/>
      <c r="V28" s="304"/>
      <c r="W28" s="304"/>
      <c r="X28" s="304"/>
      <c r="Y28" s="306"/>
      <c r="Z28" s="168"/>
    </row>
    <row r="29" spans="1:26" ht="31.5" customHeight="1">
      <c r="A29" s="168"/>
      <c r="B29" s="164">
        <v>13</v>
      </c>
      <c r="C29" s="242"/>
      <c r="D29" s="304"/>
      <c r="E29" s="304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306"/>
      <c r="Z29" s="168"/>
    </row>
    <row r="30" spans="1:26" ht="31.5" customHeight="1">
      <c r="A30" s="168"/>
      <c r="B30" s="164">
        <v>14</v>
      </c>
      <c r="C30" s="242"/>
      <c r="D30" s="304"/>
      <c r="E30" s="304"/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6"/>
      <c r="Z30" s="168"/>
    </row>
    <row r="31" spans="1:26" ht="31.5" customHeight="1">
      <c r="A31" s="168"/>
      <c r="B31" s="164">
        <v>15</v>
      </c>
      <c r="C31" s="242"/>
      <c r="D31" s="304"/>
      <c r="E31" s="304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6"/>
      <c r="Z31" s="168"/>
    </row>
    <row r="32" spans="1:26" ht="31.5" customHeight="1">
      <c r="A32" s="168"/>
      <c r="B32" s="164">
        <v>16</v>
      </c>
      <c r="C32" s="242"/>
      <c r="D32" s="304"/>
      <c r="E32" s="304"/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6"/>
      <c r="Z32" s="168"/>
    </row>
    <row r="33" spans="1:26" ht="31.5" customHeight="1">
      <c r="A33" s="168"/>
      <c r="B33" s="164">
        <v>17</v>
      </c>
      <c r="C33" s="242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Y33" s="306"/>
      <c r="Z33" s="168"/>
    </row>
    <row r="34" spans="1:26" ht="31.5" customHeight="1">
      <c r="A34" s="168"/>
      <c r="B34" s="164">
        <v>18</v>
      </c>
      <c r="C34" s="242"/>
      <c r="D34" s="304"/>
      <c r="E34" s="304"/>
      <c r="F34" s="304"/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  <c r="R34" s="304"/>
      <c r="S34" s="304"/>
      <c r="T34" s="304"/>
      <c r="U34" s="304"/>
      <c r="V34" s="304"/>
      <c r="W34" s="304"/>
      <c r="X34" s="304"/>
      <c r="Y34" s="306"/>
      <c r="Z34" s="168"/>
    </row>
    <row r="35" spans="1:26" ht="31.5" customHeight="1">
      <c r="A35" s="168"/>
      <c r="B35" s="164">
        <v>19</v>
      </c>
      <c r="C35" s="242"/>
      <c r="D35" s="304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  <c r="R35" s="304"/>
      <c r="S35" s="304"/>
      <c r="T35" s="304"/>
      <c r="U35" s="304"/>
      <c r="V35" s="304"/>
      <c r="W35" s="304"/>
      <c r="X35" s="304"/>
      <c r="Y35" s="306"/>
      <c r="Z35" s="168"/>
    </row>
    <row r="36" spans="1:26" ht="31.5" customHeight="1">
      <c r="A36" s="168"/>
      <c r="B36" s="164">
        <v>20</v>
      </c>
      <c r="C36" s="242"/>
      <c r="D36" s="304"/>
      <c r="E36" s="304"/>
      <c r="F36" s="304"/>
      <c r="G36" s="304"/>
      <c r="H36" s="304"/>
      <c r="I36" s="304"/>
      <c r="J36" s="304"/>
      <c r="K36" s="304"/>
      <c r="L36" s="304"/>
      <c r="M36" s="304"/>
      <c r="N36" s="304"/>
      <c r="O36" s="304"/>
      <c r="P36" s="304"/>
      <c r="Q36" s="304"/>
      <c r="R36" s="304"/>
      <c r="S36" s="304"/>
      <c r="T36" s="304"/>
      <c r="U36" s="304"/>
      <c r="V36" s="304"/>
      <c r="W36" s="304"/>
      <c r="X36" s="304"/>
      <c r="Y36" s="306"/>
      <c r="Z36" s="168"/>
    </row>
    <row r="37" spans="1:26" ht="31.5" customHeight="1">
      <c r="A37" s="168"/>
      <c r="B37" s="164">
        <v>21</v>
      </c>
      <c r="C37" s="242"/>
      <c r="D37" s="304"/>
      <c r="E37" s="304"/>
      <c r="F37" s="304"/>
      <c r="G37" s="304"/>
      <c r="H37" s="304"/>
      <c r="I37" s="304"/>
      <c r="J37" s="304"/>
      <c r="K37" s="304"/>
      <c r="L37" s="304"/>
      <c r="M37" s="304"/>
      <c r="N37" s="304"/>
      <c r="O37" s="304"/>
      <c r="P37" s="304"/>
      <c r="Q37" s="304"/>
      <c r="R37" s="304"/>
      <c r="S37" s="304"/>
      <c r="T37" s="304"/>
      <c r="U37" s="304"/>
      <c r="V37" s="304"/>
      <c r="W37" s="304"/>
      <c r="X37" s="304"/>
      <c r="Y37" s="306"/>
      <c r="Z37" s="168"/>
    </row>
    <row r="38" spans="1:26" ht="31.5" customHeight="1">
      <c r="A38" s="168"/>
      <c r="B38" s="164">
        <v>22</v>
      </c>
      <c r="C38" s="242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6"/>
      <c r="Z38" s="168"/>
    </row>
    <row r="39" spans="1:26" ht="31.5" customHeight="1">
      <c r="A39" s="168"/>
      <c r="B39" s="164">
        <v>23</v>
      </c>
      <c r="C39" s="242"/>
      <c r="D39" s="304"/>
      <c r="E39" s="304"/>
      <c r="F39" s="304"/>
      <c r="G39" s="304"/>
      <c r="H39" s="304"/>
      <c r="I39" s="304"/>
      <c r="J39" s="304"/>
      <c r="K39" s="304"/>
      <c r="L39" s="304"/>
      <c r="M39" s="304"/>
      <c r="N39" s="304"/>
      <c r="O39" s="304"/>
      <c r="P39" s="304"/>
      <c r="Q39" s="304"/>
      <c r="R39" s="304"/>
      <c r="S39" s="304"/>
      <c r="T39" s="304"/>
      <c r="U39" s="304"/>
      <c r="V39" s="304"/>
      <c r="W39" s="304"/>
      <c r="X39" s="304"/>
      <c r="Y39" s="306"/>
      <c r="Z39" s="168"/>
    </row>
    <row r="40" spans="1:26" ht="31.5" customHeight="1">
      <c r="A40" s="168"/>
      <c r="B40" s="164">
        <v>24</v>
      </c>
      <c r="C40" s="242"/>
      <c r="D40" s="304"/>
      <c r="E40" s="304"/>
      <c r="F40" s="304"/>
      <c r="G40" s="304"/>
      <c r="H40" s="304"/>
      <c r="I40" s="304"/>
      <c r="J40" s="304"/>
      <c r="K40" s="304"/>
      <c r="L40" s="304"/>
      <c r="M40" s="304"/>
      <c r="N40" s="304"/>
      <c r="O40" s="304"/>
      <c r="P40" s="304"/>
      <c r="Q40" s="304"/>
      <c r="R40" s="304"/>
      <c r="S40" s="304"/>
      <c r="T40" s="304"/>
      <c r="U40" s="304"/>
      <c r="V40" s="304"/>
      <c r="W40" s="304"/>
      <c r="X40" s="304"/>
      <c r="Y40" s="306"/>
      <c r="Z40" s="168"/>
    </row>
    <row r="41" spans="1:26" ht="31.5" customHeight="1">
      <c r="A41" s="168"/>
      <c r="B41" s="164">
        <v>25</v>
      </c>
      <c r="C41" s="242"/>
      <c r="D41" s="304"/>
      <c r="E41" s="304"/>
      <c r="F41" s="304"/>
      <c r="G41" s="304"/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304"/>
      <c r="S41" s="304"/>
      <c r="T41" s="304"/>
      <c r="U41" s="304"/>
      <c r="V41" s="304"/>
      <c r="W41" s="304"/>
      <c r="X41" s="304"/>
      <c r="Y41" s="306"/>
      <c r="Z41" s="168"/>
    </row>
    <row r="42" spans="1:26" ht="31.5" customHeight="1">
      <c r="A42" s="168"/>
      <c r="B42" s="164">
        <v>26</v>
      </c>
      <c r="C42" s="242"/>
      <c r="D42" s="304"/>
      <c r="E42" s="304"/>
      <c r="F42" s="304"/>
      <c r="G42" s="304"/>
      <c r="H42" s="304"/>
      <c r="I42" s="304"/>
      <c r="J42" s="304"/>
      <c r="K42" s="304"/>
      <c r="L42" s="304"/>
      <c r="M42" s="304"/>
      <c r="N42" s="304"/>
      <c r="O42" s="304"/>
      <c r="P42" s="304"/>
      <c r="Q42" s="304"/>
      <c r="R42" s="304"/>
      <c r="S42" s="304"/>
      <c r="T42" s="304"/>
      <c r="U42" s="304"/>
      <c r="V42" s="304"/>
      <c r="W42" s="304"/>
      <c r="X42" s="304"/>
      <c r="Y42" s="306"/>
      <c r="Z42" s="168"/>
    </row>
    <row r="43" spans="1:26" ht="31.5" customHeight="1">
      <c r="A43" s="168"/>
      <c r="B43" s="164">
        <v>27</v>
      </c>
      <c r="C43" s="242"/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4"/>
      <c r="V43" s="304"/>
      <c r="W43" s="304"/>
      <c r="X43" s="304"/>
      <c r="Y43" s="306"/>
      <c r="Z43" s="168"/>
    </row>
    <row r="44" spans="1:26" ht="31.5" customHeight="1">
      <c r="A44" s="168"/>
      <c r="B44" s="164">
        <v>28</v>
      </c>
      <c r="C44" s="242"/>
      <c r="D44" s="304"/>
      <c r="E44" s="304"/>
      <c r="F44" s="304"/>
      <c r="G44" s="304"/>
      <c r="H44" s="304"/>
      <c r="I44" s="304"/>
      <c r="J44" s="304"/>
      <c r="K44" s="304"/>
      <c r="L44" s="304"/>
      <c r="M44" s="304"/>
      <c r="N44" s="304"/>
      <c r="O44" s="304"/>
      <c r="P44" s="304"/>
      <c r="Q44" s="304"/>
      <c r="R44" s="304"/>
      <c r="S44" s="304"/>
      <c r="T44" s="304"/>
      <c r="U44" s="304"/>
      <c r="V44" s="304"/>
      <c r="W44" s="304"/>
      <c r="X44" s="304"/>
      <c r="Y44" s="306"/>
      <c r="Z44" s="168"/>
    </row>
    <row r="45" spans="1:26" ht="31.5" customHeight="1">
      <c r="A45" s="168"/>
      <c r="B45" s="164">
        <v>29</v>
      </c>
      <c r="C45" s="242"/>
      <c r="D45" s="304"/>
      <c r="E45" s="304"/>
      <c r="F45" s="304"/>
      <c r="G45" s="304"/>
      <c r="H45" s="304"/>
      <c r="I45" s="304"/>
      <c r="J45" s="304"/>
      <c r="K45" s="304"/>
      <c r="L45" s="304"/>
      <c r="M45" s="304"/>
      <c r="N45" s="304"/>
      <c r="O45" s="304"/>
      <c r="P45" s="304"/>
      <c r="Q45" s="304"/>
      <c r="R45" s="304"/>
      <c r="S45" s="304"/>
      <c r="T45" s="304"/>
      <c r="U45" s="304"/>
      <c r="V45" s="304"/>
      <c r="W45" s="304"/>
      <c r="X45" s="304"/>
      <c r="Y45" s="306"/>
      <c r="Z45" s="168"/>
    </row>
    <row r="46" spans="1:26" ht="31.5" customHeight="1">
      <c r="A46" s="168"/>
      <c r="B46" s="166">
        <v>30</v>
      </c>
      <c r="C46" s="243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9"/>
      <c r="Z46" s="168"/>
    </row>
    <row r="47" spans="1:26" ht="16.5" customHeight="1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</row>
  </sheetData>
  <mergeCells count="58">
    <mergeCell ref="C44:Y44"/>
    <mergeCell ref="C45:Y45"/>
    <mergeCell ref="C46:Y46"/>
    <mergeCell ref="C37:Y37"/>
    <mergeCell ref="C38:Y38"/>
    <mergeCell ref="C39:Y39"/>
    <mergeCell ref="C40:Y40"/>
    <mergeCell ref="C41:Y41"/>
    <mergeCell ref="C42:Y42"/>
    <mergeCell ref="C43:Y43"/>
    <mergeCell ref="K10:Q10"/>
    <mergeCell ref="K11:Q11"/>
    <mergeCell ref="C6:I6"/>
    <mergeCell ref="C7:I7"/>
    <mergeCell ref="C8:I8"/>
    <mergeCell ref="C9:I9"/>
    <mergeCell ref="C10:I10"/>
    <mergeCell ref="C11:I11"/>
    <mergeCell ref="K6:Q6"/>
    <mergeCell ref="K7:Q7"/>
    <mergeCell ref="K8:Q8"/>
    <mergeCell ref="K9:Q9"/>
    <mergeCell ref="B2:W3"/>
    <mergeCell ref="X2:Y2"/>
    <mergeCell ref="X3:Y3"/>
    <mergeCell ref="B4:Y4"/>
    <mergeCell ref="C5:I5"/>
    <mergeCell ref="S5:Y5"/>
    <mergeCell ref="K5:Q5"/>
    <mergeCell ref="S6:Y6"/>
    <mergeCell ref="S7:Y7"/>
    <mergeCell ref="S8:Y8"/>
    <mergeCell ref="S9:Y9"/>
    <mergeCell ref="S10:Y10"/>
    <mergeCell ref="S11:Y11"/>
    <mergeCell ref="B12:Y12"/>
    <mergeCell ref="B13:Y15"/>
    <mergeCell ref="B16:Y16"/>
    <mergeCell ref="C17:Y17"/>
    <mergeCell ref="C18:Y18"/>
    <mergeCell ref="C19:Y19"/>
    <mergeCell ref="C20:Y20"/>
    <mergeCell ref="C21:Y21"/>
    <mergeCell ref="C22:Y22"/>
    <mergeCell ref="C23:Y23"/>
    <mergeCell ref="C24:Y24"/>
    <mergeCell ref="C25:Y25"/>
    <mergeCell ref="C26:Y26"/>
    <mergeCell ref="C27:Y27"/>
    <mergeCell ref="C33:Y33"/>
    <mergeCell ref="C34:Y34"/>
    <mergeCell ref="C35:Y35"/>
    <mergeCell ref="C36:Y36"/>
    <mergeCell ref="C28:Y28"/>
    <mergeCell ref="C29:Y29"/>
    <mergeCell ref="C30:Y30"/>
    <mergeCell ref="C31:Y31"/>
    <mergeCell ref="C32:Y32"/>
  </mergeCells>
  <hyperlinks>
    <hyperlink ref="X3" location="D4!A1" display="D4" xr:uid="{00000000-0004-0000-0B00-000000000000}"/>
  </hyperlinks>
  <pageMargins left="0.7" right="0.7" top="0.75" bottom="0.75" header="0" footer="0"/>
  <pageSetup paperSize="9" scale="61" orientation="portrait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BA35"/>
  <sheetViews>
    <sheetView showGridLines="0" zoomScale="50" zoomScaleNormal="50" workbookViewId="0">
      <pane xSplit="1" ySplit="3" topLeftCell="B4" activePane="bottomRight" state="frozen"/>
      <selection pane="bottomRight" activeCell="BA16" sqref="BA16"/>
      <selection pane="bottomLeft" activeCell="A4" sqref="A4"/>
      <selection pane="topRight" activeCell="B1" sqref="B1"/>
    </sheetView>
  </sheetViews>
  <sheetFormatPr defaultColWidth="94.5703125" defaultRowHeight="15.75" customHeight="1"/>
  <cols>
    <col min="1" max="1" width="1.85546875" customWidth="1"/>
    <col min="2" max="2" width="5.85546875" customWidth="1"/>
    <col min="3" max="3" width="6.85546875" customWidth="1"/>
    <col min="4" max="4" width="3.5703125" customWidth="1"/>
    <col min="5" max="5" width="5.5703125" customWidth="1"/>
    <col min="6" max="31" width="3.5703125" customWidth="1"/>
    <col min="32" max="32" width="5.28515625" customWidth="1"/>
    <col min="33" max="34" width="3.5703125" customWidth="1"/>
    <col min="35" max="35" width="6.28515625" customWidth="1"/>
    <col min="36" max="45" width="3.5703125" customWidth="1"/>
    <col min="46" max="46" width="4.7109375" customWidth="1"/>
    <col min="47" max="50" width="7.42578125" customWidth="1"/>
    <col min="51" max="51" width="2.85546875" customWidth="1"/>
    <col min="52" max="52" width="122.140625" style="129" customWidth="1"/>
  </cols>
  <sheetData>
    <row r="1" spans="1:53" ht="8.25" customHeight="1">
      <c r="A1" s="132"/>
      <c r="B1" s="132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  <c r="O1" s="69"/>
      <c r="P1" s="69"/>
      <c r="Q1" s="69"/>
      <c r="R1" s="69"/>
      <c r="S1" s="69"/>
      <c r="T1" s="69"/>
      <c r="U1" s="132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9"/>
      <c r="AH1" s="69"/>
      <c r="AI1" s="69"/>
      <c r="AJ1" s="69"/>
      <c r="AK1" s="69"/>
      <c r="AL1" s="69"/>
      <c r="AM1" s="69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</row>
    <row r="2" spans="1:53" ht="39.6" customHeight="1">
      <c r="A2" s="132"/>
      <c r="B2" s="132"/>
      <c r="C2" s="252" t="s">
        <v>251</v>
      </c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/>
      <c r="AB2" s="314"/>
      <c r="AC2" s="314"/>
      <c r="AD2" s="314"/>
      <c r="AE2" s="314"/>
      <c r="AF2" s="314"/>
      <c r="AG2" s="314"/>
      <c r="AH2" s="314"/>
      <c r="AI2" s="314"/>
      <c r="AJ2" s="314"/>
      <c r="AK2" s="314"/>
      <c r="AL2" s="314"/>
      <c r="AM2" s="314"/>
      <c r="AN2" s="314"/>
      <c r="AO2" s="314"/>
      <c r="AP2" s="314"/>
      <c r="AQ2" s="314"/>
      <c r="AR2" s="314"/>
      <c r="AS2" s="314"/>
      <c r="AT2" s="314"/>
      <c r="AU2" s="314"/>
      <c r="AV2" s="314"/>
      <c r="AW2" s="314"/>
      <c r="AX2" s="70"/>
    </row>
    <row r="3" spans="1:53" ht="45.6" customHeight="1" thickBot="1">
      <c r="A3" s="132"/>
      <c r="B3" s="132"/>
      <c r="C3" s="315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71" t="s">
        <v>5</v>
      </c>
    </row>
    <row r="4" spans="1:53" ht="45.6" customHeight="1">
      <c r="A4" s="126"/>
      <c r="B4" s="126"/>
      <c r="AZ4" s="130" t="s">
        <v>252</v>
      </c>
    </row>
    <row r="5" spans="1:53" ht="45.6" customHeight="1">
      <c r="A5" s="126"/>
      <c r="B5" s="126"/>
      <c r="C5" s="253" t="s">
        <v>253</v>
      </c>
      <c r="D5" s="317"/>
      <c r="E5" s="317"/>
      <c r="F5" s="317"/>
      <c r="G5" s="317"/>
      <c r="H5" s="75"/>
      <c r="I5" s="75"/>
      <c r="J5" s="75"/>
      <c r="K5" s="75"/>
      <c r="L5" s="75"/>
      <c r="M5" s="75"/>
      <c r="N5" s="249" t="s">
        <v>254</v>
      </c>
      <c r="O5" s="317"/>
      <c r="P5" s="317"/>
      <c r="Q5" s="317"/>
      <c r="R5" s="317"/>
      <c r="S5" s="317"/>
      <c r="T5" s="317"/>
      <c r="V5" s="75"/>
      <c r="W5" s="75"/>
      <c r="X5" s="75"/>
      <c r="Y5" s="75"/>
      <c r="Z5" s="75"/>
      <c r="AA5" s="75"/>
      <c r="AB5" s="249" t="s">
        <v>255</v>
      </c>
      <c r="AC5" s="317"/>
      <c r="AD5" s="317"/>
      <c r="AE5" s="317"/>
      <c r="AF5" s="317"/>
      <c r="AG5" s="317"/>
      <c r="AH5" s="317"/>
      <c r="AI5" s="76"/>
      <c r="AJ5" s="76"/>
      <c r="AK5" s="76"/>
      <c r="AL5" s="76"/>
      <c r="AM5" s="76"/>
      <c r="AN5" s="77"/>
      <c r="AO5" s="76"/>
      <c r="AP5" s="76"/>
      <c r="AQ5" s="76"/>
      <c r="AR5" s="76"/>
      <c r="AS5" s="76"/>
      <c r="AT5" s="76"/>
      <c r="AU5" s="76"/>
      <c r="AV5" s="76"/>
      <c r="AW5" s="76"/>
      <c r="AX5" s="76"/>
      <c r="AZ5" s="133" t="s">
        <v>256</v>
      </c>
      <c r="BA5" s="185" t="s">
        <v>257</v>
      </c>
    </row>
    <row r="6" spans="1:53" ht="45.6" customHeight="1">
      <c r="A6" s="126"/>
      <c r="B6" s="12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Z6" s="131" t="s">
        <v>258</v>
      </c>
    </row>
    <row r="7" spans="1:53" ht="45.6" customHeight="1">
      <c r="A7" s="126"/>
      <c r="B7" s="126"/>
      <c r="C7" s="250"/>
      <c r="D7" s="264"/>
      <c r="E7" s="264"/>
      <c r="F7" s="264"/>
      <c r="G7" s="264"/>
      <c r="H7" s="264"/>
      <c r="I7" s="265"/>
      <c r="J7" s="169"/>
      <c r="K7" s="169"/>
      <c r="L7" s="169"/>
      <c r="M7" s="169"/>
      <c r="N7" s="251" t="s">
        <v>259</v>
      </c>
      <c r="O7" s="318"/>
      <c r="P7" s="318"/>
      <c r="Q7" s="318"/>
      <c r="R7" s="318"/>
      <c r="S7" s="318"/>
      <c r="T7" s="319"/>
      <c r="U7" s="169"/>
      <c r="V7" s="169"/>
      <c r="W7" s="169"/>
      <c r="X7" s="169"/>
      <c r="Y7" s="169"/>
      <c r="Z7" s="169"/>
      <c r="AA7" s="169"/>
      <c r="AB7" s="251" t="s">
        <v>260</v>
      </c>
      <c r="AC7" s="318"/>
      <c r="AD7" s="318"/>
      <c r="AE7" s="318"/>
      <c r="AF7" s="318"/>
      <c r="AG7" s="318"/>
      <c r="AH7" s="319"/>
      <c r="AI7" s="169"/>
      <c r="AJ7" s="169"/>
      <c r="AK7" s="169"/>
      <c r="AL7" s="169"/>
      <c r="AM7" s="169"/>
      <c r="AN7" s="8"/>
      <c r="AO7" s="8"/>
      <c r="AP7" s="8"/>
      <c r="AQ7" s="8"/>
      <c r="AR7" s="8"/>
      <c r="AS7" s="8"/>
      <c r="AT7" s="8"/>
      <c r="AU7" s="8"/>
      <c r="AV7" s="78"/>
      <c r="AW7" s="8"/>
      <c r="AX7" s="8"/>
      <c r="AZ7" s="131" t="s">
        <v>261</v>
      </c>
    </row>
    <row r="8" spans="1:53" ht="40.5">
      <c r="A8" s="126"/>
      <c r="B8" s="126"/>
      <c r="C8" s="282"/>
      <c r="D8" s="266"/>
      <c r="E8" s="266"/>
      <c r="F8" s="266"/>
      <c r="G8" s="266"/>
      <c r="H8" s="266"/>
      <c r="I8" s="267"/>
      <c r="J8" s="169"/>
      <c r="K8" s="169"/>
      <c r="L8" s="169"/>
      <c r="M8" s="169"/>
      <c r="N8" s="320"/>
      <c r="O8" s="321"/>
      <c r="P8" s="321"/>
      <c r="Q8" s="321"/>
      <c r="R8" s="321"/>
      <c r="S8" s="321"/>
      <c r="T8" s="322"/>
      <c r="U8" s="169"/>
      <c r="V8" s="169"/>
      <c r="W8" s="169"/>
      <c r="X8" s="169"/>
      <c r="Y8" s="169"/>
      <c r="Z8" s="169"/>
      <c r="AA8" s="169"/>
      <c r="AB8" s="320"/>
      <c r="AC8" s="321"/>
      <c r="AD8" s="321"/>
      <c r="AE8" s="321"/>
      <c r="AF8" s="321"/>
      <c r="AG8" s="321"/>
      <c r="AH8" s="322"/>
      <c r="AI8" s="169"/>
      <c r="AJ8" s="169"/>
      <c r="AK8" s="169"/>
      <c r="AL8" s="169"/>
      <c r="AM8" s="169"/>
      <c r="AN8" s="8"/>
      <c r="AO8" s="8"/>
      <c r="AP8" s="8"/>
      <c r="AQ8" s="8"/>
      <c r="AR8" s="8"/>
      <c r="AS8" s="8"/>
      <c r="AT8" s="8"/>
      <c r="AU8" s="8"/>
      <c r="AV8" s="78"/>
      <c r="AW8" s="8"/>
      <c r="AX8" s="8"/>
      <c r="AZ8" s="136" t="s">
        <v>262</v>
      </c>
    </row>
    <row r="9" spans="1:53" ht="55.5" customHeight="1">
      <c r="A9" s="126"/>
      <c r="B9" s="126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8"/>
      <c r="AO9" s="8"/>
      <c r="AP9" s="8"/>
      <c r="AQ9" s="8"/>
      <c r="AR9" s="8"/>
      <c r="AS9" s="8"/>
      <c r="AT9" s="8"/>
      <c r="AU9" s="8"/>
      <c r="AV9" s="78"/>
      <c r="AW9" s="8"/>
      <c r="AX9" s="8"/>
      <c r="AZ9" s="133" t="s">
        <v>263</v>
      </c>
    </row>
    <row r="10" spans="1:53" ht="29.1" customHeight="1">
      <c r="A10" s="126"/>
      <c r="B10" s="126"/>
      <c r="C10" s="169"/>
      <c r="D10" s="250"/>
      <c r="E10" s="264"/>
      <c r="F10" s="264"/>
      <c r="G10" s="264"/>
      <c r="H10" s="264"/>
      <c r="I10" s="264"/>
      <c r="J10" s="265"/>
      <c r="K10" s="169"/>
      <c r="L10" s="169"/>
      <c r="M10" s="169"/>
      <c r="N10" s="169"/>
      <c r="O10" s="169"/>
      <c r="P10" s="250"/>
      <c r="Q10" s="264"/>
      <c r="R10" s="264"/>
      <c r="S10" s="264"/>
      <c r="T10" s="264"/>
      <c r="U10" s="264"/>
      <c r="V10" s="265"/>
      <c r="W10" s="169"/>
      <c r="X10" s="169"/>
      <c r="Y10" s="169"/>
      <c r="Z10" s="169"/>
      <c r="AA10" s="169"/>
      <c r="AB10" s="169"/>
      <c r="AC10" s="169"/>
      <c r="AD10" s="251" t="s">
        <v>264</v>
      </c>
      <c r="AE10" s="318"/>
      <c r="AF10" s="318"/>
      <c r="AG10" s="318"/>
      <c r="AH10" s="318"/>
      <c r="AI10" s="318"/>
      <c r="AJ10" s="319"/>
      <c r="AK10" s="169"/>
      <c r="AL10" s="169"/>
      <c r="AM10" s="169"/>
      <c r="AO10" s="8"/>
      <c r="AP10" s="8"/>
      <c r="AQ10" s="8"/>
      <c r="AR10" s="8"/>
      <c r="AS10" s="8"/>
      <c r="AT10" s="8"/>
      <c r="AU10" s="8"/>
      <c r="AV10" s="78"/>
      <c r="AW10" s="8"/>
      <c r="AX10" s="8"/>
      <c r="AZ10" s="131" t="s">
        <v>265</v>
      </c>
    </row>
    <row r="11" spans="1:53" ht="29.1" customHeight="1">
      <c r="A11" s="126"/>
      <c r="B11" s="126"/>
      <c r="C11" s="169"/>
      <c r="D11" s="282"/>
      <c r="E11" s="266"/>
      <c r="F11" s="266"/>
      <c r="G11" s="266"/>
      <c r="H11" s="266"/>
      <c r="I11" s="266"/>
      <c r="J11" s="267"/>
      <c r="K11" s="169"/>
      <c r="L11" s="169"/>
      <c r="M11" s="169"/>
      <c r="N11" s="169"/>
      <c r="O11" s="169"/>
      <c r="P11" s="282"/>
      <c r="Q11" s="266"/>
      <c r="R11" s="266"/>
      <c r="S11" s="266"/>
      <c r="T11" s="266"/>
      <c r="U11" s="266"/>
      <c r="V11" s="267"/>
      <c r="W11" s="169"/>
      <c r="X11" s="169"/>
      <c r="Y11" s="169"/>
      <c r="Z11" s="169"/>
      <c r="AA11" s="169"/>
      <c r="AB11" s="169"/>
      <c r="AC11" s="169"/>
      <c r="AD11" s="320"/>
      <c r="AE11" s="321"/>
      <c r="AF11" s="321"/>
      <c r="AG11" s="321"/>
      <c r="AH11" s="321"/>
      <c r="AI11" s="321"/>
      <c r="AJ11" s="322"/>
      <c r="AK11" s="169"/>
      <c r="AL11" s="169"/>
      <c r="AM11" s="169"/>
      <c r="AO11" s="8"/>
      <c r="AP11" s="8"/>
      <c r="AQ11" s="8"/>
      <c r="AR11" s="8"/>
      <c r="AS11" s="8"/>
      <c r="AT11" s="8"/>
      <c r="AU11" s="254" t="s">
        <v>266</v>
      </c>
      <c r="AV11" s="323"/>
      <c r="AW11" s="323"/>
      <c r="AX11" s="323"/>
      <c r="AZ11" s="131" t="s">
        <v>267</v>
      </c>
    </row>
    <row r="12" spans="1:53" ht="29.1" customHeight="1">
      <c r="A12" s="126"/>
      <c r="B12" s="126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8"/>
      <c r="AO12" s="8"/>
      <c r="AP12" s="8"/>
      <c r="AQ12" s="8"/>
      <c r="AR12" s="8"/>
      <c r="AS12" s="8"/>
      <c r="AT12" s="8"/>
      <c r="AU12" s="323"/>
      <c r="AV12" s="323"/>
      <c r="AW12" s="323"/>
      <c r="AX12" s="323"/>
      <c r="AZ12" s="131" t="s">
        <v>268</v>
      </c>
    </row>
    <row r="13" spans="1:53" ht="29.1" customHeight="1">
      <c r="A13" s="126"/>
      <c r="B13" s="126"/>
      <c r="C13" s="169"/>
      <c r="D13" s="169"/>
      <c r="E13" s="250"/>
      <c r="F13" s="264"/>
      <c r="G13" s="264"/>
      <c r="H13" s="264"/>
      <c r="I13" s="264"/>
      <c r="J13" s="264"/>
      <c r="K13" s="265"/>
      <c r="L13" s="169"/>
      <c r="M13" s="169"/>
      <c r="N13" s="169"/>
      <c r="O13" s="169"/>
      <c r="P13" s="169"/>
      <c r="Q13" s="169"/>
      <c r="R13" s="250"/>
      <c r="S13" s="264"/>
      <c r="T13" s="264"/>
      <c r="U13" s="264"/>
      <c r="V13" s="264"/>
      <c r="W13" s="264"/>
      <c r="X13" s="265"/>
      <c r="Y13" s="169"/>
      <c r="Z13" s="169"/>
      <c r="AA13" s="169"/>
      <c r="AB13" s="169"/>
      <c r="AC13" s="169"/>
      <c r="AD13" s="169"/>
      <c r="AE13" s="169"/>
      <c r="AF13" s="250"/>
      <c r="AG13" s="264"/>
      <c r="AH13" s="264"/>
      <c r="AI13" s="264"/>
      <c r="AJ13" s="264"/>
      <c r="AK13" s="264"/>
      <c r="AL13" s="265"/>
      <c r="AM13" s="169"/>
      <c r="AP13" s="8"/>
      <c r="AQ13" s="8"/>
      <c r="AR13" s="8"/>
      <c r="AS13" s="8"/>
      <c r="AT13" s="8"/>
      <c r="AU13" s="8"/>
      <c r="AV13" s="8"/>
      <c r="AW13" s="8"/>
      <c r="AX13" s="8"/>
      <c r="AZ13" s="131" t="s">
        <v>269</v>
      </c>
    </row>
    <row r="14" spans="1:53" ht="29.1" customHeight="1">
      <c r="A14" s="126"/>
      <c r="B14" s="126"/>
      <c r="C14" s="169"/>
      <c r="D14" s="169"/>
      <c r="E14" s="282"/>
      <c r="F14" s="266"/>
      <c r="G14" s="266"/>
      <c r="H14" s="266"/>
      <c r="I14" s="266"/>
      <c r="J14" s="266"/>
      <c r="K14" s="267"/>
      <c r="L14" s="169"/>
      <c r="M14" s="169"/>
      <c r="N14" s="169"/>
      <c r="O14" s="169"/>
      <c r="P14" s="170"/>
      <c r="Q14" s="169"/>
      <c r="R14" s="282"/>
      <c r="S14" s="266"/>
      <c r="T14" s="266"/>
      <c r="U14" s="266"/>
      <c r="V14" s="266"/>
      <c r="W14" s="266"/>
      <c r="X14" s="267"/>
      <c r="Y14" s="169"/>
      <c r="Z14" s="169"/>
      <c r="AA14" s="169"/>
      <c r="AB14" s="169"/>
      <c r="AC14" s="170"/>
      <c r="AD14" s="169"/>
      <c r="AE14" s="169"/>
      <c r="AF14" s="282"/>
      <c r="AG14" s="266"/>
      <c r="AH14" s="266"/>
      <c r="AI14" s="266"/>
      <c r="AJ14" s="266"/>
      <c r="AK14" s="266"/>
      <c r="AL14" s="267"/>
      <c r="AM14" s="169"/>
      <c r="AP14" s="8"/>
      <c r="AQ14" s="8"/>
      <c r="AR14" s="8"/>
      <c r="AS14" s="8"/>
      <c r="AT14" s="8"/>
      <c r="AU14" s="250"/>
      <c r="AV14" s="264"/>
      <c r="AW14" s="264"/>
      <c r="AX14" s="265"/>
      <c r="AZ14" s="134" t="s">
        <v>270</v>
      </c>
      <c r="BA14" s="186" t="s">
        <v>271</v>
      </c>
    </row>
    <row r="15" spans="1:53" ht="29.1" customHeight="1">
      <c r="A15" s="126"/>
      <c r="B15" s="126"/>
      <c r="C15" s="169"/>
      <c r="D15" s="169"/>
      <c r="E15" s="170"/>
      <c r="F15" s="170"/>
      <c r="G15" s="170"/>
      <c r="H15" s="170"/>
      <c r="I15" s="170"/>
      <c r="J15" s="170"/>
      <c r="K15" s="170"/>
      <c r="L15" s="169"/>
      <c r="M15" s="169"/>
      <c r="N15" s="169"/>
      <c r="O15" s="169"/>
      <c r="P15" s="170"/>
      <c r="Q15" s="169"/>
      <c r="R15" s="170"/>
      <c r="S15" s="170"/>
      <c r="T15" s="170"/>
      <c r="U15" s="170"/>
      <c r="V15" s="170"/>
      <c r="W15" s="170"/>
      <c r="X15" s="170"/>
      <c r="Y15" s="169"/>
      <c r="Z15" s="169"/>
      <c r="AA15" s="169"/>
      <c r="AB15" s="169"/>
      <c r="AC15" s="170"/>
      <c r="AD15" s="169"/>
      <c r="AE15" s="169"/>
      <c r="AF15" s="170"/>
      <c r="AG15" s="170"/>
      <c r="AH15" s="170"/>
      <c r="AI15" s="170"/>
      <c r="AJ15" s="170"/>
      <c r="AK15" s="170"/>
      <c r="AL15" s="170"/>
      <c r="AM15" s="169"/>
      <c r="AP15" s="8"/>
      <c r="AQ15" s="8"/>
      <c r="AR15" s="8"/>
      <c r="AS15" s="8"/>
      <c r="AT15" s="8"/>
      <c r="AU15" s="280"/>
      <c r="AV15" s="268"/>
      <c r="AW15" s="268"/>
      <c r="AX15" s="281"/>
      <c r="AZ15" s="134" t="s">
        <v>272</v>
      </c>
      <c r="BA15" s="186" t="s">
        <v>273</v>
      </c>
    </row>
    <row r="16" spans="1:53" ht="29.1" customHeight="1">
      <c r="A16" s="126"/>
      <c r="B16" s="126"/>
      <c r="C16" s="169"/>
      <c r="D16" s="169"/>
      <c r="E16" s="170"/>
      <c r="F16" s="250"/>
      <c r="G16" s="264"/>
      <c r="H16" s="264"/>
      <c r="I16" s="264"/>
      <c r="J16" s="264"/>
      <c r="K16" s="264"/>
      <c r="L16" s="265"/>
      <c r="M16" s="169"/>
      <c r="N16" s="169"/>
      <c r="O16" s="169"/>
      <c r="P16" s="170"/>
      <c r="Q16" s="169"/>
      <c r="R16" s="170"/>
      <c r="S16" s="250"/>
      <c r="T16" s="264"/>
      <c r="U16" s="264"/>
      <c r="V16" s="264"/>
      <c r="W16" s="264"/>
      <c r="X16" s="264"/>
      <c r="Y16" s="265"/>
      <c r="Z16" s="170"/>
      <c r="AA16" s="169"/>
      <c r="AB16" s="169"/>
      <c r="AC16" s="170"/>
      <c r="AD16" s="169"/>
      <c r="AE16" s="169"/>
      <c r="AF16" s="170"/>
      <c r="AG16" s="250"/>
      <c r="AH16" s="264"/>
      <c r="AI16" s="264"/>
      <c r="AJ16" s="264"/>
      <c r="AK16" s="264"/>
      <c r="AL16" s="264"/>
      <c r="AM16" s="265"/>
      <c r="AP16" s="8"/>
      <c r="AQ16" s="8"/>
      <c r="AR16" s="8"/>
      <c r="AS16" s="8"/>
      <c r="AT16" s="8"/>
      <c r="AU16" s="280"/>
      <c r="AV16" s="268"/>
      <c r="AW16" s="268"/>
      <c r="AX16" s="281"/>
      <c r="AZ16" s="134" t="s">
        <v>274</v>
      </c>
      <c r="BA16" s="186" t="s">
        <v>275</v>
      </c>
    </row>
    <row r="17" spans="1:52" ht="20.100000000000001">
      <c r="A17" s="126"/>
      <c r="B17" s="126"/>
      <c r="C17" s="170"/>
      <c r="D17" s="169"/>
      <c r="E17" s="169"/>
      <c r="F17" s="282"/>
      <c r="G17" s="266"/>
      <c r="H17" s="266"/>
      <c r="I17" s="266"/>
      <c r="J17" s="266"/>
      <c r="K17" s="266"/>
      <c r="L17" s="267"/>
      <c r="M17" s="169"/>
      <c r="N17" s="169"/>
      <c r="O17" s="169"/>
      <c r="P17" s="169"/>
      <c r="Q17" s="169"/>
      <c r="R17" s="169"/>
      <c r="S17" s="282"/>
      <c r="T17" s="266"/>
      <c r="U17" s="266"/>
      <c r="V17" s="266"/>
      <c r="W17" s="266"/>
      <c r="X17" s="266"/>
      <c r="Y17" s="267"/>
      <c r="Z17" s="170"/>
      <c r="AA17" s="170"/>
      <c r="AB17" s="170"/>
      <c r="AC17" s="170"/>
      <c r="AD17" s="169"/>
      <c r="AE17" s="169"/>
      <c r="AF17" s="169"/>
      <c r="AG17" s="282"/>
      <c r="AH17" s="266"/>
      <c r="AI17" s="266"/>
      <c r="AJ17" s="266"/>
      <c r="AK17" s="266"/>
      <c r="AL17" s="266"/>
      <c r="AM17" s="267"/>
      <c r="AO17" s="8"/>
      <c r="AP17" s="8"/>
      <c r="AQ17" s="8"/>
      <c r="AR17" s="8"/>
      <c r="AS17" s="8"/>
      <c r="AT17" s="8"/>
      <c r="AU17" s="280"/>
      <c r="AV17" s="268"/>
      <c r="AW17" s="268"/>
      <c r="AX17" s="281"/>
      <c r="AZ17" s="135" t="s">
        <v>276</v>
      </c>
    </row>
    <row r="18" spans="1:52" ht="29.1" customHeight="1">
      <c r="A18" s="126"/>
      <c r="B18" s="126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8"/>
      <c r="AO18" s="8"/>
      <c r="AP18" s="8"/>
      <c r="AQ18" s="8"/>
      <c r="AR18" s="8"/>
      <c r="AS18" s="8"/>
      <c r="AT18" s="8"/>
      <c r="AU18" s="280"/>
      <c r="AV18" s="268"/>
      <c r="AW18" s="268"/>
      <c r="AX18" s="281"/>
      <c r="AZ18" s="135" t="s">
        <v>277</v>
      </c>
    </row>
    <row r="19" spans="1:52" ht="29.1" customHeight="1">
      <c r="A19" s="126"/>
      <c r="B19" s="126"/>
      <c r="C19" s="169"/>
      <c r="D19" s="169"/>
      <c r="E19" s="169"/>
      <c r="F19" s="169"/>
      <c r="G19" s="169"/>
      <c r="H19" s="169"/>
      <c r="I19" s="171"/>
      <c r="J19" s="169"/>
      <c r="K19" s="169"/>
      <c r="L19" s="169"/>
      <c r="M19" s="169"/>
      <c r="N19" s="169"/>
      <c r="O19" s="171"/>
      <c r="P19" s="169"/>
      <c r="Q19" s="169"/>
      <c r="R19" s="169"/>
      <c r="S19" s="171"/>
      <c r="T19" s="169"/>
      <c r="U19" s="169"/>
      <c r="V19" s="169"/>
      <c r="W19" s="169"/>
      <c r="X19" s="171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71"/>
      <c r="AJ19" s="169"/>
      <c r="AK19" s="169"/>
      <c r="AL19" s="169"/>
      <c r="AM19" s="169"/>
      <c r="AN19" s="8"/>
      <c r="AO19" s="79"/>
      <c r="AP19" s="8"/>
      <c r="AQ19" s="8"/>
      <c r="AR19" s="8"/>
      <c r="AS19" s="79"/>
      <c r="AT19" s="8"/>
      <c r="AU19" s="280"/>
      <c r="AV19" s="268"/>
      <c r="AW19" s="268"/>
      <c r="AX19" s="281"/>
      <c r="AZ19" s="128"/>
    </row>
    <row r="20" spans="1:52" ht="29.1" customHeight="1">
      <c r="A20" s="126"/>
      <c r="B20" s="126"/>
      <c r="C20" s="30"/>
      <c r="D20" s="169"/>
      <c r="E20" s="169"/>
      <c r="F20" s="169"/>
      <c r="G20" s="250"/>
      <c r="H20" s="264"/>
      <c r="I20" s="264"/>
      <c r="J20" s="264"/>
      <c r="K20" s="264"/>
      <c r="L20" s="264"/>
      <c r="M20" s="265"/>
      <c r="N20" s="169"/>
      <c r="O20" s="169"/>
      <c r="P20" s="169"/>
      <c r="Q20" s="169"/>
      <c r="R20" s="169"/>
      <c r="S20" s="169"/>
      <c r="T20" s="251" t="s">
        <v>277</v>
      </c>
      <c r="U20" s="318"/>
      <c r="V20" s="318"/>
      <c r="W20" s="318"/>
      <c r="X20" s="318"/>
      <c r="Y20" s="318"/>
      <c r="Z20" s="319"/>
      <c r="AA20" s="169"/>
      <c r="AB20" s="169"/>
      <c r="AC20" s="169"/>
      <c r="AD20" s="169"/>
      <c r="AE20" s="169"/>
      <c r="AF20" s="169"/>
      <c r="AG20" s="251" t="s">
        <v>278</v>
      </c>
      <c r="AH20" s="318"/>
      <c r="AI20" s="318"/>
      <c r="AJ20" s="318"/>
      <c r="AK20" s="318"/>
      <c r="AL20" s="318"/>
      <c r="AM20" s="319"/>
      <c r="AN20" s="8"/>
      <c r="AO20" s="8"/>
      <c r="AP20" s="8"/>
      <c r="AQ20" s="8"/>
      <c r="AR20" s="8"/>
      <c r="AS20" s="8"/>
      <c r="AT20" s="8"/>
      <c r="AU20" s="280"/>
      <c r="AV20" s="268"/>
      <c r="AW20" s="268"/>
      <c r="AX20" s="281"/>
      <c r="AZ20" s="128"/>
    </row>
    <row r="21" spans="1:52" ht="29.1" customHeight="1">
      <c r="A21" s="126"/>
      <c r="B21" s="126"/>
      <c r="C21" s="30"/>
      <c r="D21" s="169"/>
      <c r="E21" s="169"/>
      <c r="F21" s="169"/>
      <c r="G21" s="282"/>
      <c r="H21" s="266"/>
      <c r="I21" s="266"/>
      <c r="J21" s="266"/>
      <c r="K21" s="266"/>
      <c r="L21" s="266"/>
      <c r="M21" s="267"/>
      <c r="N21" s="169"/>
      <c r="O21" s="169"/>
      <c r="P21" s="169"/>
      <c r="Q21" s="169"/>
      <c r="R21" s="169"/>
      <c r="S21" s="169"/>
      <c r="T21" s="320"/>
      <c r="U21" s="321"/>
      <c r="V21" s="321"/>
      <c r="W21" s="321"/>
      <c r="X21" s="321"/>
      <c r="Y21" s="321"/>
      <c r="Z21" s="322"/>
      <c r="AA21" s="170"/>
      <c r="AB21" s="170"/>
      <c r="AC21" s="169"/>
      <c r="AD21" s="169"/>
      <c r="AE21" s="169"/>
      <c r="AF21" s="169"/>
      <c r="AG21" s="320"/>
      <c r="AH21" s="321"/>
      <c r="AI21" s="321"/>
      <c r="AJ21" s="321"/>
      <c r="AK21" s="321"/>
      <c r="AL21" s="321"/>
      <c r="AM21" s="322"/>
      <c r="AN21" s="80"/>
      <c r="AO21" s="80"/>
      <c r="AP21" s="8"/>
      <c r="AQ21" s="8"/>
      <c r="AR21" s="8"/>
      <c r="AS21" s="8"/>
      <c r="AT21" s="8"/>
      <c r="AU21" s="282"/>
      <c r="AV21" s="266"/>
      <c r="AW21" s="266"/>
      <c r="AX21" s="267"/>
      <c r="AZ21" s="128"/>
    </row>
    <row r="22" spans="1:52" ht="29.1" customHeight="1">
      <c r="A22" s="126"/>
      <c r="B22" s="126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70"/>
      <c r="W22" s="170"/>
      <c r="X22" s="170"/>
      <c r="Y22" s="170"/>
      <c r="Z22" s="170"/>
      <c r="AA22" s="170"/>
      <c r="AB22" s="170"/>
      <c r="AC22" s="169"/>
      <c r="AD22" s="169"/>
      <c r="AE22" s="169"/>
      <c r="AF22" s="169"/>
      <c r="AG22" s="169"/>
      <c r="AH22" s="169"/>
      <c r="AI22" s="170"/>
      <c r="AJ22" s="170"/>
      <c r="AK22" s="170"/>
      <c r="AL22" s="170"/>
      <c r="AM22" s="170"/>
      <c r="AN22" s="80"/>
      <c r="AO22" s="80"/>
      <c r="AP22" s="8"/>
      <c r="AQ22" s="8"/>
      <c r="AR22" s="8"/>
      <c r="AS22" s="8"/>
      <c r="AT22" s="8"/>
      <c r="AU22" s="8"/>
      <c r="AV22" s="8"/>
      <c r="AW22" s="8"/>
      <c r="AX22" s="8"/>
    </row>
    <row r="23" spans="1:52" ht="29.1" customHeight="1">
      <c r="A23" s="126"/>
      <c r="B23" s="126"/>
      <c r="C23" s="169"/>
      <c r="D23" s="169"/>
      <c r="E23" s="169"/>
      <c r="F23" s="250"/>
      <c r="G23" s="264"/>
      <c r="H23" s="264"/>
      <c r="I23" s="264"/>
      <c r="J23" s="264"/>
      <c r="K23" s="264"/>
      <c r="L23" s="265"/>
      <c r="M23" s="170"/>
      <c r="N23" s="170"/>
      <c r="O23" s="170"/>
      <c r="P23" s="170"/>
      <c r="Q23" s="170"/>
      <c r="R23" s="170"/>
      <c r="S23" s="250"/>
      <c r="T23" s="264"/>
      <c r="U23" s="264"/>
      <c r="V23" s="264"/>
      <c r="W23" s="264"/>
      <c r="X23" s="264"/>
      <c r="Y23" s="265"/>
      <c r="Z23" s="169"/>
      <c r="AA23" s="169"/>
      <c r="AB23" s="169"/>
      <c r="AC23" s="169"/>
      <c r="AD23" s="169"/>
      <c r="AE23" s="169"/>
      <c r="AF23" s="251" t="s">
        <v>279</v>
      </c>
      <c r="AG23" s="318"/>
      <c r="AH23" s="318"/>
      <c r="AI23" s="318"/>
      <c r="AJ23" s="318"/>
      <c r="AK23" s="318"/>
      <c r="AL23" s="319"/>
      <c r="AM23" s="169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2" ht="29.1" customHeight="1">
      <c r="A24" s="126"/>
      <c r="B24" s="126"/>
      <c r="C24" s="169"/>
      <c r="D24" s="169"/>
      <c r="E24" s="169"/>
      <c r="F24" s="282"/>
      <c r="G24" s="266"/>
      <c r="H24" s="266"/>
      <c r="I24" s="266"/>
      <c r="J24" s="266"/>
      <c r="K24" s="266"/>
      <c r="L24" s="267"/>
      <c r="M24" s="170"/>
      <c r="N24" s="170"/>
      <c r="O24" s="170"/>
      <c r="P24" s="170"/>
      <c r="Q24" s="170"/>
      <c r="R24" s="170"/>
      <c r="S24" s="282"/>
      <c r="T24" s="266"/>
      <c r="U24" s="266"/>
      <c r="V24" s="266"/>
      <c r="W24" s="266"/>
      <c r="X24" s="266"/>
      <c r="Y24" s="267"/>
      <c r="Z24" s="170"/>
      <c r="AA24" s="170"/>
      <c r="AB24" s="169"/>
      <c r="AC24" s="169"/>
      <c r="AD24" s="169"/>
      <c r="AE24" s="169"/>
      <c r="AF24" s="320"/>
      <c r="AG24" s="321"/>
      <c r="AH24" s="321"/>
      <c r="AI24" s="321"/>
      <c r="AJ24" s="321"/>
      <c r="AK24" s="321"/>
      <c r="AL24" s="322"/>
      <c r="AM24" s="170"/>
      <c r="AN24" s="80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2" ht="29.1" customHeight="1">
      <c r="A25" s="126"/>
      <c r="B25" s="126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70"/>
      <c r="V25" s="170"/>
      <c r="W25" s="170"/>
      <c r="X25" s="170"/>
      <c r="Y25" s="170"/>
      <c r="Z25" s="170"/>
      <c r="AA25" s="170"/>
      <c r="AB25" s="169"/>
      <c r="AC25" s="169"/>
      <c r="AD25" s="169"/>
      <c r="AE25" s="169"/>
      <c r="AF25" s="169"/>
      <c r="AG25" s="169"/>
      <c r="AH25" s="170"/>
      <c r="AI25" s="170"/>
      <c r="AJ25" s="170"/>
      <c r="AK25" s="170"/>
      <c r="AL25" s="170"/>
      <c r="AM25" s="170"/>
      <c r="AN25" s="80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2" ht="29.1" customHeight="1">
      <c r="A26" s="126"/>
      <c r="B26" s="126"/>
      <c r="C26" s="169"/>
      <c r="D26" s="169"/>
      <c r="E26" s="250"/>
      <c r="F26" s="264"/>
      <c r="G26" s="264"/>
      <c r="H26" s="264"/>
      <c r="I26" s="264"/>
      <c r="J26" s="264"/>
      <c r="K26" s="265"/>
      <c r="L26" s="169"/>
      <c r="M26" s="169"/>
      <c r="N26" s="169"/>
      <c r="O26" s="169"/>
      <c r="P26" s="169"/>
      <c r="Q26" s="169"/>
      <c r="R26" s="250"/>
      <c r="S26" s="264"/>
      <c r="T26" s="264"/>
      <c r="U26" s="264"/>
      <c r="V26" s="264"/>
      <c r="W26" s="264"/>
      <c r="X26" s="265"/>
      <c r="Y26" s="169"/>
      <c r="Z26" s="169"/>
      <c r="AA26" s="169"/>
      <c r="AB26" s="169"/>
      <c r="AC26" s="169"/>
      <c r="AD26" s="169"/>
      <c r="AE26" s="250" t="s">
        <v>280</v>
      </c>
      <c r="AF26" s="264"/>
      <c r="AG26" s="264"/>
      <c r="AH26" s="264"/>
      <c r="AI26" s="264"/>
      <c r="AJ26" s="264"/>
      <c r="AK26" s="265"/>
      <c r="AL26" s="169"/>
      <c r="AM26" s="169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2" ht="29.1" customHeight="1">
      <c r="A27" s="126"/>
      <c r="B27" s="126"/>
      <c r="C27" s="169"/>
      <c r="D27" s="169"/>
      <c r="E27" s="282"/>
      <c r="F27" s="266"/>
      <c r="G27" s="266"/>
      <c r="H27" s="266"/>
      <c r="I27" s="266"/>
      <c r="J27" s="266"/>
      <c r="K27" s="267"/>
      <c r="L27" s="169"/>
      <c r="M27" s="169"/>
      <c r="N27" s="169"/>
      <c r="O27" s="169"/>
      <c r="P27" s="169"/>
      <c r="Q27" s="169"/>
      <c r="R27" s="282"/>
      <c r="S27" s="266"/>
      <c r="T27" s="266"/>
      <c r="U27" s="266"/>
      <c r="V27" s="266"/>
      <c r="W27" s="266"/>
      <c r="X27" s="267"/>
      <c r="Y27" s="170"/>
      <c r="Z27" s="170"/>
      <c r="AA27" s="169"/>
      <c r="AB27" s="169"/>
      <c r="AC27" s="169"/>
      <c r="AD27" s="169"/>
      <c r="AE27" s="282"/>
      <c r="AF27" s="266"/>
      <c r="AG27" s="266"/>
      <c r="AH27" s="266"/>
      <c r="AI27" s="266"/>
      <c r="AJ27" s="266"/>
      <c r="AK27" s="267"/>
      <c r="AL27" s="170"/>
      <c r="AM27" s="170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2" ht="29.1" customHeight="1">
      <c r="A28" s="126"/>
      <c r="B28" s="126"/>
      <c r="C28" s="169"/>
      <c r="D28" s="169"/>
      <c r="E28" s="170"/>
      <c r="F28" s="170"/>
      <c r="G28" s="170"/>
      <c r="H28" s="170"/>
      <c r="I28" s="170"/>
      <c r="J28" s="170"/>
      <c r="K28" s="170"/>
      <c r="L28" s="169"/>
      <c r="M28" s="169"/>
      <c r="N28" s="169"/>
      <c r="O28" s="169"/>
      <c r="P28" s="169"/>
      <c r="Q28" s="169"/>
      <c r="R28" s="169"/>
      <c r="S28" s="169"/>
      <c r="T28" s="170"/>
      <c r="U28" s="170"/>
      <c r="V28" s="170"/>
      <c r="W28" s="170"/>
      <c r="X28" s="170"/>
      <c r="Y28" s="170"/>
      <c r="Z28" s="170"/>
      <c r="AA28" s="169"/>
      <c r="AB28" s="169"/>
      <c r="AC28" s="169"/>
      <c r="AD28" s="169"/>
      <c r="AE28" s="169"/>
      <c r="AF28" s="169"/>
      <c r="AG28" s="170"/>
      <c r="AH28" s="170"/>
      <c r="AI28" s="170"/>
      <c r="AJ28" s="170"/>
      <c r="AK28" s="170"/>
      <c r="AL28" s="170"/>
      <c r="AM28" s="170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2" ht="29.1" customHeight="1">
      <c r="A29" s="126"/>
      <c r="B29" s="126"/>
      <c r="C29" s="169"/>
      <c r="D29" s="250"/>
      <c r="E29" s="264"/>
      <c r="F29" s="264"/>
      <c r="G29" s="264"/>
      <c r="H29" s="264"/>
      <c r="I29" s="264"/>
      <c r="J29" s="265"/>
      <c r="K29" s="170"/>
      <c r="L29" s="169"/>
      <c r="M29" s="169"/>
      <c r="N29" s="169"/>
      <c r="O29" s="169"/>
      <c r="P29" s="169"/>
      <c r="Q29" s="250"/>
      <c r="R29" s="264"/>
      <c r="S29" s="264"/>
      <c r="T29" s="264"/>
      <c r="U29" s="264"/>
      <c r="V29" s="264"/>
      <c r="W29" s="265"/>
      <c r="X29" s="170"/>
      <c r="Y29" s="170"/>
      <c r="Z29" s="170"/>
      <c r="AA29" s="169"/>
      <c r="AB29" s="169"/>
      <c r="AC29" s="169"/>
      <c r="AD29" s="250"/>
      <c r="AE29" s="264"/>
      <c r="AF29" s="264"/>
      <c r="AG29" s="264"/>
      <c r="AH29" s="264"/>
      <c r="AI29" s="264"/>
      <c r="AJ29" s="265"/>
      <c r="AK29" s="170"/>
      <c r="AL29" s="170"/>
      <c r="AM29" s="170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2" ht="29.1" customHeight="1">
      <c r="A30" s="126"/>
      <c r="B30" s="126"/>
      <c r="C30" s="169"/>
      <c r="D30" s="282"/>
      <c r="E30" s="266"/>
      <c r="F30" s="266"/>
      <c r="G30" s="266"/>
      <c r="H30" s="266"/>
      <c r="I30" s="266"/>
      <c r="J30" s="267"/>
      <c r="K30" s="169"/>
      <c r="L30" s="169"/>
      <c r="M30" s="169"/>
      <c r="N30" s="169"/>
      <c r="O30" s="169"/>
      <c r="P30" s="169"/>
      <c r="Q30" s="282"/>
      <c r="R30" s="266"/>
      <c r="S30" s="266"/>
      <c r="T30" s="266"/>
      <c r="U30" s="266"/>
      <c r="V30" s="266"/>
      <c r="W30" s="267"/>
      <c r="X30" s="170"/>
      <c r="Y30" s="170"/>
      <c r="Z30" s="170"/>
      <c r="AA30" s="169"/>
      <c r="AB30" s="169"/>
      <c r="AC30" s="169"/>
      <c r="AD30" s="282"/>
      <c r="AE30" s="266"/>
      <c r="AF30" s="266"/>
      <c r="AG30" s="266"/>
      <c r="AH30" s="266"/>
      <c r="AI30" s="266"/>
      <c r="AJ30" s="267"/>
      <c r="AK30" s="170"/>
      <c r="AL30" s="170"/>
      <c r="AM30" s="170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2" ht="29.1" customHeight="1">
      <c r="A31" s="126"/>
      <c r="B31" s="126"/>
      <c r="C31" s="169"/>
      <c r="D31" s="169"/>
      <c r="E31" s="169"/>
      <c r="F31" s="169"/>
      <c r="G31" s="30"/>
      <c r="H31" s="30"/>
      <c r="I31" s="30"/>
      <c r="J31" s="30"/>
      <c r="K31" s="30"/>
      <c r="L31" s="30"/>
      <c r="M31" s="30"/>
      <c r="N31" s="169"/>
      <c r="O31" s="169"/>
      <c r="P31" s="169"/>
      <c r="Q31" s="169"/>
      <c r="R31" s="169"/>
      <c r="S31" s="169"/>
      <c r="T31" s="170"/>
      <c r="U31" s="170"/>
      <c r="V31" s="170"/>
      <c r="W31" s="170"/>
      <c r="X31" s="170"/>
      <c r="Y31" s="170"/>
      <c r="Z31" s="170"/>
      <c r="AA31" s="169"/>
      <c r="AB31" s="169"/>
      <c r="AC31" s="169"/>
      <c r="AD31" s="169"/>
      <c r="AE31" s="169"/>
      <c r="AF31" s="169"/>
      <c r="AG31" s="170"/>
      <c r="AH31" s="170"/>
      <c r="AI31" s="170"/>
      <c r="AJ31" s="170"/>
      <c r="AK31" s="170"/>
      <c r="AL31" s="170"/>
      <c r="AM31" s="170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2" ht="29.1" customHeight="1">
      <c r="A32" s="126"/>
      <c r="B32" s="12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ht="29.1" customHeight="1">
      <c r="A33" s="126"/>
      <c r="B33" s="126"/>
      <c r="C33" s="249" t="s">
        <v>281</v>
      </c>
      <c r="D33" s="317"/>
      <c r="E33" s="317"/>
      <c r="F33" s="317"/>
      <c r="G33" s="317"/>
      <c r="H33" s="317"/>
      <c r="I33" s="81"/>
      <c r="J33" s="81"/>
      <c r="K33" s="81"/>
      <c r="L33" s="81"/>
      <c r="M33" s="81"/>
      <c r="N33" s="81"/>
      <c r="O33" s="249" t="s">
        <v>282</v>
      </c>
      <c r="P33" s="317"/>
      <c r="Q33" s="317"/>
      <c r="R33" s="317"/>
      <c r="S33" s="317"/>
      <c r="T33" s="317"/>
      <c r="U33" s="317"/>
      <c r="V33" s="317"/>
      <c r="W33" s="81"/>
      <c r="X33" s="81"/>
      <c r="Y33" s="81"/>
      <c r="Z33" s="81"/>
      <c r="AA33" s="81"/>
      <c r="AB33" s="81"/>
      <c r="AC33" s="249" t="s">
        <v>283</v>
      </c>
      <c r="AD33" s="317"/>
      <c r="AE33" s="317"/>
      <c r="AF33" s="317"/>
      <c r="AG33" s="317"/>
      <c r="AH33" s="317"/>
      <c r="AI33" s="76"/>
      <c r="AJ33" s="76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ht="29.1" customHeight="1">
      <c r="A34" s="126"/>
      <c r="B34" s="12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ht="29.1" customHeight="1">
      <c r="A35" s="132"/>
      <c r="B35" s="132"/>
    </row>
  </sheetData>
  <mergeCells count="33">
    <mergeCell ref="AG20:AM21"/>
    <mergeCell ref="D29:J30"/>
    <mergeCell ref="F16:L17"/>
    <mergeCell ref="C2:AW3"/>
    <mergeCell ref="C5:G5"/>
    <mergeCell ref="N5:T5"/>
    <mergeCell ref="AB5:AH5"/>
    <mergeCell ref="C7:I8"/>
    <mergeCell ref="N7:T8"/>
    <mergeCell ref="AB7:AH8"/>
    <mergeCell ref="D10:J11"/>
    <mergeCell ref="P10:V11"/>
    <mergeCell ref="AD10:AJ11"/>
    <mergeCell ref="AU11:AX12"/>
    <mergeCell ref="R13:X14"/>
    <mergeCell ref="E13:K14"/>
    <mergeCell ref="AU14:AX21"/>
    <mergeCell ref="C33:H33"/>
    <mergeCell ref="AF13:AL14"/>
    <mergeCell ref="AG16:AM17"/>
    <mergeCell ref="AF23:AL24"/>
    <mergeCell ref="AE26:AK27"/>
    <mergeCell ref="AD29:AJ30"/>
    <mergeCell ref="AC33:AH33"/>
    <mergeCell ref="G20:M21"/>
    <mergeCell ref="T20:Z21"/>
    <mergeCell ref="S23:Y24"/>
    <mergeCell ref="R26:X27"/>
    <mergeCell ref="Q29:W30"/>
    <mergeCell ref="O33:V33"/>
    <mergeCell ref="S16:Y17"/>
    <mergeCell ref="F23:L24"/>
    <mergeCell ref="E26:K27"/>
  </mergeCells>
  <conditionalFormatting sqref="C7:I8 N7:T8 AB7:AH8 D10:J11 P10:V11 AD10:AJ11 E13:K14 R13:X14 AF13:AL14 AU14:AX21 F16:L17 S16:Y17 AG16:AM17 G20:M21 T20:Z21 AG20:AM21 F23:L24 S23:Y24 AF23:AL24 E26:K27 R26:X27 AE26:AK27 D29:J30 Q29:W30 AD29:AJ30">
    <cfRule type="cellIs" dxfId="0" priority="1" operator="equal">
      <formula>0</formula>
    </cfRule>
  </conditionalFormatting>
  <hyperlinks>
    <hyperlink ref="AX3" location="D4!A1" display="D4" xr:uid="{00000000-0004-0000-0C00-000000000000}"/>
  </hyperlinks>
  <pageMargins left="0.7" right="0.7" top="0.75" bottom="0.75" header="0" footer="0"/>
  <pageSetup orientation="landscape" r:id="rId1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9"/>
  <sheetViews>
    <sheetView showGridLines="0" workbookViewId="0"/>
  </sheetViews>
  <sheetFormatPr defaultColWidth="12.5703125" defaultRowHeight="15.75" customHeight="1"/>
  <cols>
    <col min="1" max="2" width="1.85546875" customWidth="1"/>
    <col min="3" max="3" width="19.7109375" customWidth="1"/>
    <col min="4" max="5" width="56.42578125" customWidth="1"/>
    <col min="6" max="6" width="11.140625" customWidth="1"/>
    <col min="7" max="7" width="1.85546875" customWidth="1"/>
    <col min="8" max="8" width="2.5703125" customWidth="1"/>
  </cols>
  <sheetData>
    <row r="1" spans="1:8" ht="8.25" customHeight="1">
      <c r="A1" s="132"/>
      <c r="B1" s="68"/>
      <c r="C1" s="68"/>
      <c r="D1" s="68"/>
      <c r="E1" s="68"/>
      <c r="F1" s="68"/>
      <c r="G1" s="69"/>
      <c r="H1" s="69"/>
    </row>
    <row r="2" spans="1:8" ht="18" customHeight="1">
      <c r="A2" s="132"/>
      <c r="B2" s="258" t="s">
        <v>284</v>
      </c>
      <c r="C2" s="295"/>
      <c r="D2" s="295"/>
      <c r="E2" s="295"/>
      <c r="F2" s="70"/>
      <c r="G2" s="82"/>
      <c r="H2" s="69"/>
    </row>
    <row r="3" spans="1:8" ht="18" customHeight="1">
      <c r="A3" s="132"/>
      <c r="B3" s="296"/>
      <c r="C3" s="297"/>
      <c r="D3" s="297"/>
      <c r="E3" s="297"/>
      <c r="F3" s="71" t="s">
        <v>5</v>
      </c>
      <c r="G3" s="83"/>
      <c r="H3" s="69"/>
    </row>
    <row r="4" spans="1:8" ht="38.25" customHeight="1">
      <c r="A4" s="85"/>
      <c r="B4" s="256" t="s">
        <v>285</v>
      </c>
      <c r="C4" s="324"/>
      <c r="D4" s="127"/>
      <c r="E4" s="127"/>
      <c r="F4" s="127"/>
      <c r="G4" s="172"/>
      <c r="H4" s="155"/>
    </row>
    <row r="5" spans="1:8" ht="15.75" customHeight="1">
      <c r="A5" s="85"/>
      <c r="B5" s="84"/>
      <c r="C5" s="85"/>
      <c r="D5" s="85"/>
      <c r="E5" s="85"/>
      <c r="F5" s="85"/>
      <c r="G5" s="86"/>
      <c r="H5" s="126"/>
    </row>
    <row r="6" spans="1:8" ht="27.75" customHeight="1">
      <c r="A6" s="126"/>
      <c r="B6" s="156"/>
      <c r="D6" s="87" t="s">
        <v>286</v>
      </c>
      <c r="E6" s="257" t="s">
        <v>287</v>
      </c>
      <c r="F6" s="324"/>
      <c r="G6" s="157"/>
    </row>
    <row r="7" spans="1:8" ht="34.5" customHeight="1">
      <c r="A7" s="126"/>
      <c r="B7" s="156"/>
      <c r="C7" s="173" t="s">
        <v>288</v>
      </c>
      <c r="D7" s="172"/>
      <c r="E7" s="255"/>
      <c r="F7" s="324"/>
      <c r="G7" s="157"/>
    </row>
    <row r="8" spans="1:8" ht="34.5" customHeight="1">
      <c r="A8" s="126"/>
      <c r="B8" s="156"/>
      <c r="C8" s="173" t="s">
        <v>289</v>
      </c>
      <c r="D8" s="172"/>
      <c r="E8" s="255"/>
      <c r="F8" s="324"/>
      <c r="G8" s="157"/>
    </row>
    <row r="9" spans="1:8" ht="34.5" customHeight="1">
      <c r="A9" s="126"/>
      <c r="B9" s="156"/>
      <c r="C9" s="173" t="s">
        <v>290</v>
      </c>
      <c r="D9" s="172"/>
      <c r="E9" s="255"/>
      <c r="F9" s="324"/>
      <c r="G9" s="157"/>
    </row>
    <row r="10" spans="1:8" ht="34.5" customHeight="1">
      <c r="A10" s="126"/>
      <c r="B10" s="156"/>
      <c r="C10" s="173" t="s">
        <v>291</v>
      </c>
      <c r="D10" s="172"/>
      <c r="E10" s="255"/>
      <c r="F10" s="324"/>
      <c r="G10" s="157"/>
    </row>
    <row r="11" spans="1:8" ht="34.5" customHeight="1">
      <c r="A11" s="126"/>
      <c r="B11" s="156"/>
      <c r="C11" s="173" t="s">
        <v>292</v>
      </c>
      <c r="D11" s="172"/>
      <c r="E11" s="255"/>
      <c r="F11" s="324"/>
      <c r="G11" s="157"/>
    </row>
    <row r="12" spans="1:8" ht="27.75" customHeight="1">
      <c r="A12" s="126"/>
      <c r="B12" s="156"/>
      <c r="C12" s="256" t="s">
        <v>293</v>
      </c>
      <c r="D12" s="325"/>
      <c r="E12" s="325"/>
      <c r="F12" s="324"/>
      <c r="G12" s="157"/>
    </row>
    <row r="13" spans="1:8" ht="27.75" customHeight="1">
      <c r="A13" s="126"/>
      <c r="B13" s="156"/>
      <c r="C13" s="326"/>
      <c r="D13" s="295"/>
      <c r="E13" s="295"/>
      <c r="F13" s="327"/>
      <c r="G13" s="157"/>
    </row>
    <row r="14" spans="1:8" ht="27.75" customHeight="1">
      <c r="A14" s="126"/>
      <c r="B14" s="156"/>
      <c r="C14" s="328"/>
      <c r="D14" s="268"/>
      <c r="E14" s="268"/>
      <c r="F14" s="329"/>
      <c r="G14" s="157"/>
    </row>
    <row r="15" spans="1:8" ht="27.75" customHeight="1">
      <c r="A15" s="126"/>
      <c r="B15" s="156"/>
      <c r="C15" s="296"/>
      <c r="D15" s="297"/>
      <c r="E15" s="297"/>
      <c r="F15" s="330"/>
      <c r="G15" s="157"/>
    </row>
    <row r="16" spans="1:8" ht="27.75" customHeight="1">
      <c r="A16" s="126"/>
      <c r="B16" s="156"/>
      <c r="C16" s="74"/>
      <c r="D16" s="74"/>
      <c r="E16" s="74"/>
      <c r="F16" s="74"/>
      <c r="G16" s="157"/>
    </row>
    <row r="17" spans="1:7" ht="27.75" customHeight="1">
      <c r="A17" s="126"/>
      <c r="B17" s="156"/>
      <c r="C17" s="74"/>
      <c r="D17" s="74"/>
      <c r="E17" s="74"/>
      <c r="F17" s="74"/>
      <c r="G17" s="157"/>
    </row>
    <row r="18" spans="1:7" ht="27.75" customHeight="1">
      <c r="A18" s="126"/>
      <c r="B18" s="156"/>
      <c r="D18" s="87" t="s">
        <v>286</v>
      </c>
      <c r="E18" s="257" t="s">
        <v>287</v>
      </c>
      <c r="F18" s="324"/>
      <c r="G18" s="157"/>
    </row>
    <row r="19" spans="1:7" ht="34.5" customHeight="1">
      <c r="A19" s="126"/>
      <c r="B19" s="156"/>
      <c r="C19" s="173" t="s">
        <v>288</v>
      </c>
      <c r="D19" s="172"/>
      <c r="E19" s="255"/>
      <c r="F19" s="324"/>
      <c r="G19" s="157"/>
    </row>
    <row r="20" spans="1:7" ht="34.5" customHeight="1">
      <c r="A20" s="126"/>
      <c r="B20" s="156"/>
      <c r="C20" s="173" t="s">
        <v>289</v>
      </c>
      <c r="D20" s="172"/>
      <c r="E20" s="255"/>
      <c r="F20" s="324"/>
      <c r="G20" s="157"/>
    </row>
    <row r="21" spans="1:7" ht="34.5" customHeight="1">
      <c r="A21" s="126"/>
      <c r="B21" s="156"/>
      <c r="C21" s="173" t="s">
        <v>290</v>
      </c>
      <c r="D21" s="172"/>
      <c r="E21" s="255"/>
      <c r="F21" s="324"/>
      <c r="G21" s="157"/>
    </row>
    <row r="22" spans="1:7" ht="34.5" customHeight="1">
      <c r="A22" s="126"/>
      <c r="B22" s="156"/>
      <c r="C22" s="173" t="s">
        <v>291</v>
      </c>
      <c r="D22" s="172"/>
      <c r="E22" s="255"/>
      <c r="F22" s="324"/>
      <c r="G22" s="157"/>
    </row>
    <row r="23" spans="1:7" ht="34.5" customHeight="1">
      <c r="A23" s="126"/>
      <c r="B23" s="156"/>
      <c r="C23" s="173" t="s">
        <v>292</v>
      </c>
      <c r="D23" s="172"/>
      <c r="E23" s="255"/>
      <c r="F23" s="324"/>
      <c r="G23" s="157"/>
    </row>
    <row r="24" spans="1:7" ht="27.75" customHeight="1">
      <c r="A24" s="126"/>
      <c r="B24" s="156"/>
      <c r="C24" s="256" t="s">
        <v>293</v>
      </c>
      <c r="D24" s="325"/>
      <c r="E24" s="325"/>
      <c r="F24" s="324"/>
      <c r="G24" s="157"/>
    </row>
    <row r="25" spans="1:7" ht="27.75" customHeight="1">
      <c r="A25" s="126"/>
      <c r="B25" s="156"/>
      <c r="C25" s="326"/>
      <c r="D25" s="295"/>
      <c r="E25" s="295"/>
      <c r="F25" s="327"/>
      <c r="G25" s="157"/>
    </row>
    <row r="26" spans="1:7" ht="27.75" customHeight="1">
      <c r="A26" s="126"/>
      <c r="B26" s="156"/>
      <c r="C26" s="328"/>
      <c r="D26" s="268"/>
      <c r="E26" s="268"/>
      <c r="F26" s="329"/>
      <c r="G26" s="157"/>
    </row>
    <row r="27" spans="1:7" ht="27.75" customHeight="1">
      <c r="A27" s="126"/>
      <c r="B27" s="156"/>
      <c r="C27" s="296"/>
      <c r="D27" s="297"/>
      <c r="E27" s="297"/>
      <c r="F27" s="330"/>
      <c r="G27" s="157"/>
    </row>
    <row r="28" spans="1:7" ht="11.25" customHeight="1">
      <c r="A28" s="126"/>
      <c r="B28" s="89"/>
      <c r="C28" s="90"/>
      <c r="D28" s="90"/>
      <c r="E28" s="90"/>
      <c r="F28" s="90"/>
      <c r="G28" s="91"/>
    </row>
    <row r="29" spans="1:7" ht="14.1">
      <c r="A29" s="73"/>
      <c r="C29" s="74"/>
      <c r="D29" s="74"/>
      <c r="E29" s="74"/>
      <c r="F29" s="74"/>
    </row>
  </sheetData>
  <mergeCells count="18">
    <mergeCell ref="B2:E3"/>
    <mergeCell ref="B4:C4"/>
    <mergeCell ref="E6:F6"/>
    <mergeCell ref="E7:F7"/>
    <mergeCell ref="E8:F8"/>
    <mergeCell ref="E9:F9"/>
    <mergeCell ref="E10:F10"/>
    <mergeCell ref="E22:F22"/>
    <mergeCell ref="E23:F23"/>
    <mergeCell ref="C24:F24"/>
    <mergeCell ref="C25:F27"/>
    <mergeCell ref="E11:F11"/>
    <mergeCell ref="C12:F12"/>
    <mergeCell ref="C13:F15"/>
    <mergeCell ref="E18:F18"/>
    <mergeCell ref="E19:F19"/>
    <mergeCell ref="E20:F20"/>
    <mergeCell ref="E21:F21"/>
  </mergeCells>
  <hyperlinks>
    <hyperlink ref="F3" location="D4!A1" display="D4" xr:uid="{00000000-0004-0000-0D00-000000000000}"/>
  </hyperlinks>
  <pageMargins left="0.7" right="0.7" top="0.75" bottom="0.75" header="0" footer="0"/>
  <pageSetup paperSize="9" scale="55" orientation="portrait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drawing r:id="rId1"/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24"/>
  <sheetViews>
    <sheetView showGridLines="0" topLeftCell="A10" zoomScale="85" zoomScaleNormal="85" workbookViewId="0">
      <selection activeCell="C10" sqref="C10"/>
    </sheetView>
  </sheetViews>
  <sheetFormatPr defaultColWidth="12.5703125" defaultRowHeight="15.75" customHeight="1"/>
  <cols>
    <col min="1" max="1" width="2.140625" customWidth="1"/>
    <col min="2" max="2" width="27.140625" customWidth="1"/>
    <col min="3" max="3" width="16.85546875" customWidth="1"/>
    <col min="4" max="5" width="18.85546875" customWidth="1"/>
    <col min="12" max="12" width="2.42578125" customWidth="1"/>
  </cols>
  <sheetData>
    <row r="1" spans="1:12" ht="8.25" customHeight="1">
      <c r="A1" s="92"/>
      <c r="B1" s="132"/>
      <c r="C1" s="68"/>
      <c r="D1" s="68"/>
      <c r="E1" s="68"/>
      <c r="F1" s="68"/>
      <c r="G1" s="68"/>
      <c r="H1" s="68"/>
      <c r="I1" s="68"/>
      <c r="J1" s="68"/>
      <c r="K1" s="69"/>
      <c r="L1" s="132"/>
    </row>
    <row r="2" spans="1:12" ht="18" customHeight="1">
      <c r="A2" s="92"/>
      <c r="B2" s="258" t="s">
        <v>294</v>
      </c>
      <c r="C2" s="295"/>
      <c r="D2" s="295"/>
      <c r="E2" s="295"/>
      <c r="F2" s="295"/>
      <c r="G2" s="295"/>
      <c r="H2" s="295"/>
      <c r="I2" s="295"/>
      <c r="J2" s="295"/>
      <c r="K2" s="174"/>
      <c r="L2" s="132"/>
    </row>
    <row r="3" spans="1:12" ht="18" customHeight="1">
      <c r="A3" s="92"/>
      <c r="B3" s="296"/>
      <c r="C3" s="297"/>
      <c r="D3" s="297"/>
      <c r="E3" s="297"/>
      <c r="F3" s="297"/>
      <c r="G3" s="297"/>
      <c r="H3" s="297"/>
      <c r="I3" s="297"/>
      <c r="J3" s="297"/>
      <c r="K3" s="175" t="s">
        <v>5</v>
      </c>
      <c r="L3" s="132"/>
    </row>
    <row r="4" spans="1:12" ht="12.95">
      <c r="A4" s="93"/>
      <c r="B4" s="259" t="s">
        <v>295</v>
      </c>
      <c r="C4" s="259"/>
      <c r="D4" s="259"/>
      <c r="E4" s="259"/>
      <c r="F4" s="94"/>
      <c r="G4" s="94"/>
      <c r="H4" s="94"/>
      <c r="I4" s="94"/>
      <c r="J4" s="94"/>
      <c r="K4" s="94"/>
      <c r="L4" s="94"/>
    </row>
    <row r="5" spans="1:12" ht="24" customHeight="1">
      <c r="A5" s="93"/>
      <c r="B5" s="173" t="s">
        <v>296</v>
      </c>
      <c r="C5" s="173" t="s">
        <v>297</v>
      </c>
      <c r="D5" s="173" t="s">
        <v>298</v>
      </c>
      <c r="E5" s="173" t="s">
        <v>299</v>
      </c>
    </row>
    <row r="6" spans="1:12" ht="25.5" customHeight="1">
      <c r="A6" s="176"/>
      <c r="B6" s="177" t="s">
        <v>300</v>
      </c>
      <c r="C6" s="177">
        <v>12188</v>
      </c>
      <c r="D6" s="178">
        <f t="shared" ref="D6:D12" si="0">C6/SUM($C$6:$C$12)</f>
        <v>0.35431262536701646</v>
      </c>
      <c r="E6" s="95">
        <f t="shared" ref="E6:E12" si="1">SUM(($D$5:D6))</f>
        <v>0.35431262536701646</v>
      </c>
      <c r="F6" s="169"/>
      <c r="G6" s="169"/>
      <c r="H6" s="169"/>
      <c r="I6" s="169"/>
      <c r="J6" s="169"/>
      <c r="K6" s="169"/>
      <c r="L6" s="169"/>
    </row>
    <row r="7" spans="1:12" ht="25.5" customHeight="1">
      <c r="A7" s="176"/>
      <c r="B7" s="177" t="s">
        <v>301</v>
      </c>
      <c r="C7" s="177">
        <v>10091</v>
      </c>
      <c r="D7" s="178">
        <f t="shared" si="0"/>
        <v>0.29335155091717785</v>
      </c>
      <c r="E7" s="95">
        <f t="shared" si="1"/>
        <v>0.64766417628419437</v>
      </c>
      <c r="F7" s="169"/>
      <c r="G7" s="169"/>
      <c r="H7" s="169"/>
      <c r="I7" s="169"/>
      <c r="J7" s="169"/>
      <c r="K7" s="169"/>
      <c r="L7" s="169"/>
    </row>
    <row r="8" spans="1:12" ht="25.5" customHeight="1">
      <c r="A8" s="176"/>
      <c r="B8" s="177" t="s">
        <v>302</v>
      </c>
      <c r="C8" s="177">
        <v>10088</v>
      </c>
      <c r="D8" s="178">
        <f t="shared" si="0"/>
        <v>0.2932643390796244</v>
      </c>
      <c r="E8" s="95">
        <f t="shared" si="1"/>
        <v>0.94092851536381872</v>
      </c>
      <c r="F8" s="169"/>
      <c r="G8" s="169"/>
      <c r="H8" s="169"/>
      <c r="I8" s="169"/>
      <c r="J8" s="169"/>
      <c r="K8" s="169"/>
      <c r="L8" s="169"/>
    </row>
    <row r="9" spans="1:12" ht="25.5" customHeight="1">
      <c r="A9" s="176"/>
      <c r="B9" s="177" t="s">
        <v>303</v>
      </c>
      <c r="C9" s="177">
        <v>1095</v>
      </c>
      <c r="D9" s="178">
        <f t="shared" si="0"/>
        <v>3.1832320706997298E-2</v>
      </c>
      <c r="E9" s="95">
        <f t="shared" si="1"/>
        <v>0.97276083607081598</v>
      </c>
      <c r="F9" s="169"/>
      <c r="G9" s="169"/>
      <c r="H9" s="169"/>
      <c r="I9" s="169"/>
      <c r="J9" s="169"/>
      <c r="K9" s="169"/>
      <c r="L9" s="169"/>
    </row>
    <row r="10" spans="1:12" ht="25.5" customHeight="1">
      <c r="A10" s="176"/>
      <c r="B10" s="177" t="s">
        <v>304</v>
      </c>
      <c r="C10" s="177">
        <v>731</v>
      </c>
      <c r="D10" s="178">
        <f t="shared" si="0"/>
        <v>2.1250617750516003E-2</v>
      </c>
      <c r="E10" s="95">
        <f t="shared" si="1"/>
        <v>0.99401145382133194</v>
      </c>
      <c r="F10" s="169"/>
      <c r="G10" s="169"/>
      <c r="H10" s="169"/>
      <c r="I10" s="169"/>
      <c r="J10" s="169"/>
      <c r="K10" s="169"/>
      <c r="L10" s="169"/>
    </row>
    <row r="11" spans="1:12" ht="25.5" customHeight="1">
      <c r="A11" s="176"/>
      <c r="B11" s="177" t="s">
        <v>305</v>
      </c>
      <c r="C11" s="177">
        <v>206</v>
      </c>
      <c r="D11" s="178">
        <f t="shared" si="0"/>
        <v>5.9885461786679849E-3</v>
      </c>
      <c r="E11" s="95">
        <f t="shared" si="1"/>
        <v>0.99999999999999989</v>
      </c>
      <c r="F11" s="169"/>
      <c r="G11" s="169"/>
      <c r="H11" s="169"/>
      <c r="I11" s="169"/>
      <c r="J11" s="169"/>
      <c r="K11" s="169"/>
      <c r="L11" s="169"/>
    </row>
    <row r="12" spans="1:12" ht="25.5" customHeight="1">
      <c r="A12" s="176"/>
      <c r="B12" s="177"/>
      <c r="C12" s="177"/>
      <c r="D12" s="178">
        <f t="shared" si="0"/>
        <v>0</v>
      </c>
      <c r="E12" s="95">
        <f t="shared" si="1"/>
        <v>0.99999999999999989</v>
      </c>
      <c r="F12" s="169"/>
      <c r="G12" s="169"/>
      <c r="H12" s="169"/>
      <c r="I12" s="169"/>
      <c r="J12" s="169"/>
      <c r="K12" s="169"/>
      <c r="L12" s="169"/>
    </row>
    <row r="13" spans="1:12" ht="13.5">
      <c r="A13" s="94"/>
      <c r="C13" s="96">
        <f>SUM(C6:C12)</f>
        <v>34399</v>
      </c>
    </row>
    <row r="14" spans="1:12" ht="12.6">
      <c r="A14" s="94"/>
    </row>
    <row r="15" spans="1:12" ht="12.95">
      <c r="A15" s="94"/>
      <c r="B15" s="259" t="s">
        <v>306</v>
      </c>
      <c r="C15" s="259"/>
      <c r="D15" s="259"/>
      <c r="E15" s="259"/>
    </row>
    <row r="16" spans="1:12" ht="24" customHeight="1">
      <c r="A16" s="93"/>
      <c r="B16" s="173" t="s">
        <v>296</v>
      </c>
      <c r="C16" s="173" t="s">
        <v>297</v>
      </c>
      <c r="D16" s="173" t="s">
        <v>298</v>
      </c>
      <c r="E16" s="173" t="s">
        <v>299</v>
      </c>
    </row>
    <row r="17" spans="1:12" ht="25.5" customHeight="1">
      <c r="A17" s="176"/>
      <c r="B17" s="177" t="s">
        <v>307</v>
      </c>
      <c r="C17" s="177">
        <v>12188</v>
      </c>
      <c r="D17" s="178">
        <f t="shared" ref="D17:D22" si="2">C17/SUM($C$6:$C$12)</f>
        <v>0.35431262536701646</v>
      </c>
      <c r="E17" s="95">
        <f t="shared" ref="E17:E21" si="3">SUM(($D$5:D17))</f>
        <v>1.3543126253670164</v>
      </c>
      <c r="F17" s="169"/>
      <c r="G17" s="169"/>
      <c r="H17" s="169"/>
      <c r="I17" s="169"/>
      <c r="J17" s="169"/>
      <c r="K17" s="169"/>
      <c r="L17" s="169"/>
    </row>
    <row r="18" spans="1:12" ht="25.5" customHeight="1">
      <c r="A18" s="176"/>
      <c r="B18" s="177" t="s">
        <v>308</v>
      </c>
      <c r="C18" s="177">
        <v>10091</v>
      </c>
      <c r="D18" s="178">
        <f t="shared" si="2"/>
        <v>0.29335155091717785</v>
      </c>
      <c r="E18" s="95">
        <f t="shared" si="3"/>
        <v>1.6476641762841941</v>
      </c>
      <c r="F18" s="169"/>
      <c r="G18" s="169"/>
      <c r="H18" s="169"/>
      <c r="I18" s="169"/>
      <c r="J18" s="169"/>
      <c r="K18" s="169"/>
      <c r="L18" s="169"/>
    </row>
    <row r="19" spans="1:12" ht="25.5" customHeight="1">
      <c r="A19" s="176"/>
      <c r="B19" s="177" t="s">
        <v>309</v>
      </c>
      <c r="C19" s="177">
        <v>10088</v>
      </c>
      <c r="D19" s="178">
        <f t="shared" si="2"/>
        <v>0.2932643390796244</v>
      </c>
      <c r="E19" s="95">
        <f t="shared" si="3"/>
        <v>1.9409285153638185</v>
      </c>
      <c r="F19" s="169"/>
      <c r="G19" s="169"/>
      <c r="H19" s="169"/>
      <c r="I19" s="169"/>
      <c r="J19" s="169"/>
      <c r="K19" s="169"/>
      <c r="L19" s="169"/>
    </row>
    <row r="20" spans="1:12" ht="25.5" customHeight="1">
      <c r="A20" s="176"/>
      <c r="B20" s="177" t="s">
        <v>310</v>
      </c>
      <c r="C20" s="177">
        <v>1095</v>
      </c>
      <c r="D20" s="178">
        <f t="shared" si="2"/>
        <v>3.1832320706997298E-2</v>
      </c>
      <c r="E20" s="95">
        <f t="shared" si="3"/>
        <v>1.9727608360708158</v>
      </c>
      <c r="F20" s="169"/>
      <c r="G20" s="169"/>
      <c r="H20" s="169"/>
      <c r="I20" s="169"/>
      <c r="J20" s="169"/>
      <c r="K20" s="169"/>
      <c r="L20" s="169"/>
    </row>
    <row r="21" spans="1:12" ht="25.5" customHeight="1">
      <c r="A21" s="176"/>
      <c r="B21" s="177" t="s">
        <v>311</v>
      </c>
      <c r="C21" s="177">
        <v>731</v>
      </c>
      <c r="D21" s="178">
        <f t="shared" si="2"/>
        <v>2.1250617750516003E-2</v>
      </c>
      <c r="E21" s="95">
        <f t="shared" si="3"/>
        <v>1.9940114538213318</v>
      </c>
      <c r="F21" s="169"/>
      <c r="G21" s="169"/>
      <c r="H21" s="169"/>
      <c r="I21" s="169"/>
      <c r="J21" s="169"/>
      <c r="K21" s="169"/>
      <c r="L21" s="169"/>
    </row>
    <row r="22" spans="1:12" ht="25.5" customHeight="1">
      <c r="A22" s="176"/>
      <c r="B22" s="115" t="s">
        <v>312</v>
      </c>
      <c r="C22" s="115">
        <v>206</v>
      </c>
      <c r="D22" s="178">
        <f t="shared" si="2"/>
        <v>5.9885461786679849E-3</v>
      </c>
      <c r="E22" s="95"/>
      <c r="F22" s="169"/>
      <c r="G22" s="169"/>
      <c r="H22" s="169"/>
      <c r="I22" s="169"/>
      <c r="J22" s="169"/>
      <c r="K22" s="169"/>
      <c r="L22" s="169"/>
    </row>
    <row r="23" spans="1:12" ht="25.5" customHeight="1">
      <c r="A23" s="176"/>
      <c r="B23" s="177"/>
      <c r="C23" s="177"/>
      <c r="D23" s="178"/>
      <c r="E23" s="95"/>
      <c r="F23" s="169"/>
      <c r="G23" s="169"/>
      <c r="H23" s="169"/>
      <c r="I23" s="169"/>
      <c r="J23" s="169"/>
      <c r="K23" s="169"/>
      <c r="L23" s="169"/>
    </row>
    <row r="24" spans="1:12" ht="13.5">
      <c r="A24" s="94"/>
      <c r="C24" s="96">
        <f>SUM(C17:C23)</f>
        <v>34399</v>
      </c>
    </row>
  </sheetData>
  <mergeCells count="3">
    <mergeCell ref="B2:J3"/>
    <mergeCell ref="B4:E4"/>
    <mergeCell ref="B15:E15"/>
  </mergeCells>
  <hyperlinks>
    <hyperlink ref="K3" location="D4!A1" display="D4" xr:uid="{00000000-0004-0000-0E00-000000000000}"/>
  </hyperlinks>
  <pageMargins left="0.511811024" right="0.511811024" top="0.78740157499999996" bottom="0.78740157499999996" header="0.31496062000000002" footer="0.31496062000000002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drawing r:id="rId1"/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7"/>
  <sheetViews>
    <sheetView showGridLines="0" topLeftCell="A27" zoomScale="85" zoomScaleNormal="85" workbookViewId="0">
      <selection activeCell="C19" sqref="C19:C35"/>
    </sheetView>
  </sheetViews>
  <sheetFormatPr defaultColWidth="12.5703125" defaultRowHeight="15.75" customHeight="1"/>
  <cols>
    <col min="1" max="1" width="1.85546875" customWidth="1"/>
    <col min="2" max="2" width="1.7109375" customWidth="1"/>
    <col min="3" max="3" width="17" style="125" customWidth="1"/>
    <col min="4" max="4" width="49.28515625" customWidth="1"/>
    <col min="5" max="6" width="8.140625" customWidth="1"/>
    <col min="7" max="7" width="17.28515625" customWidth="1"/>
    <col min="8" max="8" width="9.42578125" customWidth="1"/>
    <col min="9" max="9" width="14.85546875" customWidth="1"/>
    <col min="10" max="10" width="1.7109375" customWidth="1"/>
    <col min="11" max="11" width="1.42578125" customWidth="1"/>
  </cols>
  <sheetData>
    <row r="1" spans="1:11" ht="8.25" customHeight="1">
      <c r="A1" s="132"/>
      <c r="B1" s="68"/>
      <c r="C1" s="121"/>
      <c r="D1" s="68"/>
      <c r="E1" s="68"/>
      <c r="F1" s="68"/>
      <c r="G1" s="68"/>
      <c r="H1" s="68"/>
      <c r="I1" s="68"/>
      <c r="J1" s="69"/>
      <c r="K1" s="68"/>
    </row>
    <row r="2" spans="1:11" ht="18" customHeight="1">
      <c r="A2" s="132"/>
      <c r="B2" s="258" t="s">
        <v>313</v>
      </c>
      <c r="C2" s="295"/>
      <c r="D2" s="295"/>
      <c r="E2" s="295"/>
      <c r="F2" s="295"/>
      <c r="G2" s="295"/>
      <c r="H2" s="295"/>
      <c r="I2" s="70"/>
      <c r="J2" s="82"/>
      <c r="K2" s="69"/>
    </row>
    <row r="3" spans="1:11" ht="18" customHeight="1">
      <c r="A3" s="132"/>
      <c r="B3" s="296"/>
      <c r="C3" s="297"/>
      <c r="D3" s="297"/>
      <c r="E3" s="297"/>
      <c r="F3" s="297"/>
      <c r="G3" s="297"/>
      <c r="H3" s="297"/>
      <c r="I3" s="71" t="s">
        <v>5</v>
      </c>
      <c r="J3" s="83"/>
      <c r="K3" s="69"/>
    </row>
    <row r="4" spans="1:11" ht="27.75" customHeight="1">
      <c r="A4" s="85"/>
      <c r="B4" s="256" t="s">
        <v>314</v>
      </c>
      <c r="C4" s="324"/>
      <c r="D4" s="261"/>
      <c r="E4" s="325"/>
      <c r="F4" s="325"/>
      <c r="H4" s="173" t="s">
        <v>315</v>
      </c>
      <c r="I4" s="255"/>
      <c r="J4" s="324"/>
      <c r="K4" s="73"/>
    </row>
    <row r="5" spans="1:11" ht="8.25" customHeight="1">
      <c r="A5" s="126"/>
      <c r="B5" s="88"/>
      <c r="C5" s="122"/>
      <c r="D5" s="97"/>
      <c r="E5" s="97"/>
      <c r="F5" s="97"/>
      <c r="G5" s="97"/>
      <c r="H5" s="97"/>
      <c r="I5" s="97"/>
      <c r="J5" s="98"/>
    </row>
    <row r="6" spans="1:11" ht="27.75" customHeight="1">
      <c r="A6" s="126"/>
      <c r="B6" s="179"/>
      <c r="C6" s="123" t="s">
        <v>172</v>
      </c>
      <c r="D6" s="180" t="s">
        <v>316</v>
      </c>
      <c r="E6" s="173" t="s">
        <v>158</v>
      </c>
      <c r="F6" s="173" t="s">
        <v>159</v>
      </c>
      <c r="G6" s="256" t="s">
        <v>317</v>
      </c>
      <c r="H6" s="325"/>
      <c r="I6" s="324"/>
      <c r="J6" s="99"/>
    </row>
    <row r="7" spans="1:11" ht="33.75" customHeight="1">
      <c r="A7" s="126"/>
      <c r="B7" s="100"/>
      <c r="C7" s="181">
        <v>45201</v>
      </c>
      <c r="D7" s="120"/>
      <c r="E7" s="119" t="b">
        <v>0</v>
      </c>
      <c r="F7" s="101" t="b">
        <v>0</v>
      </c>
      <c r="G7" s="260"/>
      <c r="H7" s="325"/>
      <c r="I7" s="324"/>
      <c r="J7" s="99"/>
    </row>
    <row r="8" spans="1:11" ht="33.75" customHeight="1">
      <c r="A8" s="126"/>
      <c r="B8" s="100"/>
      <c r="C8" s="181">
        <v>45202</v>
      </c>
      <c r="D8" s="120"/>
      <c r="E8" s="101" t="b">
        <v>0</v>
      </c>
      <c r="F8" s="101" t="b">
        <v>0</v>
      </c>
      <c r="G8" s="260"/>
      <c r="H8" s="325"/>
      <c r="I8" s="324"/>
      <c r="J8" s="99"/>
    </row>
    <row r="9" spans="1:11" ht="33.75" customHeight="1">
      <c r="A9" s="126"/>
      <c r="B9" s="100"/>
      <c r="C9" s="181">
        <v>45203</v>
      </c>
      <c r="D9" s="120"/>
      <c r="E9" s="101" t="b">
        <v>0</v>
      </c>
      <c r="F9" s="101" t="b">
        <v>0</v>
      </c>
      <c r="G9" s="260"/>
      <c r="H9" s="325"/>
      <c r="I9" s="324"/>
      <c r="J9" s="99"/>
    </row>
    <row r="10" spans="1:11" ht="33.75" customHeight="1">
      <c r="A10" s="126"/>
      <c r="B10" s="100"/>
      <c r="C10" s="181">
        <v>45204</v>
      </c>
      <c r="D10" s="120"/>
      <c r="E10" s="101" t="b">
        <v>0</v>
      </c>
      <c r="F10" s="101" t="b">
        <v>0</v>
      </c>
      <c r="G10" s="260"/>
      <c r="H10" s="325"/>
      <c r="I10" s="324"/>
      <c r="J10" s="99"/>
    </row>
    <row r="11" spans="1:11" ht="33.75" customHeight="1">
      <c r="A11" s="126"/>
      <c r="B11" s="100"/>
      <c r="C11" s="181">
        <v>45205</v>
      </c>
      <c r="D11" s="120"/>
      <c r="E11" s="101" t="b">
        <v>0</v>
      </c>
      <c r="F11" s="101" t="b">
        <v>0</v>
      </c>
      <c r="G11" s="260"/>
      <c r="H11" s="325"/>
      <c r="I11" s="324"/>
      <c r="J11" s="99"/>
    </row>
    <row r="12" spans="1:11" ht="33.75" customHeight="1">
      <c r="A12" s="126"/>
      <c r="B12" s="100"/>
      <c r="C12" s="181">
        <v>45206</v>
      </c>
      <c r="D12" s="120"/>
      <c r="E12" s="101" t="b">
        <v>0</v>
      </c>
      <c r="F12" s="101" t="b">
        <v>0</v>
      </c>
      <c r="G12" s="260"/>
      <c r="H12" s="325"/>
      <c r="I12" s="324"/>
      <c r="J12" s="99"/>
    </row>
    <row r="13" spans="1:11" ht="33.75" customHeight="1">
      <c r="A13" s="126"/>
      <c r="B13" s="100"/>
      <c r="C13" s="181">
        <v>45207</v>
      </c>
      <c r="D13" s="120"/>
      <c r="E13" s="101" t="b">
        <v>0</v>
      </c>
      <c r="F13" s="101" t="b">
        <v>0</v>
      </c>
      <c r="G13" s="260"/>
      <c r="H13" s="325"/>
      <c r="I13" s="324"/>
      <c r="J13" s="99"/>
    </row>
    <row r="14" spans="1:11" ht="33.75" customHeight="1">
      <c r="A14" s="126"/>
      <c r="B14" s="100"/>
      <c r="C14" s="181">
        <v>45208</v>
      </c>
      <c r="D14" s="120"/>
      <c r="E14" s="101" t="b">
        <v>0</v>
      </c>
      <c r="F14" s="101" t="b">
        <v>0</v>
      </c>
      <c r="G14" s="260"/>
      <c r="H14" s="325"/>
      <c r="I14" s="324"/>
      <c r="J14" s="99"/>
    </row>
    <row r="15" spans="1:11" ht="33.75" customHeight="1">
      <c r="A15" s="126"/>
      <c r="B15" s="100"/>
      <c r="C15" s="181">
        <v>45209</v>
      </c>
      <c r="D15" s="120"/>
      <c r="E15" s="101" t="b">
        <v>0</v>
      </c>
      <c r="F15" s="101" t="b">
        <v>0</v>
      </c>
      <c r="G15" s="260"/>
      <c r="H15" s="325"/>
      <c r="I15" s="324"/>
      <c r="J15" s="99"/>
    </row>
    <row r="16" spans="1:11" ht="33.75" customHeight="1">
      <c r="A16" s="126"/>
      <c r="B16" s="100"/>
      <c r="C16" s="181">
        <v>45210</v>
      </c>
      <c r="D16" s="120"/>
      <c r="E16" s="101" t="b">
        <v>0</v>
      </c>
      <c r="F16" s="101" t="b">
        <v>0</v>
      </c>
      <c r="G16" s="260"/>
      <c r="H16" s="325"/>
      <c r="I16" s="324"/>
      <c r="J16" s="99"/>
    </row>
    <row r="17" spans="1:10" ht="33.75" customHeight="1">
      <c r="A17" s="126"/>
      <c r="B17" s="100"/>
      <c r="C17" s="181">
        <v>45211</v>
      </c>
      <c r="D17" s="120"/>
      <c r="E17" s="101" t="b">
        <v>0</v>
      </c>
      <c r="F17" s="101" t="b">
        <v>0</v>
      </c>
      <c r="G17" s="260"/>
      <c r="H17" s="325"/>
      <c r="I17" s="324"/>
      <c r="J17" s="99"/>
    </row>
    <row r="18" spans="1:10" ht="33.75" customHeight="1">
      <c r="A18" s="126"/>
      <c r="B18" s="100"/>
      <c r="C18" s="181">
        <v>45212</v>
      </c>
      <c r="D18" s="120"/>
      <c r="E18" s="101" t="b">
        <v>0</v>
      </c>
      <c r="F18" s="101" t="b">
        <v>0</v>
      </c>
      <c r="G18" s="260"/>
      <c r="H18" s="325"/>
      <c r="I18" s="324"/>
      <c r="J18" s="99"/>
    </row>
    <row r="19" spans="1:10" ht="33.75" customHeight="1">
      <c r="A19" s="126"/>
      <c r="B19" s="100"/>
      <c r="C19" s="181">
        <v>45213</v>
      </c>
      <c r="D19" s="120"/>
      <c r="E19" s="101" t="b">
        <v>0</v>
      </c>
      <c r="F19" s="101" t="b">
        <v>0</v>
      </c>
      <c r="G19" s="260"/>
      <c r="H19" s="325"/>
      <c r="I19" s="324"/>
      <c r="J19" s="99"/>
    </row>
    <row r="20" spans="1:10" ht="33.75" customHeight="1">
      <c r="A20" s="126"/>
      <c r="B20" s="100"/>
      <c r="C20" s="181">
        <v>45214</v>
      </c>
      <c r="D20" s="120"/>
      <c r="E20" s="101"/>
      <c r="F20" s="101"/>
      <c r="G20" s="182"/>
      <c r="H20" s="118"/>
      <c r="I20" s="117"/>
      <c r="J20" s="99"/>
    </row>
    <row r="21" spans="1:10" ht="33.75" customHeight="1">
      <c r="A21" s="126"/>
      <c r="B21" s="100"/>
      <c r="C21" s="181">
        <v>45215</v>
      </c>
      <c r="D21" s="120"/>
      <c r="E21" s="101"/>
      <c r="F21" s="101"/>
      <c r="G21" s="182"/>
      <c r="H21" s="118"/>
      <c r="I21" s="117"/>
      <c r="J21" s="99"/>
    </row>
    <row r="22" spans="1:10" ht="33.75" customHeight="1">
      <c r="A22" s="126"/>
      <c r="B22" s="100"/>
      <c r="C22" s="181">
        <v>45216</v>
      </c>
      <c r="D22" s="120"/>
      <c r="E22" s="101"/>
      <c r="F22" s="101"/>
      <c r="G22" s="182"/>
      <c r="H22" s="118"/>
      <c r="I22" s="117"/>
      <c r="J22" s="99"/>
    </row>
    <row r="23" spans="1:10" ht="33.75" customHeight="1">
      <c r="A23" s="126"/>
      <c r="B23" s="100"/>
      <c r="C23" s="181">
        <v>45217</v>
      </c>
      <c r="D23" s="120"/>
      <c r="E23" s="101"/>
      <c r="F23" s="101"/>
      <c r="G23" s="182"/>
      <c r="H23" s="118"/>
      <c r="I23" s="117"/>
      <c r="J23" s="99"/>
    </row>
    <row r="24" spans="1:10" ht="33.75" customHeight="1">
      <c r="A24" s="126"/>
      <c r="B24" s="100"/>
      <c r="C24" s="181">
        <v>45218</v>
      </c>
      <c r="D24" s="120"/>
      <c r="E24" s="101"/>
      <c r="F24" s="101"/>
      <c r="G24" s="182"/>
      <c r="H24" s="118"/>
      <c r="I24" s="117"/>
      <c r="J24" s="99"/>
    </row>
    <row r="25" spans="1:10" ht="33.75" customHeight="1">
      <c r="A25" s="126"/>
      <c r="B25" s="100"/>
      <c r="C25" s="181">
        <v>45219</v>
      </c>
      <c r="D25" s="120"/>
      <c r="E25" s="101"/>
      <c r="F25" s="101"/>
      <c r="G25" s="182"/>
      <c r="H25" s="118"/>
      <c r="I25" s="117"/>
      <c r="J25" s="99"/>
    </row>
    <row r="26" spans="1:10" ht="33.75" customHeight="1">
      <c r="A26" s="126"/>
      <c r="B26" s="100"/>
      <c r="C26" s="181">
        <v>45220</v>
      </c>
      <c r="D26" s="120"/>
      <c r="E26" s="101"/>
      <c r="F26" s="101"/>
      <c r="G26" s="182"/>
      <c r="H26" s="118"/>
      <c r="I26" s="117"/>
      <c r="J26" s="99"/>
    </row>
    <row r="27" spans="1:10" ht="33.75" customHeight="1">
      <c r="A27" s="126"/>
      <c r="B27" s="100"/>
      <c r="C27" s="181">
        <v>45221</v>
      </c>
      <c r="D27" s="120"/>
      <c r="E27" s="101"/>
      <c r="F27" s="101"/>
      <c r="G27" s="182"/>
      <c r="H27" s="118"/>
      <c r="I27" s="117"/>
      <c r="J27" s="99"/>
    </row>
    <row r="28" spans="1:10" ht="33.75" customHeight="1">
      <c r="A28" s="126"/>
      <c r="B28" s="100"/>
      <c r="C28" s="181">
        <v>45222</v>
      </c>
      <c r="D28" s="120"/>
      <c r="E28" s="101" t="b">
        <v>0</v>
      </c>
      <c r="F28" s="101" t="b">
        <v>0</v>
      </c>
      <c r="G28" s="260"/>
      <c r="H28" s="325"/>
      <c r="I28" s="324"/>
      <c r="J28" s="99"/>
    </row>
    <row r="29" spans="1:10" ht="33.75" customHeight="1">
      <c r="A29" s="126"/>
      <c r="B29" s="100"/>
      <c r="C29" s="181">
        <v>45223</v>
      </c>
      <c r="D29" s="120"/>
      <c r="E29" s="101" t="b">
        <v>0</v>
      </c>
      <c r="F29" s="101" t="b">
        <v>0</v>
      </c>
      <c r="G29" s="260"/>
      <c r="H29" s="325"/>
      <c r="I29" s="324"/>
      <c r="J29" s="99"/>
    </row>
    <row r="30" spans="1:10" ht="33.75" customHeight="1">
      <c r="A30" s="126"/>
      <c r="B30" s="100"/>
      <c r="C30" s="181">
        <v>45224</v>
      </c>
      <c r="D30" s="120"/>
      <c r="E30" s="101" t="b">
        <v>0</v>
      </c>
      <c r="F30" s="101" t="b">
        <v>0</v>
      </c>
      <c r="G30" s="260"/>
      <c r="H30" s="325"/>
      <c r="I30" s="324"/>
      <c r="J30" s="99"/>
    </row>
    <row r="31" spans="1:10" ht="33.75" customHeight="1">
      <c r="A31" s="126"/>
      <c r="B31" s="100"/>
      <c r="C31" s="181">
        <v>45225</v>
      </c>
      <c r="D31" s="120"/>
      <c r="E31" s="101" t="b">
        <v>0</v>
      </c>
      <c r="F31" s="101" t="b">
        <v>0</v>
      </c>
      <c r="G31" s="260"/>
      <c r="H31" s="325"/>
      <c r="I31" s="324"/>
      <c r="J31" s="99"/>
    </row>
    <row r="32" spans="1:10" ht="33.75" customHeight="1">
      <c r="A32" s="126"/>
      <c r="B32" s="100"/>
      <c r="C32" s="181">
        <v>45226</v>
      </c>
      <c r="D32" s="120"/>
      <c r="E32" s="101" t="b">
        <v>0</v>
      </c>
      <c r="F32" s="101" t="b">
        <v>0</v>
      </c>
      <c r="G32" s="260"/>
      <c r="H32" s="325"/>
      <c r="I32" s="324"/>
      <c r="J32" s="99"/>
    </row>
    <row r="33" spans="1:10" ht="33.75" customHeight="1">
      <c r="A33" s="126"/>
      <c r="B33" s="100"/>
      <c r="C33" s="181">
        <v>45227</v>
      </c>
      <c r="D33" s="120"/>
      <c r="E33" s="101" t="b">
        <v>0</v>
      </c>
      <c r="F33" s="101" t="b">
        <v>0</v>
      </c>
      <c r="G33" s="260"/>
      <c r="H33" s="325"/>
      <c r="I33" s="324"/>
      <c r="J33" s="99"/>
    </row>
    <row r="34" spans="1:10" ht="33.75" customHeight="1">
      <c r="A34" s="126"/>
      <c r="B34" s="100"/>
      <c r="C34" s="181">
        <v>45228</v>
      </c>
      <c r="D34" s="120"/>
      <c r="E34" s="101" t="b">
        <v>0</v>
      </c>
      <c r="F34" s="101" t="b">
        <v>0</v>
      </c>
      <c r="G34" s="260"/>
      <c r="H34" s="325"/>
      <c r="I34" s="324"/>
      <c r="J34" s="99"/>
    </row>
    <row r="35" spans="1:10" ht="33.75" customHeight="1">
      <c r="A35" s="126"/>
      <c r="B35" s="100"/>
      <c r="C35" s="181">
        <v>45229</v>
      </c>
      <c r="D35" s="120"/>
      <c r="E35" s="101" t="b">
        <v>0</v>
      </c>
      <c r="F35" s="101" t="b">
        <v>0</v>
      </c>
      <c r="G35" s="260"/>
      <c r="H35" s="325"/>
      <c r="I35" s="324"/>
      <c r="J35" s="99"/>
    </row>
    <row r="36" spans="1:10" ht="12" customHeight="1">
      <c r="A36" s="126"/>
      <c r="B36" s="102"/>
      <c r="C36" s="331"/>
      <c r="D36" s="297"/>
      <c r="E36" s="90"/>
      <c r="F36" s="90"/>
      <c r="G36" s="90"/>
      <c r="H36" s="90"/>
      <c r="I36" s="90"/>
      <c r="J36" s="103"/>
    </row>
    <row r="37" spans="1:10" ht="13.5" customHeight="1">
      <c r="A37" s="126"/>
      <c r="B37" s="74"/>
      <c r="C37" s="124"/>
      <c r="D37" s="74"/>
      <c r="E37" s="74"/>
      <c r="F37" s="74"/>
      <c r="G37" s="74"/>
      <c r="H37" s="74"/>
      <c r="I37" s="74"/>
      <c r="J37" s="74"/>
    </row>
  </sheetData>
  <mergeCells count="27">
    <mergeCell ref="B2:H3"/>
    <mergeCell ref="B4:C4"/>
    <mergeCell ref="D4:F4"/>
    <mergeCell ref="I4:J4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30:I30"/>
    <mergeCell ref="G31:I31"/>
    <mergeCell ref="G15:I15"/>
    <mergeCell ref="G16:I16"/>
    <mergeCell ref="G17:I17"/>
    <mergeCell ref="G18:I18"/>
    <mergeCell ref="G19:I19"/>
    <mergeCell ref="G28:I28"/>
    <mergeCell ref="G29:I29"/>
    <mergeCell ref="G32:I32"/>
    <mergeCell ref="C36:D36"/>
    <mergeCell ref="G33:I33"/>
    <mergeCell ref="G34:I34"/>
    <mergeCell ref="G35:I35"/>
  </mergeCells>
  <hyperlinks>
    <hyperlink ref="I3" location="D4!A1" display="D4" xr:uid="{00000000-0004-0000-0F00-000000000000}"/>
  </hyperlinks>
  <pageMargins left="0.7" right="0.7" top="0.75" bottom="0.75" header="0" footer="0"/>
  <pageSetup paperSize="9" scale="55" orientation="portrait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drawing r:id="rId1"/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8"/>
  <sheetViews>
    <sheetView showGridLines="0" topLeftCell="A10" workbookViewId="0"/>
  </sheetViews>
  <sheetFormatPr defaultColWidth="12.5703125" defaultRowHeight="15.75" customHeight="1"/>
  <cols>
    <col min="1" max="1" width="1.85546875" customWidth="1"/>
    <col min="2" max="2" width="24.7109375" customWidth="1"/>
    <col min="3" max="3" width="10.7109375" customWidth="1"/>
    <col min="4" max="4" width="11.7109375" customWidth="1"/>
    <col min="5" max="10" width="7.5703125" customWidth="1"/>
    <col min="11" max="11" width="2.140625" customWidth="1"/>
  </cols>
  <sheetData>
    <row r="1" spans="1:11" ht="8.25" customHeight="1">
      <c r="A1" s="132"/>
      <c r="B1" s="68"/>
      <c r="C1" s="68"/>
      <c r="D1" s="68"/>
      <c r="E1" s="68"/>
      <c r="F1" s="68"/>
      <c r="G1" s="68"/>
      <c r="H1" s="68"/>
      <c r="I1" s="68"/>
      <c r="J1" s="69"/>
      <c r="K1" s="68"/>
    </row>
    <row r="2" spans="1:11" ht="18" customHeight="1">
      <c r="A2" s="132"/>
      <c r="B2" s="258" t="s">
        <v>318</v>
      </c>
      <c r="C2" s="295"/>
      <c r="D2" s="295"/>
      <c r="E2" s="295"/>
      <c r="F2" s="295"/>
      <c r="G2" s="295"/>
      <c r="H2" s="295"/>
      <c r="I2" s="295"/>
      <c r="J2" s="174"/>
      <c r="K2" s="69"/>
    </row>
    <row r="3" spans="1:11" ht="18" customHeight="1">
      <c r="A3" s="132"/>
      <c r="B3" s="296"/>
      <c r="C3" s="297"/>
      <c r="D3" s="297"/>
      <c r="E3" s="297"/>
      <c r="F3" s="297"/>
      <c r="G3" s="297"/>
      <c r="H3" s="297"/>
      <c r="I3" s="297"/>
      <c r="J3" s="175" t="s">
        <v>5</v>
      </c>
      <c r="K3" s="69"/>
    </row>
    <row r="4" spans="1:11" ht="14.1">
      <c r="A4" s="104"/>
      <c r="C4" s="105"/>
      <c r="D4" s="105"/>
    </row>
    <row r="5" spans="1:11" ht="21" customHeight="1">
      <c r="B5" s="256" t="s">
        <v>319</v>
      </c>
      <c r="C5" s="325"/>
      <c r="D5" s="324"/>
    </row>
    <row r="6" spans="1:11" ht="21" customHeight="1">
      <c r="B6" s="183" t="s">
        <v>320</v>
      </c>
      <c r="C6" s="183" t="s">
        <v>321</v>
      </c>
      <c r="D6" s="183" t="s">
        <v>322</v>
      </c>
    </row>
    <row r="7" spans="1:11" ht="21" customHeight="1">
      <c r="A7" s="2"/>
      <c r="B7" s="177" t="s">
        <v>323</v>
      </c>
      <c r="C7" s="177">
        <v>35</v>
      </c>
      <c r="D7" s="184">
        <f t="shared" ref="D7:D15" si="0">C7/(SUM($C$7:$C$15))</f>
        <v>0.20114942528735633</v>
      </c>
      <c r="E7" s="2"/>
      <c r="F7" s="2"/>
      <c r="G7" s="2"/>
      <c r="H7" s="2"/>
      <c r="I7" s="2"/>
      <c r="J7" s="2"/>
      <c r="K7" s="2"/>
    </row>
    <row r="8" spans="1:11" ht="21" customHeight="1">
      <c r="A8" s="2"/>
      <c r="B8" s="177" t="s">
        <v>324</v>
      </c>
      <c r="C8" s="177">
        <v>35</v>
      </c>
      <c r="D8" s="184">
        <f t="shared" si="0"/>
        <v>0.20114942528735633</v>
      </c>
      <c r="E8" s="2"/>
      <c r="F8" s="2"/>
      <c r="G8" s="2"/>
      <c r="H8" s="2"/>
      <c r="I8" s="2"/>
      <c r="J8" s="2"/>
      <c r="K8" s="2"/>
    </row>
    <row r="9" spans="1:11" ht="21" customHeight="1">
      <c r="A9" s="2"/>
      <c r="B9" s="177" t="s">
        <v>325</v>
      </c>
      <c r="C9" s="177">
        <v>31</v>
      </c>
      <c r="D9" s="184">
        <f t="shared" si="0"/>
        <v>0.17816091954022989</v>
      </c>
      <c r="E9" s="2"/>
      <c r="F9" s="2"/>
      <c r="G9" s="2"/>
      <c r="H9" s="2"/>
      <c r="I9" s="2"/>
      <c r="J9" s="2"/>
      <c r="K9" s="2"/>
    </row>
    <row r="10" spans="1:11" ht="21" customHeight="1">
      <c r="A10" s="2"/>
      <c r="B10" s="177" t="s">
        <v>326</v>
      </c>
      <c r="C10" s="177">
        <v>23</v>
      </c>
      <c r="D10" s="184">
        <f t="shared" si="0"/>
        <v>0.13218390804597702</v>
      </c>
      <c r="E10" s="2"/>
      <c r="F10" s="2"/>
      <c r="G10" s="2"/>
      <c r="H10" s="2"/>
      <c r="I10" s="2"/>
      <c r="J10" s="2"/>
      <c r="K10" s="2"/>
    </row>
    <row r="11" spans="1:11" ht="21" customHeight="1">
      <c r="A11" s="2"/>
      <c r="B11" s="177" t="s">
        <v>327</v>
      </c>
      <c r="C11" s="177">
        <v>19</v>
      </c>
      <c r="D11" s="184">
        <f t="shared" si="0"/>
        <v>0.10919540229885058</v>
      </c>
      <c r="E11" s="2"/>
      <c r="F11" s="2"/>
      <c r="G11" s="2"/>
      <c r="H11" s="2"/>
      <c r="I11" s="2"/>
      <c r="J11" s="2"/>
      <c r="K11" s="2"/>
    </row>
    <row r="12" spans="1:11" ht="21" customHeight="1">
      <c r="A12" s="2"/>
      <c r="B12" s="177" t="s">
        <v>328</v>
      </c>
      <c r="C12" s="177">
        <v>14</v>
      </c>
      <c r="D12" s="184">
        <f t="shared" si="0"/>
        <v>8.0459770114942528E-2</v>
      </c>
      <c r="E12" s="2"/>
      <c r="F12" s="2"/>
      <c r="G12" s="2"/>
      <c r="H12" s="2"/>
      <c r="I12" s="2"/>
      <c r="J12" s="2"/>
      <c r="K12" s="2"/>
    </row>
    <row r="13" spans="1:11" ht="21" customHeight="1">
      <c r="A13" s="2"/>
      <c r="B13" s="177" t="s">
        <v>329</v>
      </c>
      <c r="C13" s="177">
        <v>11</v>
      </c>
      <c r="D13" s="184">
        <f t="shared" si="0"/>
        <v>6.3218390804597707E-2</v>
      </c>
      <c r="E13" s="2"/>
      <c r="F13" s="2"/>
      <c r="G13" s="2"/>
      <c r="H13" s="2"/>
      <c r="I13" s="2"/>
      <c r="J13" s="2"/>
      <c r="K13" s="2"/>
    </row>
    <row r="14" spans="1:11" ht="21" customHeight="1">
      <c r="A14" s="2"/>
      <c r="B14" s="177" t="s">
        <v>330</v>
      </c>
      <c r="C14" s="177">
        <v>4</v>
      </c>
      <c r="D14" s="184">
        <f t="shared" si="0"/>
        <v>2.2988505747126436E-2</v>
      </c>
      <c r="E14" s="2"/>
      <c r="F14" s="2"/>
      <c r="G14" s="2"/>
      <c r="H14" s="2"/>
      <c r="I14" s="2"/>
      <c r="J14" s="2"/>
      <c r="K14" s="2"/>
    </row>
    <row r="15" spans="1:11" ht="21" customHeight="1">
      <c r="A15" s="2"/>
      <c r="B15" s="177" t="s">
        <v>331</v>
      </c>
      <c r="C15" s="177">
        <v>2</v>
      </c>
      <c r="D15" s="184">
        <f t="shared" si="0"/>
        <v>1.1494252873563218E-2</v>
      </c>
      <c r="E15" s="2"/>
      <c r="F15" s="2"/>
      <c r="G15" s="2"/>
      <c r="H15" s="2"/>
      <c r="I15" s="2"/>
      <c r="J15" s="2"/>
      <c r="K15" s="2"/>
    </row>
    <row r="16" spans="1:11" ht="12.6">
      <c r="C16" s="105"/>
      <c r="D16" s="105"/>
    </row>
    <row r="17" spans="3:4" ht="12.6">
      <c r="C17" s="105"/>
      <c r="D17" s="105"/>
    </row>
    <row r="18" spans="3:4" ht="12.6">
      <c r="C18" s="105"/>
      <c r="D18" s="105"/>
    </row>
  </sheetData>
  <mergeCells count="2">
    <mergeCell ref="B2:I3"/>
    <mergeCell ref="B5:D5"/>
  </mergeCells>
  <hyperlinks>
    <hyperlink ref="J3" location="D4!A1" display="D4" xr:uid="{00000000-0004-0000-1000-000000000000}"/>
  </hyperlinks>
  <pageMargins left="0.7" right="0.7" top="0.75" bottom="0.75" header="0" footer="0"/>
  <pageSetup paperSize="9" scale="72" orientation="portrait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drawing r:id="rId1"/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24"/>
  <sheetViews>
    <sheetView showGridLines="0" zoomScale="60" zoomScaleNormal="60" workbookViewId="0"/>
  </sheetViews>
  <sheetFormatPr defaultColWidth="12.5703125" defaultRowHeight="15.75" customHeight="1"/>
  <cols>
    <col min="1" max="1" width="3" customWidth="1"/>
    <col min="2" max="2" width="15.42578125" customWidth="1"/>
    <col min="3" max="20" width="7.5703125" customWidth="1"/>
    <col min="21" max="22" width="2" customWidth="1"/>
  </cols>
  <sheetData>
    <row r="1" spans="1:22" ht="8.25" customHeight="1">
      <c r="A1" s="132"/>
      <c r="B1" s="68"/>
      <c r="C1" s="68"/>
      <c r="D1" s="68"/>
      <c r="E1" s="68"/>
      <c r="F1" s="68"/>
      <c r="G1" s="68"/>
      <c r="H1" s="68"/>
      <c r="I1" s="68"/>
      <c r="J1" s="68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2" ht="20.25" customHeight="1">
      <c r="A2" s="132"/>
      <c r="B2" s="258" t="s">
        <v>332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70"/>
      <c r="U2" s="106"/>
      <c r="V2" s="69"/>
    </row>
    <row r="3" spans="1:22" ht="12.75" customHeight="1">
      <c r="A3" s="132"/>
      <c r="B3" s="296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71" t="s">
        <v>5</v>
      </c>
      <c r="U3" s="107"/>
      <c r="V3" s="92"/>
    </row>
    <row r="4" spans="1:22" ht="16.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</row>
    <row r="5" spans="1:22" ht="23.25" customHeight="1">
      <c r="A5" s="104"/>
      <c r="B5" s="108"/>
      <c r="C5" s="262" t="s">
        <v>333</v>
      </c>
      <c r="D5" s="325"/>
      <c r="E5" s="325"/>
      <c r="F5" s="325"/>
      <c r="G5" s="325"/>
      <c r="H5" s="324"/>
      <c r="I5" s="262" t="s">
        <v>334</v>
      </c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4"/>
      <c r="U5" s="104"/>
      <c r="V5" s="104"/>
    </row>
    <row r="6" spans="1:22" ht="21" customHeight="1">
      <c r="A6" s="104"/>
      <c r="B6" s="183" t="s">
        <v>154</v>
      </c>
      <c r="C6" s="183" t="s">
        <v>335</v>
      </c>
      <c r="D6" s="183" t="s">
        <v>336</v>
      </c>
      <c r="E6" s="183" t="s">
        <v>337</v>
      </c>
      <c r="F6" s="183" t="s">
        <v>338</v>
      </c>
      <c r="G6" s="183">
        <v>10</v>
      </c>
      <c r="H6" s="183">
        <v>11</v>
      </c>
      <c r="I6" s="183">
        <v>12</v>
      </c>
      <c r="J6" s="183">
        <v>13</v>
      </c>
      <c r="K6" s="183">
        <v>14</v>
      </c>
      <c r="L6" s="183">
        <v>15</v>
      </c>
      <c r="M6" s="183">
        <v>16</v>
      </c>
      <c r="N6" s="183">
        <v>17</v>
      </c>
      <c r="O6" s="183">
        <v>18</v>
      </c>
      <c r="P6" s="183">
        <v>19</v>
      </c>
      <c r="Q6" s="183">
        <v>20</v>
      </c>
      <c r="R6" s="183">
        <v>21</v>
      </c>
      <c r="S6" s="183">
        <v>22</v>
      </c>
      <c r="T6" s="183">
        <v>23</v>
      </c>
      <c r="U6" s="104"/>
      <c r="V6" s="104"/>
    </row>
    <row r="7" spans="1:22" ht="28.5" customHeight="1">
      <c r="A7" s="104"/>
      <c r="B7" s="109" t="s">
        <v>323</v>
      </c>
      <c r="C7" s="110">
        <v>50</v>
      </c>
      <c r="D7" s="110">
        <v>88</v>
      </c>
      <c r="E7" s="110">
        <v>841</v>
      </c>
      <c r="F7" s="110">
        <v>2086</v>
      </c>
      <c r="G7" s="110">
        <v>2321</v>
      </c>
      <c r="H7" s="110">
        <v>2801</v>
      </c>
      <c r="I7" s="110">
        <v>1620</v>
      </c>
      <c r="J7" s="110">
        <v>2794</v>
      </c>
      <c r="K7" s="110">
        <v>1902</v>
      </c>
      <c r="L7" s="110">
        <v>1064</v>
      </c>
      <c r="M7" s="110">
        <v>1111</v>
      </c>
      <c r="N7" s="110">
        <v>2144</v>
      </c>
      <c r="O7" s="110">
        <v>1188</v>
      </c>
      <c r="P7" s="110">
        <v>2210</v>
      </c>
      <c r="Q7" s="110">
        <v>478</v>
      </c>
      <c r="R7" s="110">
        <v>113</v>
      </c>
      <c r="S7" s="110">
        <v>29</v>
      </c>
      <c r="T7" s="110">
        <v>9</v>
      </c>
      <c r="U7" s="104"/>
      <c r="V7" s="104"/>
    </row>
    <row r="8" spans="1:22" ht="16.5" customHeight="1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</row>
    <row r="9" spans="1:22" ht="16.5" customHeight="1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</row>
    <row r="10" spans="1:22" ht="16.5" customHeight="1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</row>
    <row r="11" spans="1:22" ht="16.5" customHeight="1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</row>
    <row r="12" spans="1:22" ht="16.5" customHeight="1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</row>
    <row r="13" spans="1:22" ht="16.5" customHeight="1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</row>
    <row r="14" spans="1:22" ht="16.5" customHeight="1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</row>
    <row r="15" spans="1:22" ht="16.5" customHeight="1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</row>
    <row r="16" spans="1:22" ht="16.5" customHeight="1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</row>
    <row r="17" spans="1:22" ht="16.5" customHeight="1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</row>
    <row r="18" spans="1:22" ht="16.5" customHeight="1">
      <c r="A18" s="104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</row>
    <row r="19" spans="1:22" ht="16.5" customHeight="1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</row>
    <row r="20" spans="1:22" ht="16.5" customHeight="1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</row>
    <row r="21" spans="1:22" ht="16.5" customHeight="1">
      <c r="A21" s="104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</row>
    <row r="22" spans="1:22" ht="16.5" customHeight="1">
      <c r="A22" s="104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</row>
    <row r="23" spans="1:22" ht="16.5" customHeight="1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</row>
    <row r="24" spans="1:22" ht="16.5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</row>
  </sheetData>
  <mergeCells count="3">
    <mergeCell ref="B2:S3"/>
    <mergeCell ref="C5:H5"/>
    <mergeCell ref="I5:T5"/>
  </mergeCells>
  <hyperlinks>
    <hyperlink ref="T3" location="D4!A1" display="D4" xr:uid="{00000000-0004-0000-1100-000000000000}"/>
  </hyperlinks>
  <pageMargins left="0.7" right="0.7" top="0.75" bottom="0.75" header="0" footer="0"/>
  <pageSetup paperSize="9" scale="65" orientation="portrait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drawing r:id="rId1"/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6"/>
  <sheetViews>
    <sheetView showGridLines="0" zoomScale="70" zoomScaleNormal="70" workbookViewId="0"/>
  </sheetViews>
  <sheetFormatPr defaultColWidth="12.5703125" defaultRowHeight="15.75" customHeight="1"/>
  <cols>
    <col min="1" max="1" width="1.85546875" customWidth="1"/>
    <col min="2" max="18" width="7.5703125" customWidth="1"/>
    <col min="19" max="19" width="2.85546875" customWidth="1"/>
  </cols>
  <sheetData>
    <row r="1" spans="1:19" ht="8.25" customHeight="1">
      <c r="A1" s="132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  <c r="N1" s="69"/>
      <c r="O1" s="69"/>
      <c r="P1" s="69"/>
      <c r="Q1" s="69"/>
      <c r="R1" s="69"/>
      <c r="S1" s="132"/>
    </row>
    <row r="2" spans="1:19" ht="18" customHeight="1">
      <c r="A2" s="132"/>
      <c r="B2" s="263" t="s">
        <v>339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174"/>
      <c r="S2" s="69"/>
    </row>
    <row r="3" spans="1:19" ht="18" customHeight="1">
      <c r="A3" s="132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175" t="s">
        <v>5</v>
      </c>
      <c r="S3" s="69"/>
    </row>
    <row r="4" spans="1:19" ht="23.25" customHeight="1">
      <c r="A4" s="85"/>
      <c r="B4" s="241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98"/>
      <c r="S4" s="72"/>
    </row>
    <row r="5" spans="1:19" ht="27.75" customHeight="1">
      <c r="A5" s="85"/>
      <c r="B5" s="84"/>
      <c r="C5" s="85"/>
      <c r="D5" s="85"/>
      <c r="E5" s="85"/>
      <c r="F5" s="85"/>
      <c r="G5" s="85"/>
      <c r="H5" s="85"/>
      <c r="I5" s="85"/>
      <c r="J5" s="85"/>
      <c r="K5" s="85"/>
      <c r="L5" s="85"/>
      <c r="M5" s="126"/>
      <c r="N5" s="126"/>
      <c r="O5" s="126"/>
      <c r="P5" s="126"/>
      <c r="Q5" s="126"/>
      <c r="R5" s="86"/>
      <c r="S5" s="73"/>
    </row>
    <row r="6" spans="1:19" ht="27.75" customHeight="1">
      <c r="A6" s="126"/>
      <c r="B6" s="156"/>
      <c r="C6" s="111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157"/>
    </row>
    <row r="7" spans="1:19" ht="27.75" customHeight="1">
      <c r="A7" s="126"/>
      <c r="B7" s="156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157"/>
    </row>
    <row r="8" spans="1:19" ht="27.75" customHeight="1">
      <c r="A8" s="126"/>
      <c r="B8" s="156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157"/>
    </row>
    <row r="9" spans="1:19" ht="27.75" customHeight="1">
      <c r="A9" s="126"/>
      <c r="B9" s="156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157"/>
    </row>
    <row r="10" spans="1:19" ht="27.75" customHeight="1">
      <c r="A10" s="126"/>
      <c r="B10" s="156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157"/>
    </row>
    <row r="11" spans="1:19" ht="27.75" customHeight="1">
      <c r="A11" s="126"/>
      <c r="B11" s="156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157"/>
    </row>
    <row r="12" spans="1:19" ht="27.75" customHeight="1">
      <c r="A12" s="126"/>
      <c r="B12" s="156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57"/>
    </row>
    <row r="13" spans="1:19" ht="27.75" customHeight="1">
      <c r="A13" s="126"/>
      <c r="B13" s="156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157"/>
    </row>
    <row r="14" spans="1:19" ht="27.75" customHeight="1">
      <c r="A14" s="126"/>
      <c r="B14" s="156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157"/>
    </row>
    <row r="15" spans="1:19" ht="27.75" customHeight="1">
      <c r="A15" s="126"/>
      <c r="B15" s="156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57"/>
    </row>
    <row r="16" spans="1:19" ht="27.75" customHeight="1">
      <c r="A16" s="126"/>
      <c r="B16" s="156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157"/>
    </row>
    <row r="17" spans="1:18" ht="27.75" customHeight="1">
      <c r="A17" s="126"/>
      <c r="B17" s="156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57"/>
    </row>
    <row r="18" spans="1:18" ht="27.75" customHeight="1">
      <c r="A18" s="126"/>
      <c r="B18" s="156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157"/>
    </row>
    <row r="19" spans="1:18" ht="27.75" customHeight="1">
      <c r="A19" s="126"/>
      <c r="B19" s="156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157"/>
    </row>
    <row r="20" spans="1:18" ht="27.75" customHeight="1">
      <c r="A20" s="126"/>
      <c r="B20" s="156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157"/>
    </row>
    <row r="21" spans="1:18" ht="27.75" customHeight="1">
      <c r="A21" s="126"/>
      <c r="B21" s="156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157"/>
    </row>
    <row r="22" spans="1:18" ht="27.75" customHeight="1">
      <c r="A22" s="126"/>
      <c r="B22" s="156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157"/>
    </row>
    <row r="23" spans="1:18" ht="27.75" customHeight="1">
      <c r="A23" s="126"/>
      <c r="B23" s="156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157"/>
    </row>
    <row r="24" spans="1:18" ht="27.75" customHeight="1">
      <c r="A24" s="126"/>
      <c r="B24" s="156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157"/>
    </row>
    <row r="25" spans="1:18" ht="27.75" customHeight="1">
      <c r="A25" s="126"/>
      <c r="B25" s="156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157"/>
    </row>
    <row r="26" spans="1:18" ht="27.75" customHeight="1">
      <c r="A26" s="126"/>
      <c r="B26" s="156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157"/>
    </row>
    <row r="27" spans="1:18" ht="27.75" customHeight="1">
      <c r="A27" s="126"/>
      <c r="B27" s="156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157"/>
    </row>
    <row r="28" spans="1:18" ht="27.75" customHeight="1">
      <c r="A28" s="126"/>
      <c r="B28" s="156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157"/>
    </row>
    <row r="29" spans="1:18" ht="27.75" customHeight="1">
      <c r="A29" s="126"/>
      <c r="B29" s="156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157"/>
    </row>
    <row r="30" spans="1:18" ht="27.75" customHeight="1">
      <c r="A30" s="126"/>
      <c r="B30" s="156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157"/>
    </row>
    <row r="31" spans="1:18" ht="27.75" customHeight="1">
      <c r="A31" s="126"/>
      <c r="B31" s="156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157"/>
    </row>
    <row r="32" spans="1:18" ht="27.75" customHeight="1">
      <c r="A32" s="126"/>
      <c r="B32" s="156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157"/>
    </row>
    <row r="33" spans="1:18" ht="27.75" customHeight="1">
      <c r="A33" s="126"/>
      <c r="B33" s="156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157"/>
    </row>
    <row r="34" spans="1:18" ht="27.75" customHeight="1">
      <c r="A34" s="126"/>
      <c r="B34" s="156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157"/>
    </row>
    <row r="35" spans="1:18" ht="27.75" customHeight="1">
      <c r="A35" s="126"/>
      <c r="B35" s="158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60"/>
    </row>
    <row r="36" spans="1:18" ht="14.1">
      <c r="A36" s="126"/>
    </row>
  </sheetData>
  <mergeCells count="2">
    <mergeCell ref="B2:Q3"/>
    <mergeCell ref="B4:R4"/>
  </mergeCells>
  <hyperlinks>
    <hyperlink ref="R3" location="D4!A1" display="D4" xr:uid="{00000000-0004-0000-1200-000000000000}"/>
  </hyperlinks>
  <pageMargins left="0.7" right="0.7" top="0.75" bottom="0.75" header="0" footer="0"/>
  <pageSetup paperSize="9" scale="55" orientation="portrait"/>
  <headerFooter>
    <oddHeader xml:space="preserve">&amp;L         &amp;G&amp;CFormulário
Formulário 8D - Método para Solução de Problemas&amp;R&amp;"Arial,Normal"&amp;8Código: FOR.106  -  Revisão: 1
Elaboração: 16/09/2022 - Aprovação: 16/09/2022
Página: &amp;N   </oddHeader>
    <oddFooter>&amp;L&amp;8Elaborado por: Lucineide Pereira
Setor: Qualidade&amp;C&amp;8Verificado por: Juliana Costa Barros
Setor: Qualidade&amp;R&amp;8Aprovado por: Ana Guimarães
Setor: Ger. Qualidade Brasil</oddFooter>
  </headerFooter>
  <drawing r:id="rId1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2497F9E1AC8A4EAC92ECBC176BFE35" ma:contentTypeVersion="25" ma:contentTypeDescription="Create a new document." ma:contentTypeScope="" ma:versionID="b3b455ab15f74affea7e0fc750ac0ea5">
  <xsd:schema xmlns:xsd="http://www.w3.org/2001/XMLSchema" xmlns:xs="http://www.w3.org/2001/XMLSchema" xmlns:p="http://schemas.microsoft.com/office/2006/metadata/properties" xmlns:ns2="786710cf-db93-43eb-8436-a18dae16cd0e" xmlns:ns3="c7b56bdc-396d-4620-999e-f0bc34c60f92" targetNamespace="http://schemas.microsoft.com/office/2006/metadata/properties" ma:root="true" ma:fieldsID="4665d01c2c7f3d0170356c041b4cc515" ns2:_="" ns3:_="">
    <xsd:import namespace="786710cf-db93-43eb-8436-a18dae16cd0e"/>
    <xsd:import namespace="c7b56bdc-396d-4620-999e-f0bc34c60f92"/>
    <xsd:element name="properties">
      <xsd:complexType>
        <xsd:sequence>
          <xsd:element name="documentManagement">
            <xsd:complexType>
              <xsd:all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710cf-db93-43eb-8436-a18dae16cd0e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7" nillable="true" ma:taxonomy="true" ma:internalName="lcf76f155ced4ddcb4097134ff3c332f" ma:taxonomyFieldName="MediaServiceImageTags" ma:displayName="Image Tags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9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hidden="true" ma:indexed="true" ma:internalName="MediaServiceLocatio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56bdc-396d-4620-999e-f0bc34c60f92" elementFormDefault="qualified">
    <xsd:import namespace="http://schemas.microsoft.com/office/2006/documentManagement/types"/>
    <xsd:import namespace="http://schemas.microsoft.com/office/infopath/2007/PartnerControls"/>
    <xsd:element name="SharedWithUsers" ma:index="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8" nillable="true" ma:displayName="Taxonomy Catch All Column" ma:hidden="true" ma:list="{fb1d0b8f-f0b0-4617-9fb7-1ac6a4b17de9}" ma:internalName="TaxCatchAll" ma:readOnly="false" ma:showField="CatchAllData" ma:web="c7b56bdc-396d-4620-999e-f0bc34c60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56bdc-396d-4620-999e-f0bc34c60f92" xsi:nil="true"/>
    <lcf76f155ced4ddcb4097134ff3c332f xmlns="786710cf-db93-43eb-8436-a18dae16cd0e">
      <Terms xmlns="http://schemas.microsoft.com/office/infopath/2007/PartnerControls"/>
    </lcf76f155ced4ddcb4097134ff3c332f>
    <SharedWithUsers xmlns="c7b56bdc-396d-4620-999e-f0bc34c60f9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A8C9FF5-ED62-47F8-9C34-D05B831A0AA5}"/>
</file>

<file path=customXml/itemProps2.xml><?xml version="1.0" encoding="utf-8"?>
<ds:datastoreItem xmlns:ds="http://schemas.openxmlformats.org/officeDocument/2006/customXml" ds:itemID="{A8B2633E-4835-4093-9853-B6305E1AC9E5}"/>
</file>

<file path=customXml/itemProps3.xml><?xml version="1.0" encoding="utf-8"?>
<ds:datastoreItem xmlns:ds="http://schemas.openxmlformats.org/officeDocument/2006/customXml" ds:itemID="{65CE3202-D7D1-4EA6-8574-9204D2E1A2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Nathalia Silva Brandão</dc:creator>
  <cp:keywords/>
  <dc:description/>
  <cp:lastModifiedBy>Renan Barbosa dos Santos</cp:lastModifiedBy>
  <cp:revision/>
  <dcterms:created xsi:type="dcterms:W3CDTF">2022-09-16T13:57:02Z</dcterms:created>
  <dcterms:modified xsi:type="dcterms:W3CDTF">2024-03-22T14:28:46Z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0x0101004E2497F9E1AC8A4EAC92ECBC176BFE35</vt:lpwstr>
  </property>
  <property fmtid="{D5CDD505-2E9C-101B-9397-08002B2CF9AE}" pid="3" name="MSIP_Label_2e9a4386-74b9-4603-ae20-950a659f9b6e_Enabled">
    <vt:lpwstr>true</vt:lpwstr>
  </property>
  <property fmtid="{D5CDD505-2E9C-101B-9397-08002B2CF9AE}" pid="4" name="MSIP_Label_2e9a4386-74b9-4603-ae20-950a659f9b6e_SetDate">
    <vt:lpwstr>2023-12-15T13:08:27Z</vt:lpwstr>
  </property>
  <property fmtid="{D5CDD505-2E9C-101B-9397-08002B2CF9AE}" pid="5" name="MSIP_Label_2e9a4386-74b9-4603-ae20-950a659f9b6e_Method">
    <vt:lpwstr>Standard</vt:lpwstr>
  </property>
  <property fmtid="{D5CDD505-2E9C-101B-9397-08002B2CF9AE}" pid="6" name="MSIP_Label_2e9a4386-74b9-4603-ae20-950a659f9b6e_Name">
    <vt:lpwstr>Internal Use Only</vt:lpwstr>
  </property>
  <property fmtid="{D5CDD505-2E9C-101B-9397-08002B2CF9AE}" pid="7" name="MSIP_Label_2e9a4386-74b9-4603-ae20-950a659f9b6e_SiteId">
    <vt:lpwstr>c7d1a8f7-0546-4a0c-8cf5-3ddaebf97d51</vt:lpwstr>
  </property>
  <property fmtid="{D5CDD505-2E9C-101B-9397-08002B2CF9AE}" pid="8" name="MSIP_Label_2e9a4386-74b9-4603-ae20-950a659f9b6e_ActionId">
    <vt:lpwstr>30bd14df-6a86-44e1-b998-cfa51851c57d</vt:lpwstr>
  </property>
  <property fmtid="{D5CDD505-2E9C-101B-9397-08002B2CF9AE}" pid="9" name="MSIP_Label_2e9a4386-74b9-4603-ae20-950a659f9b6e_ContentBits">
    <vt:lpwstr>0</vt:lpwstr>
  </property>
  <property fmtid="{D5CDD505-2E9C-101B-9397-08002B2CF9AE}" pid="10" name="MediaServiceImageTags">
    <vt:lpwstr/>
  </property>
  <property fmtid="{D5CDD505-2E9C-101B-9397-08002B2CF9AE}" pid="11" name="Order">
    <vt:r8>1327100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