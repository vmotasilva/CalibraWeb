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luxotticagroup.sharepoint.com/sites/QBR/Documentos Compartilhados/01. Modelos/Solução de Problema e Melhoria/Tecnolens/Relatório de Não Conformidade/"/>
    </mc:Choice>
  </mc:AlternateContent>
  <xr:revisionPtr revIDLastSave="0" documentId="8_{16A2AE98-2D6F-4D56-8341-9B2A6AFC83BC}" xr6:coauthVersionLast="47" xr6:coauthVersionMax="47" xr10:uidLastSave="{00000000-0000-0000-0000-000000000000}"/>
  <bookViews>
    <workbookView xWindow="-119" yWindow="-119" windowWidth="20517" windowHeight="10912" xr2:uid="{00000000-000D-0000-FFFF-FFFF00000000}"/>
  </bookViews>
  <sheets>
    <sheet name="Relatório de Não Conformidade" sheetId="1" r:id="rId1"/>
    <sheet name="Plano de Ação" sheetId="7" r:id="rId2"/>
    <sheet name="Diagrama de Ishikawa" sheetId="3" r:id="rId3"/>
    <sheet name="5 Porquês" sheetId="5" r:id="rId4"/>
    <sheet name="Brainstorming" sheetId="4" r:id="rId5"/>
    <sheet name="Gráfico de Paret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5" i="7"/>
  <c r="G6" i="7"/>
  <c r="I5" i="7"/>
  <c r="G5" i="7"/>
  <c r="G4" i="7"/>
  <c r="G3" i="7"/>
  <c r="D7" i="6"/>
  <c r="C13" i="6"/>
  <c r="D12" i="6"/>
  <c r="D11" i="6"/>
  <c r="D10" i="6"/>
  <c r="D9" i="6"/>
  <c r="D8" i="6"/>
  <c r="D6" i="6"/>
  <c r="E12" i="6" l="1"/>
  <c r="E11" i="6"/>
  <c r="E10" i="6"/>
  <c r="E9" i="6"/>
  <c r="E8" i="6"/>
  <c r="E7" i="6"/>
  <c r="E6" i="6"/>
</calcChain>
</file>

<file path=xl/sharedStrings.xml><?xml version="1.0" encoding="utf-8"?>
<sst xmlns="http://schemas.openxmlformats.org/spreadsheetml/2006/main" count="128" uniqueCount="97">
  <si>
    <t>REGISTRO DE NÃO CONFORMIDADE (RNC)</t>
  </si>
  <si>
    <t>Unidade:</t>
  </si>
  <si>
    <t>TECNOLENS</t>
  </si>
  <si>
    <t>Nº da RNC:</t>
  </si>
  <si>
    <t>02_2024</t>
  </si>
  <si>
    <t>Data da Abertura:</t>
  </si>
  <si>
    <t>Origem:</t>
  </si>
  <si>
    <t>(   ) Insumo                (   ) Produto                 (   ) Indicador                      ( X ) Auditoria                     (   ) Equipamento de Medição                  (   ) Processo             (   ) Fornecedor           (   ) Testes de Qualidade    (   ) Outros</t>
  </si>
  <si>
    <t>Classificação</t>
  </si>
  <si>
    <t>( X )  Crítico            (  )   Maior            (   )  Menor           (   ) Oportunidade de Melhoria</t>
  </si>
  <si>
    <r>
      <t xml:space="preserve">Requerimento/Requisito:
</t>
    </r>
    <r>
      <rPr>
        <sz val="8"/>
        <color theme="0"/>
        <rFont val="Arial"/>
        <family val="2"/>
      </rPr>
      <t>(Inserir o número do requisito e sua descrição de acordo com a norma, procedimento/documento identificando a não conformidade)</t>
    </r>
  </si>
  <si>
    <r>
      <rPr>
        <b/>
        <sz val="10"/>
        <color rgb="FF000000"/>
        <rFont val="Arial"/>
        <family val="2"/>
        <scheme val="minor"/>
      </rPr>
      <t xml:space="preserve">NBR ISO 13.485/2016 - Requisito 8.5.2 - </t>
    </r>
    <r>
      <rPr>
        <sz val="10"/>
        <color rgb="FF000000"/>
        <rFont val="Arial"/>
        <family val="2"/>
        <scheme val="minor"/>
      </rPr>
      <t>A organização deve adotar ações para eliminar as causas de não conformidades, de forma a prevenir sua recorrência. Quaisquer ações corretivas necessárias devem ser adotadas sem atraso indevido. Ações corretivas devem ser proporcionais aos efeitos das não conformidades encontradas.</t>
    </r>
  </si>
  <si>
    <r>
      <t xml:space="preserve">Descrição da Não Conformidade: 
</t>
    </r>
    <r>
      <rPr>
        <sz val="8"/>
        <color theme="0"/>
        <rFont val="Arial"/>
        <family val="2"/>
      </rPr>
      <t>(Descrever a não conformidade encontrada)</t>
    </r>
  </si>
  <si>
    <t>As métricas ou indicadores, bem como os parâmetros dos processos, não foram contemplados como fontes de não conformidades e geração de planos dentro do QMS.</t>
  </si>
  <si>
    <r>
      <t xml:space="preserve">Evidência da Não Conformidade: 
</t>
    </r>
    <r>
      <rPr>
        <sz val="8"/>
        <color theme="0"/>
        <rFont val="Arial"/>
        <family val="2"/>
      </rPr>
      <t>(Inserir as evidências da não conformidade citada acima: foto, print, link, etc.)</t>
    </r>
  </si>
  <si>
    <t>Gerenciamento de Risco</t>
  </si>
  <si>
    <t>Frequência:</t>
  </si>
  <si>
    <t>(     ) Rara          (     ) Ocasional          (  x  ) Frequente</t>
  </si>
  <si>
    <t>Risco:</t>
  </si>
  <si>
    <t>(     ) Baixo         (     ) Médio               (  x  ) Alto</t>
  </si>
  <si>
    <t>Tratativas da Não Conformidade</t>
  </si>
  <si>
    <r>
      <rPr>
        <b/>
        <sz val="10"/>
        <color theme="0"/>
        <rFont val="Arial"/>
        <family val="2"/>
      </rPr>
      <t xml:space="preserve">Causa Raiz:
</t>
    </r>
    <r>
      <rPr>
        <sz val="8"/>
        <color theme="0"/>
        <rFont val="Arial"/>
        <family val="2"/>
      </rPr>
      <t>(Para identificação da causa raiz, utilizar no mínimo 2 ferramentas de qualidade para identificação. Ferramentas de qualidade são: Diagrama de Ishikawa, Brainstorming, 5 Porquês e Gráfico de Pareto.)</t>
    </r>
  </si>
  <si>
    <r>
      <t xml:space="preserve">Ação de Contenção:
</t>
    </r>
    <r>
      <rPr>
        <sz val="8"/>
        <color theme="0"/>
        <rFont val="Arial"/>
        <family val="2"/>
      </rPr>
      <t>(Se aplicável)</t>
    </r>
  </si>
  <si>
    <t>Ação sobre a Não conformidade:</t>
  </si>
  <si>
    <t>(     ) Aprovar sob concessão         (     ) Rejeitar          (    ) Corrigir</t>
  </si>
  <si>
    <t>Gerar plano de ação:</t>
  </si>
  <si>
    <t>Vide aba: Plano de Ação</t>
  </si>
  <si>
    <t>Conclusão</t>
  </si>
  <si>
    <r>
      <t xml:space="preserve">Análise Crítica da Eficácia:
</t>
    </r>
    <r>
      <rPr>
        <sz val="8"/>
        <color theme="0"/>
        <rFont val="Arial"/>
        <family val="2"/>
      </rPr>
      <t>(O problema foi resolvido?)</t>
    </r>
  </si>
  <si>
    <t>(    ) Eficaz          (     ) Não eficaz</t>
  </si>
  <si>
    <r>
      <t xml:space="preserve">Evidência da Implementação:
</t>
    </r>
    <r>
      <rPr>
        <sz val="8"/>
        <color theme="0"/>
        <rFont val="Arial"/>
        <family val="2"/>
      </rPr>
      <t>(colocar fotos e/ou registros)</t>
    </r>
  </si>
  <si>
    <t>Responsável:</t>
  </si>
  <si>
    <t>Data do Fechamento:</t>
  </si>
  <si>
    <t>PLANO DE AÇÃO | PLAN DE ACCIÓN</t>
  </si>
  <si>
    <t>Laboratório, Área ou Projeto:
Nombre de proyecto, area o Lab:</t>
  </si>
  <si>
    <t>Percentual de Conclusão:</t>
  </si>
  <si>
    <t>Nº Registro:</t>
  </si>
  <si>
    <t>Nº Ação | Acción</t>
  </si>
  <si>
    <t>Input</t>
  </si>
  <si>
    <t>Problema</t>
  </si>
  <si>
    <t>Lab</t>
  </si>
  <si>
    <t>KPI</t>
  </si>
  <si>
    <t>Descrição | Descripción</t>
  </si>
  <si>
    <t>Classificação|
Clasificación</t>
  </si>
  <si>
    <t>Status</t>
  </si>
  <si>
    <t>Prioridad</t>
  </si>
  <si>
    <r>
      <rPr>
        <b/>
        <sz val="10"/>
        <color rgb="FFFFFFFF"/>
        <rFont val="Arial"/>
        <family val="2"/>
      </rPr>
      <t xml:space="preserve">Quem|Quién?
</t>
    </r>
    <r>
      <rPr>
        <sz val="10"/>
        <color rgb="FFFFFFFF"/>
        <rFont val="Arial"/>
        <family val="2"/>
      </rPr>
      <t>Responsavel</t>
    </r>
  </si>
  <si>
    <r>
      <rPr>
        <b/>
        <sz val="10"/>
        <color rgb="FFFFFFFF"/>
        <rFont val="Arial"/>
        <family val="2"/>
      </rPr>
      <t xml:space="preserve">Quando| Cuando
</t>
    </r>
    <r>
      <rPr>
        <sz val="10"/>
        <color rgb="FFFFFFFF"/>
        <rFont val="Arial"/>
        <family val="2"/>
      </rPr>
      <t>1° Deadline</t>
    </r>
  </si>
  <si>
    <r>
      <rPr>
        <b/>
        <sz val="10"/>
        <color rgb="FFFFFFFF"/>
        <rFont val="Arial"/>
        <family val="2"/>
      </rPr>
      <t xml:space="preserve">Quando| Cuando
</t>
    </r>
    <r>
      <rPr>
        <sz val="10"/>
        <color rgb="FFFFFFFF"/>
        <rFont val="Arial"/>
        <family val="2"/>
      </rPr>
      <t>Deadline</t>
    </r>
  </si>
  <si>
    <t>COMENTARIOS</t>
  </si>
  <si>
    <t>Ação Eficaz | Acción Eficaz?</t>
  </si>
  <si>
    <t>QMS</t>
  </si>
  <si>
    <t>Visolab</t>
  </si>
  <si>
    <t>N/A</t>
  </si>
  <si>
    <t>Definir e identificar os principais indicadores e parâmetros de controle de processos e matérias-primas como fontes de Não Confiormidade dentro do laboratório.</t>
  </si>
  <si>
    <t>Corretiva</t>
  </si>
  <si>
    <t>En Curso/Andamento</t>
  </si>
  <si>
    <t>S</t>
  </si>
  <si>
    <t>Jaldo Reis</t>
  </si>
  <si>
    <t>Treinamento dos colaboradores para correta gestão de não conformidades preventivas e/ou corretivas</t>
  </si>
  <si>
    <t>Completa/Concluído</t>
  </si>
  <si>
    <t>Colaboradores e lideres treinados e  instruidos a respeito do PSQ.022</t>
  </si>
  <si>
    <t>Eficaz</t>
  </si>
  <si>
    <t>Realizar acompanhamentos nas áreas para verificar a implementação de ações, caso seja necessário devido ao não cumprimento dos parâmetros.</t>
  </si>
  <si>
    <t>FERRAMENTA DE QUALIDADE: DIAGRAMA DE ISHIKAWA (ESPINHA DE PEIXE)</t>
  </si>
  <si>
    <t>Materiais</t>
  </si>
  <si>
    <t>Método</t>
  </si>
  <si>
    <t>Mão-de-obra</t>
  </si>
  <si>
    <t>Matéria-prima</t>
  </si>
  <si>
    <t>Meio ambiente</t>
  </si>
  <si>
    <t>Medida</t>
  </si>
  <si>
    <t>FERRAMENTA DE QUALIDADE: 5 PORQUÊS</t>
  </si>
  <si>
    <t>Problema:</t>
  </si>
  <si>
    <t>Pergunta</t>
  </si>
  <si>
    <t>Resposta</t>
  </si>
  <si>
    <t>1° Por quê?</t>
  </si>
  <si>
    <t>2° Por quê?</t>
  </si>
  <si>
    <t>3° Por quê?</t>
  </si>
  <si>
    <t>4° Por quê?</t>
  </si>
  <si>
    <t>5° Por quê?</t>
  </si>
  <si>
    <t>Causa Raiz Identificada?</t>
  </si>
  <si>
    <r>
      <rPr>
        <b/>
        <sz val="14"/>
        <color rgb="FFFFFFFF"/>
        <rFont val="Verdana"/>
        <family val="2"/>
      </rPr>
      <t xml:space="preserve">FERRAMENTA DE QUALIDADE: BRAINSTORMING
</t>
    </r>
    <r>
      <rPr>
        <sz val="9"/>
        <color rgb="FFFFFFFF"/>
        <rFont val="Verdana"/>
        <family val="2"/>
      </rPr>
      <t>(Na utilização dessa ferramenta, é necessário utilizar mais uma ferramenta para embasamento)</t>
    </r>
  </si>
  <si>
    <t>PARTICIPANTES</t>
  </si>
  <si>
    <t>PROBLEMA</t>
  </si>
  <si>
    <t>IDEIAS</t>
  </si>
  <si>
    <t>FERRAMENTA DE QUALIDADE: GRÁFICO DE PARETO</t>
  </si>
  <si>
    <t>Descrição</t>
  </si>
  <si>
    <t>Incidência</t>
  </si>
  <si>
    <t>% Percentual</t>
  </si>
  <si>
    <t>% Acumulada</t>
  </si>
  <si>
    <t>Exemplo 1</t>
  </si>
  <si>
    <t>Exemplo 2</t>
  </si>
  <si>
    <t>Exemplo 3</t>
  </si>
  <si>
    <t>Exemplo 4</t>
  </si>
  <si>
    <t>Exemplo 5</t>
  </si>
  <si>
    <t>Exemplo 6</t>
  </si>
  <si>
    <t>Exemplo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</si>
</sst>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E6B8AF"/>
      <name val="Arial"/>
      <family val="2"/>
    </font>
    <font>
      <sz val="12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Quattrocento Sans"/>
    </font>
    <font>
      <b/>
      <sz val="14"/>
      <color rgb="FFFFFFFF"/>
      <name val="Verdana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Calibri"/>
      <family val="2"/>
    </font>
    <font>
      <sz val="18"/>
      <color rgb="FF1F497D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9"/>
      <color rgb="FFFFFFFF"/>
      <name val="Verdana"/>
      <family val="2"/>
    </font>
    <font>
      <b/>
      <sz val="14"/>
      <color theme="0"/>
      <name val="Verdana"/>
      <family val="2"/>
    </font>
    <font>
      <sz val="10"/>
      <color theme="0"/>
      <name val="Arial"/>
      <family val="2"/>
    </font>
    <font>
      <b/>
      <sz val="10"/>
      <color theme="0"/>
      <name val="Verdana"/>
      <family val="2"/>
    </font>
    <font>
      <b/>
      <sz val="12"/>
      <color theme="0"/>
      <name val="Verdana"/>
      <family val="2"/>
    </font>
    <font>
      <b/>
      <sz val="14"/>
      <color rgb="FF000000"/>
      <name val="Verdana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</fills>
  <borders count="8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rgb="FF666666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2" fillId="0" borderId="0" xfId="0" applyFont="1"/>
    <xf numFmtId="0" fontId="6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vertical="center"/>
    </xf>
    <xf numFmtId="0" fontId="21" fillId="0" borderId="18" xfId="0" applyFont="1" applyBorder="1" applyAlignment="1">
      <alignment readingOrder="1"/>
    </xf>
    <xf numFmtId="0" fontId="21" fillId="8" borderId="16" xfId="0" applyFont="1" applyFill="1" applyBorder="1" applyAlignment="1">
      <alignment readingOrder="1"/>
    </xf>
    <xf numFmtId="0" fontId="11" fillId="7" borderId="0" xfId="0" applyFont="1" applyFill="1" applyAlignment="1">
      <alignment vertical="center"/>
    </xf>
    <xf numFmtId="0" fontId="19" fillId="7" borderId="0" xfId="0" applyFont="1" applyFill="1"/>
    <xf numFmtId="0" fontId="0" fillId="0" borderId="0" xfId="0" applyAlignment="1">
      <alignment wrapText="1"/>
    </xf>
    <xf numFmtId="0" fontId="0" fillId="0" borderId="18" xfId="0" applyBorder="1"/>
    <xf numFmtId="0" fontId="0" fillId="0" borderId="20" xfId="0" applyBorder="1"/>
    <xf numFmtId="0" fontId="13" fillId="0" borderId="18" xfId="0" applyFont="1" applyBorder="1"/>
    <xf numFmtId="0" fontId="9" fillId="0" borderId="18" xfId="0" applyFont="1" applyBorder="1"/>
    <xf numFmtId="0" fontId="14" fillId="0" borderId="18" xfId="0" applyFont="1" applyBorder="1"/>
    <xf numFmtId="0" fontId="15" fillId="0" borderId="18" xfId="0" applyFont="1" applyBorder="1"/>
    <xf numFmtId="0" fontId="16" fillId="0" borderId="18" xfId="0" applyFont="1" applyBorder="1"/>
    <xf numFmtId="0" fontId="15" fillId="0" borderId="18" xfId="0" applyFont="1" applyBorder="1" applyAlignment="1">
      <alignment horizontal="center"/>
    </xf>
    <xf numFmtId="0" fontId="16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horizontal="right"/>
    </xf>
    <xf numFmtId="0" fontId="15" fillId="0" borderId="18" xfId="0" applyFont="1" applyBorder="1" applyAlignment="1">
      <alignment horizontal="right"/>
    </xf>
    <xf numFmtId="0" fontId="17" fillId="0" borderId="18" xfId="0" applyFont="1" applyBorder="1"/>
    <xf numFmtId="0" fontId="15" fillId="0" borderId="18" xfId="0" applyFont="1" applyBorder="1" applyAlignment="1">
      <alignment vertical="center" wrapText="1"/>
    </xf>
    <xf numFmtId="0" fontId="18" fillId="0" borderId="18" xfId="0" applyFont="1" applyBorder="1"/>
    <xf numFmtId="0" fontId="15" fillId="0" borderId="12" xfId="0" applyFont="1" applyBorder="1"/>
    <xf numFmtId="0" fontId="0" fillId="0" borderId="11" xfId="0" applyBorder="1"/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2" fillId="0" borderId="18" xfId="0" applyFont="1" applyBorder="1"/>
    <xf numFmtId="0" fontId="26" fillId="9" borderId="17" xfId="0" applyFont="1" applyFill="1" applyBorder="1" applyAlignment="1">
      <alignment horizontal="center" vertical="center" wrapText="1" readingOrder="1"/>
    </xf>
    <xf numFmtId="0" fontId="26" fillId="9" borderId="26" xfId="0" applyFont="1" applyFill="1" applyBorder="1" applyAlignment="1">
      <alignment horizontal="center" vertical="center" wrapText="1" readingOrder="1"/>
    </xf>
    <xf numFmtId="0" fontId="21" fillId="8" borderId="17" xfId="0" applyFont="1" applyFill="1" applyBorder="1" applyAlignment="1">
      <alignment vertical="center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1" fillId="0" borderId="18" xfId="0" applyFont="1" applyBorder="1" applyAlignment="1">
      <alignment horizontal="center" vertical="center" readingOrder="1"/>
    </xf>
    <xf numFmtId="0" fontId="21" fillId="8" borderId="34" xfId="0" applyFont="1" applyFill="1" applyBorder="1" applyAlignment="1">
      <alignment readingOrder="1"/>
    </xf>
    <xf numFmtId="0" fontId="21" fillId="8" borderId="18" xfId="0" applyFont="1" applyFill="1" applyBorder="1" applyAlignment="1">
      <alignment readingOrder="1"/>
    </xf>
    <xf numFmtId="0" fontId="21" fillId="8" borderId="35" xfId="0" applyFont="1" applyFill="1" applyBorder="1" applyAlignment="1">
      <alignment readingOrder="1"/>
    </xf>
    <xf numFmtId="0" fontId="21" fillId="0" borderId="34" xfId="0" applyFont="1" applyBorder="1" applyAlignment="1">
      <alignment horizontal="center" vertical="center" readingOrder="1"/>
    </xf>
    <xf numFmtId="0" fontId="21" fillId="0" borderId="35" xfId="0" applyFont="1" applyBorder="1" applyAlignment="1">
      <alignment horizontal="center" vertical="center" readingOrder="1"/>
    </xf>
    <xf numFmtId="0" fontId="21" fillId="0" borderId="36" xfId="0" applyFont="1" applyBorder="1" applyAlignment="1">
      <alignment vertical="center" readingOrder="1"/>
    </xf>
    <xf numFmtId="0" fontId="21" fillId="0" borderId="35" xfId="0" applyFont="1" applyBorder="1" applyAlignment="1">
      <alignment vertical="center" readingOrder="1"/>
    </xf>
    <xf numFmtId="0" fontId="21" fillId="0" borderId="36" xfId="0" applyFont="1" applyBorder="1" applyAlignment="1">
      <alignment horizontal="center" vertical="center" readingOrder="1"/>
    </xf>
    <xf numFmtId="0" fontId="21" fillId="0" borderId="34" xfId="0" applyFont="1" applyBorder="1" applyAlignment="1">
      <alignment readingOrder="1"/>
    </xf>
    <xf numFmtId="0" fontId="21" fillId="0" borderId="35" xfId="0" applyFont="1" applyBorder="1" applyAlignment="1">
      <alignment readingOrder="1"/>
    </xf>
    <xf numFmtId="0" fontId="21" fillId="0" borderId="34" xfId="0" applyFont="1" applyBorder="1" applyAlignment="1">
      <alignment vertical="center" readingOrder="1"/>
    </xf>
    <xf numFmtId="0" fontId="21" fillId="0" borderId="28" xfId="0" applyFont="1" applyBorder="1" applyAlignment="1">
      <alignment readingOrder="1"/>
    </xf>
    <xf numFmtId="0" fontId="21" fillId="0" borderId="29" xfId="0" applyFont="1" applyBorder="1" applyAlignment="1">
      <alignment readingOrder="1"/>
    </xf>
    <xf numFmtId="0" fontId="21" fillId="0" borderId="30" xfId="0" applyFont="1" applyBorder="1" applyAlignment="1">
      <alignment readingOrder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5" fillId="9" borderId="37" xfId="0" applyFont="1" applyFill="1" applyBorder="1" applyAlignment="1">
      <alignment vertical="center" wrapText="1" readingOrder="1"/>
    </xf>
    <xf numFmtId="0" fontId="21" fillId="0" borderId="21" xfId="0" applyFont="1" applyBorder="1" applyAlignment="1">
      <alignment horizontal="center" vertical="center" readingOrder="1"/>
    </xf>
    <xf numFmtId="0" fontId="25" fillId="9" borderId="21" xfId="0" applyFont="1" applyFill="1" applyBorder="1" applyAlignment="1">
      <alignment vertical="center" wrapText="1" readingOrder="1"/>
    </xf>
    <xf numFmtId="0" fontId="25" fillId="9" borderId="38" xfId="0" applyFont="1" applyFill="1" applyBorder="1" applyAlignment="1">
      <alignment vertical="center" wrapText="1" readingOrder="1"/>
    </xf>
    <xf numFmtId="0" fontId="21" fillId="8" borderId="40" xfId="0" applyFont="1" applyFill="1" applyBorder="1" applyAlignment="1">
      <alignment horizontal="center" vertical="center" readingOrder="1"/>
    </xf>
    <xf numFmtId="0" fontId="26" fillId="9" borderId="41" xfId="0" applyFont="1" applyFill="1" applyBorder="1" applyAlignment="1">
      <alignment horizontal="center" vertical="center" wrapText="1" readingOrder="1"/>
    </xf>
    <xf numFmtId="0" fontId="21" fillId="8" borderId="42" xfId="0" applyFont="1" applyFill="1" applyBorder="1" applyAlignment="1">
      <alignment horizontal="center" vertical="center" readingOrder="1"/>
    </xf>
    <xf numFmtId="0" fontId="26" fillId="9" borderId="31" xfId="0" applyFont="1" applyFill="1" applyBorder="1" applyAlignment="1">
      <alignment horizontal="center" vertical="center" wrapText="1" readingOrder="1"/>
    </xf>
    <xf numFmtId="0" fontId="21" fillId="8" borderId="24" xfId="0" applyFont="1" applyFill="1" applyBorder="1" applyAlignment="1">
      <alignment horizontal="center" vertical="center" readingOrder="1"/>
    </xf>
    <xf numFmtId="0" fontId="21" fillId="8" borderId="34" xfId="0" applyFont="1" applyFill="1" applyBorder="1" applyAlignment="1">
      <alignment horizontal="center" vertical="center" readingOrder="1"/>
    </xf>
    <xf numFmtId="0" fontId="21" fillId="8" borderId="41" xfId="0" applyFont="1" applyFill="1" applyBorder="1" applyAlignment="1">
      <alignment horizontal="center" vertical="center" readingOrder="1"/>
    </xf>
    <xf numFmtId="0" fontId="26" fillId="9" borderId="40" xfId="0" applyFont="1" applyFill="1" applyBorder="1" applyAlignment="1">
      <alignment horizontal="center" vertical="center" wrapText="1" readingOrder="1"/>
    </xf>
    <xf numFmtId="0" fontId="21" fillId="8" borderId="43" xfId="0" applyFont="1" applyFill="1" applyBorder="1" applyAlignment="1">
      <alignment horizontal="center" vertical="center" readingOrder="1"/>
    </xf>
    <xf numFmtId="0" fontId="21" fillId="8" borderId="27" xfId="0" applyFont="1" applyFill="1" applyBorder="1" applyAlignment="1">
      <alignment vertical="center" readingOrder="1"/>
    </xf>
    <xf numFmtId="0" fontId="21" fillId="8" borderId="40" xfId="0" applyFont="1" applyFill="1" applyBorder="1" applyAlignment="1">
      <alignment vertical="center" readingOrder="1"/>
    </xf>
    <xf numFmtId="0" fontId="21" fillId="8" borderId="24" xfId="0" applyFont="1" applyFill="1" applyBorder="1" applyAlignment="1">
      <alignment vertical="center" readingOrder="1"/>
    </xf>
    <xf numFmtId="0" fontId="21" fillId="8" borderId="41" xfId="0" applyFont="1" applyFill="1" applyBorder="1" applyAlignment="1">
      <alignment vertical="center" readingOrder="1"/>
    </xf>
    <xf numFmtId="0" fontId="21" fillId="8" borderId="31" xfId="0" applyFont="1" applyFill="1" applyBorder="1" applyAlignment="1">
      <alignment vertical="center" readingOrder="1"/>
    </xf>
    <xf numFmtId="0" fontId="21" fillId="8" borderId="18" xfId="0" applyFont="1" applyFill="1" applyBorder="1" applyAlignment="1">
      <alignment vertical="center" readingOrder="1"/>
    </xf>
    <xf numFmtId="0" fontId="25" fillId="9" borderId="44" xfId="0" applyFont="1" applyFill="1" applyBorder="1" applyAlignment="1">
      <alignment vertical="center" wrapText="1" readingOrder="1"/>
    </xf>
    <xf numFmtId="0" fontId="25" fillId="9" borderId="34" xfId="0" applyFont="1" applyFill="1" applyBorder="1" applyAlignment="1">
      <alignment vertical="center" wrapText="1" readingOrder="1"/>
    </xf>
    <xf numFmtId="0" fontId="25" fillId="9" borderId="45" xfId="0" applyFont="1" applyFill="1" applyBorder="1" applyAlignment="1">
      <alignment vertical="center" wrapText="1" readingOrder="1"/>
    </xf>
    <xf numFmtId="0" fontId="25" fillId="9" borderId="46" xfId="0" applyFont="1" applyFill="1" applyBorder="1" applyAlignment="1">
      <alignment vertical="center" wrapText="1" readingOrder="1"/>
    </xf>
    <xf numFmtId="0" fontId="20" fillId="0" borderId="50" xfId="0" applyFont="1" applyBorder="1" applyAlignment="1">
      <alignment horizontal="left" vertical="center" wrapText="1" readingOrder="1"/>
    </xf>
    <xf numFmtId="0" fontId="21" fillId="0" borderId="51" xfId="0" applyFont="1" applyBorder="1" applyAlignment="1">
      <alignment horizontal="left" vertical="center" readingOrder="1"/>
    </xf>
    <xf numFmtId="0" fontId="20" fillId="0" borderId="51" xfId="0" applyFont="1" applyBorder="1" applyAlignment="1">
      <alignment horizontal="left" vertical="center" wrapText="1" readingOrder="1"/>
    </xf>
    <xf numFmtId="0" fontId="20" fillId="0" borderId="53" xfId="0" applyFont="1" applyBorder="1" applyAlignment="1">
      <alignment horizontal="left" vertical="center" wrapText="1" readingOrder="1"/>
    </xf>
    <xf numFmtId="0" fontId="21" fillId="0" borderId="54" xfId="0" applyFont="1" applyBorder="1" applyAlignment="1">
      <alignment horizontal="left" vertical="center" readingOrder="1"/>
    </xf>
    <xf numFmtId="0" fontId="20" fillId="0" borderId="54" xfId="0" applyFont="1" applyBorder="1" applyAlignment="1">
      <alignment horizontal="left" vertical="center" wrapText="1" readingOrder="1"/>
    </xf>
    <xf numFmtId="0" fontId="20" fillId="0" borderId="56" xfId="0" applyFont="1" applyBorder="1" applyAlignment="1">
      <alignment horizontal="left" vertical="center" wrapText="1" readingOrder="1"/>
    </xf>
    <xf numFmtId="0" fontId="21" fillId="0" borderId="57" xfId="0" applyFont="1" applyBorder="1" applyAlignment="1">
      <alignment horizontal="left" vertical="center" readingOrder="1"/>
    </xf>
    <xf numFmtId="0" fontId="20" fillId="0" borderId="57" xfId="0" applyFont="1" applyBorder="1" applyAlignment="1">
      <alignment horizontal="left" vertical="center" wrapText="1" readingOrder="1"/>
    </xf>
    <xf numFmtId="0" fontId="20" fillId="0" borderId="59" xfId="0" applyFont="1" applyBorder="1" applyAlignment="1">
      <alignment horizontal="left" vertical="center" wrapText="1" readingOrder="1"/>
    </xf>
    <xf numFmtId="0" fontId="21" fillId="8" borderId="20" xfId="0" applyFont="1" applyFill="1" applyBorder="1" applyAlignment="1">
      <alignment horizontal="center" vertical="center" readingOrder="1"/>
    </xf>
    <xf numFmtId="0" fontId="6" fillId="0" borderId="18" xfId="0" applyFont="1" applyBorder="1"/>
    <xf numFmtId="0" fontId="2" fillId="0" borderId="18" xfId="0" applyFont="1" applyBorder="1" applyAlignment="1">
      <alignment vertical="center"/>
    </xf>
    <xf numFmtId="0" fontId="6" fillId="0" borderId="18" xfId="0" applyFont="1" applyBorder="1" applyAlignment="1">
      <alignment wrapText="1"/>
    </xf>
    <xf numFmtId="0" fontId="28" fillId="9" borderId="40" xfId="0" applyFont="1" applyFill="1" applyBorder="1" applyAlignment="1">
      <alignment horizontal="left" vertical="center" wrapText="1"/>
    </xf>
    <xf numFmtId="0" fontId="28" fillId="9" borderId="39" xfId="0" applyFont="1" applyFill="1" applyBorder="1" applyAlignment="1">
      <alignment horizontal="left" vertical="center" wrapText="1"/>
    </xf>
    <xf numFmtId="0" fontId="28" fillId="9" borderId="67" xfId="0" applyFont="1" applyFill="1" applyBorder="1" applyAlignment="1">
      <alignment horizontal="left" vertical="center" wrapText="1"/>
    </xf>
    <xf numFmtId="0" fontId="28" fillId="9" borderId="46" xfId="0" applyFont="1" applyFill="1" applyBorder="1" applyAlignment="1">
      <alignment horizontal="left" vertical="center" wrapText="1"/>
    </xf>
    <xf numFmtId="0" fontId="0" fillId="0" borderId="40" xfId="0" applyBorder="1"/>
    <xf numFmtId="0" fontId="28" fillId="9" borderId="28" xfId="0" applyFont="1" applyFill="1" applyBorder="1" applyAlignment="1">
      <alignment horizontal="left" vertical="center" wrapText="1"/>
    </xf>
    <xf numFmtId="0" fontId="28" fillId="9" borderId="73" xfId="0" applyFont="1" applyFill="1" applyBorder="1" applyAlignment="1">
      <alignment horizontal="left" vertical="center" wrapText="1"/>
    </xf>
    <xf numFmtId="0" fontId="28" fillId="9" borderId="29" xfId="0" applyFont="1" applyFill="1" applyBorder="1" applyAlignment="1">
      <alignment vertical="center" wrapText="1"/>
    </xf>
    <xf numFmtId="0" fontId="28" fillId="9" borderId="45" xfId="0" applyFont="1" applyFill="1" applyBorder="1" applyAlignment="1">
      <alignment horizontal="left" vertical="center" wrapText="1"/>
    </xf>
    <xf numFmtId="0" fontId="30" fillId="9" borderId="34" xfId="0" applyFont="1" applyFill="1" applyBorder="1" applyAlignment="1">
      <alignment horizontal="left" vertical="center" wrapText="1"/>
    </xf>
    <xf numFmtId="0" fontId="28" fillId="9" borderId="34" xfId="0" applyFont="1" applyFill="1" applyBorder="1" applyAlignment="1">
      <alignment horizontal="left" vertical="center" wrapText="1"/>
    </xf>
    <xf numFmtId="0" fontId="28" fillId="9" borderId="72" xfId="0" applyFont="1" applyFill="1" applyBorder="1" applyAlignment="1">
      <alignment horizontal="left" vertical="center" wrapText="1"/>
    </xf>
    <xf numFmtId="0" fontId="28" fillId="9" borderId="31" xfId="0" applyFont="1" applyFill="1" applyBorder="1" applyAlignment="1">
      <alignment horizontal="left" vertical="center" wrapText="1"/>
    </xf>
    <xf numFmtId="0" fontId="28" fillId="9" borderId="23" xfId="0" applyFont="1" applyFill="1" applyBorder="1" applyAlignment="1">
      <alignment horizontal="left" vertical="center" wrapText="1"/>
    </xf>
    <xf numFmtId="0" fontId="28" fillId="9" borderId="3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35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7" fillId="11" borderId="8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4" fontId="2" fillId="2" borderId="1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" fontId="2" fillId="2" borderId="13" xfId="0" applyNumberFormat="1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0" fontId="16" fillId="7" borderId="18" xfId="0" applyFont="1" applyFill="1" applyBorder="1"/>
    <xf numFmtId="0" fontId="10" fillId="0" borderId="18" xfId="0" applyFont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1" fillId="7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7" fillId="0" borderId="6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0" borderId="40" xfId="0" applyFont="1" applyBorder="1" applyAlignment="1">
      <alignment vertical="center"/>
    </xf>
    <xf numFmtId="0" fontId="38" fillId="0" borderId="40" xfId="0" applyFont="1" applyBorder="1" applyAlignment="1">
      <alignment vertical="center" wrapText="1"/>
    </xf>
    <xf numFmtId="0" fontId="39" fillId="0" borderId="40" xfId="0" applyFont="1" applyBorder="1" applyAlignment="1">
      <alignment wrapText="1"/>
    </xf>
    <xf numFmtId="49" fontId="2" fillId="2" borderId="40" xfId="0" applyNumberFormat="1" applyFont="1" applyFill="1" applyBorder="1" applyAlignment="1">
      <alignment horizontal="left" vertical="center" wrapText="1"/>
    </xf>
    <xf numFmtId="0" fontId="5" fillId="0" borderId="40" xfId="0" applyFont="1" applyBorder="1" applyAlignment="1">
      <alignment wrapText="1"/>
    </xf>
    <xf numFmtId="0" fontId="28" fillId="9" borderId="7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/>
    </xf>
    <xf numFmtId="49" fontId="8" fillId="2" borderId="40" xfId="0" applyNumberFormat="1" applyFont="1" applyFill="1" applyBorder="1" applyAlignment="1">
      <alignment horizontal="left" vertical="center" wrapText="1"/>
    </xf>
    <xf numFmtId="0" fontId="28" fillId="9" borderId="3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 wrapText="1"/>
    </xf>
    <xf numFmtId="14" fontId="7" fillId="0" borderId="28" xfId="0" applyNumberFormat="1" applyFont="1" applyBorder="1" applyAlignment="1">
      <alignment horizontal="left" vertical="center" wrapText="1"/>
    </xf>
    <xf numFmtId="0" fontId="32" fillId="11" borderId="8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9" fontId="36" fillId="2" borderId="6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1" fillId="11" borderId="6" xfId="0" applyFont="1" applyFill="1" applyBorder="1" applyAlignment="1">
      <alignment horizontal="center" vertical="center" wrapText="1"/>
    </xf>
    <xf numFmtId="0" fontId="32" fillId="11" borderId="6" xfId="0" applyFont="1" applyFill="1" applyBorder="1" applyAlignment="1">
      <alignment horizontal="left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9" borderId="19" xfId="0" applyFont="1" applyFill="1" applyBorder="1" applyAlignment="1">
      <alignment horizontal="center" vertical="center"/>
    </xf>
    <xf numFmtId="0" fontId="23" fillId="9" borderId="18" xfId="0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/>
    </xf>
    <xf numFmtId="0" fontId="27" fillId="7" borderId="18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readingOrder="1"/>
    </xf>
    <xf numFmtId="0" fontId="21" fillId="0" borderId="25" xfId="0" applyFont="1" applyBorder="1" applyAlignment="1">
      <alignment readingOrder="1"/>
    </xf>
    <xf numFmtId="0" fontId="21" fillId="0" borderId="26" xfId="0" applyFont="1" applyBorder="1" applyAlignment="1">
      <alignment readingOrder="1"/>
    </xf>
    <xf numFmtId="0" fontId="25" fillId="9" borderId="31" xfId="0" applyFont="1" applyFill="1" applyBorder="1" applyAlignment="1">
      <alignment horizontal="center" vertical="center" wrapText="1" readingOrder="1"/>
    </xf>
    <xf numFmtId="0" fontId="25" fillId="9" borderId="32" xfId="0" applyFont="1" applyFill="1" applyBorder="1" applyAlignment="1">
      <alignment horizontal="center" vertical="center" wrapText="1" readingOrder="1"/>
    </xf>
    <xf numFmtId="0" fontId="25" fillId="9" borderId="35" xfId="0" applyFont="1" applyFill="1" applyBorder="1" applyAlignment="1">
      <alignment horizontal="center" vertical="center" wrapText="1" readingOrder="1"/>
    </xf>
    <xf numFmtId="0" fontId="21" fillId="8" borderId="4" xfId="0" applyFont="1" applyFill="1" applyBorder="1" applyAlignment="1">
      <alignment horizontal="center" vertical="center" readingOrder="1"/>
    </xf>
    <xf numFmtId="0" fontId="21" fillId="8" borderId="2" xfId="0" applyFont="1" applyFill="1" applyBorder="1" applyAlignment="1">
      <alignment horizontal="center" vertical="center" readingOrder="1"/>
    </xf>
    <xf numFmtId="0" fontId="25" fillId="9" borderId="63" xfId="0" applyFont="1" applyFill="1" applyBorder="1" applyAlignment="1">
      <alignment horizontal="left" vertical="center" wrapText="1" readingOrder="1"/>
    </xf>
    <xf numFmtId="0" fontId="25" fillId="9" borderId="64" xfId="0" applyFont="1" applyFill="1" applyBorder="1" applyAlignment="1">
      <alignment horizontal="left" vertical="center" wrapText="1" readingOrder="1"/>
    </xf>
    <xf numFmtId="0" fontId="25" fillId="9" borderId="22" xfId="0" applyFont="1" applyFill="1" applyBorder="1" applyAlignment="1">
      <alignment horizontal="center" vertical="center" wrapText="1" readingOrder="1"/>
    </xf>
    <xf numFmtId="0" fontId="25" fillId="9" borderId="14" xfId="0" applyFont="1" applyFill="1" applyBorder="1" applyAlignment="1">
      <alignment horizontal="center" vertical="center" wrapText="1" readingOrder="1"/>
    </xf>
    <xf numFmtId="0" fontId="25" fillId="9" borderId="15" xfId="0" applyFont="1" applyFill="1" applyBorder="1" applyAlignment="1">
      <alignment horizontal="center" vertical="center" wrapText="1" readingOrder="1"/>
    </xf>
    <xf numFmtId="0" fontId="25" fillId="9" borderId="33" xfId="0" applyFont="1" applyFill="1" applyBorder="1" applyAlignment="1">
      <alignment horizontal="center" vertical="center" wrapText="1" readingOrder="1"/>
    </xf>
    <xf numFmtId="0" fontId="21" fillId="0" borderId="60" xfId="0" applyFont="1" applyBorder="1" applyAlignment="1">
      <alignment horizontal="left" vertical="center" readingOrder="1"/>
    </xf>
    <xf numFmtId="0" fontId="21" fillId="0" borderId="61" xfId="0" applyFont="1" applyBorder="1" applyAlignment="1">
      <alignment horizontal="left" vertical="center" readingOrder="1"/>
    </xf>
    <xf numFmtId="0" fontId="21" fillId="0" borderId="54" xfId="0" applyFont="1" applyBorder="1" applyAlignment="1">
      <alignment horizontal="left" vertical="center" readingOrder="1"/>
    </xf>
    <xf numFmtId="0" fontId="21" fillId="0" borderId="55" xfId="0" applyFont="1" applyBorder="1" applyAlignment="1">
      <alignment horizontal="left" vertical="center" readingOrder="1"/>
    </xf>
    <xf numFmtId="0" fontId="21" fillId="0" borderId="57" xfId="0" applyFont="1" applyBorder="1" applyAlignment="1">
      <alignment horizontal="left" vertical="center" readingOrder="1"/>
    </xf>
    <xf numFmtId="0" fontId="21" fillId="0" borderId="58" xfId="0" applyFont="1" applyBorder="1" applyAlignment="1">
      <alignment horizontal="left" vertical="center" readingOrder="1"/>
    </xf>
    <xf numFmtId="0" fontId="25" fillId="9" borderId="4" xfId="0" applyFont="1" applyFill="1" applyBorder="1" applyAlignment="1">
      <alignment horizontal="center" vertical="center" wrapText="1" readingOrder="1"/>
    </xf>
    <xf numFmtId="0" fontId="25" fillId="9" borderId="1" xfId="0" applyFont="1" applyFill="1" applyBorder="1" applyAlignment="1">
      <alignment horizontal="center" vertical="center" wrapText="1" readingOrder="1"/>
    </xf>
    <xf numFmtId="0" fontId="25" fillId="9" borderId="2" xfId="0" applyFont="1" applyFill="1" applyBorder="1" applyAlignment="1">
      <alignment horizontal="center" vertical="center" wrapText="1" readingOrder="1"/>
    </xf>
    <xf numFmtId="0" fontId="21" fillId="0" borderId="51" xfId="0" applyFont="1" applyBorder="1" applyAlignment="1">
      <alignment horizontal="left" vertical="center" readingOrder="1"/>
    </xf>
    <xf numFmtId="0" fontId="21" fillId="0" borderId="52" xfId="0" applyFont="1" applyBorder="1" applyAlignment="1">
      <alignment horizontal="left" vertical="center" readingOrder="1"/>
    </xf>
    <xf numFmtId="0" fontId="12" fillId="9" borderId="47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horizontal="center" wrapText="1" readingOrder="1"/>
    </xf>
    <xf numFmtId="0" fontId="25" fillId="9" borderId="12" xfId="0" applyFont="1" applyFill="1" applyBorder="1" applyAlignment="1">
      <alignment horizontal="center" wrapText="1" readingOrder="1"/>
    </xf>
    <xf numFmtId="0" fontId="25" fillId="9" borderId="11" xfId="0" applyFont="1" applyFill="1" applyBorder="1" applyAlignment="1">
      <alignment horizontal="center" wrapText="1" readingOrder="1"/>
    </xf>
    <xf numFmtId="0" fontId="5" fillId="0" borderId="1" xfId="0" applyFont="1" applyBorder="1" applyAlignment="1"/>
    <xf numFmtId="0" fontId="5" fillId="0" borderId="2" xfId="0" applyFont="1" applyBorder="1" applyAlignment="1"/>
    <xf numFmtId="0" fontId="5" fillId="0" borderId="68" xfId="0" applyFont="1" applyBorder="1" applyAlignment="1"/>
    <xf numFmtId="0" fontId="5" fillId="0" borderId="32" xfId="0" applyFont="1" applyBorder="1" applyAlignment="1"/>
    <xf numFmtId="0" fontId="5" fillId="0" borderId="69" xfId="0" applyFont="1" applyBorder="1" applyAlignment="1"/>
    <xf numFmtId="0" fontId="5" fillId="0" borderId="70" xfId="0" applyFont="1" applyBorder="1" applyAlignment="1"/>
    <xf numFmtId="0" fontId="5" fillId="0" borderId="65" xfId="0" applyFont="1" applyBorder="1" applyAlignment="1"/>
    <xf numFmtId="0" fontId="5" fillId="0" borderId="29" xfId="0" applyFont="1" applyBorder="1" applyAlignment="1"/>
    <xf numFmtId="0" fontId="5" fillId="0" borderId="66" xfId="0" applyFont="1" applyBorder="1" applyAlignment="1"/>
    <xf numFmtId="0" fontId="5" fillId="0" borderId="40" xfId="0" applyFont="1" applyBorder="1" applyAlignment="1"/>
    <xf numFmtId="0" fontId="24" fillId="9" borderId="71" xfId="0" applyFont="1" applyFill="1" applyBorder="1" applyAlignment="1"/>
    <xf numFmtId="0" fontId="24" fillId="9" borderId="75" xfId="0" applyFont="1" applyFill="1" applyBorder="1" applyAlignment="1"/>
    <xf numFmtId="0" fontId="5" fillId="0" borderId="27" xfId="0" applyFont="1" applyBorder="1" applyAlignment="1"/>
    <xf numFmtId="0" fontId="24" fillId="9" borderId="18" xfId="0" applyFont="1" applyFill="1" applyBorder="1" applyAlignment="1"/>
    <xf numFmtId="0" fontId="24" fillId="9" borderId="35" xfId="0" applyFont="1" applyFill="1" applyBorder="1" applyAlignment="1"/>
    <xf numFmtId="0" fontId="24" fillId="9" borderId="32" xfId="0" applyFont="1" applyFill="1" applyBorder="1" applyAlignment="1"/>
    <xf numFmtId="0" fontId="24" fillId="9" borderId="33" xfId="0" applyFont="1" applyFill="1" applyBorder="1" applyAlignment="1"/>
    <xf numFmtId="0" fontId="5" fillId="0" borderId="25" xfId="0" applyFont="1" applyBorder="1" applyAlignment="1"/>
    <xf numFmtId="0" fontId="5" fillId="0" borderId="26" xfId="0" applyFont="1" applyBorder="1" applyAlignment="1"/>
    <xf numFmtId="0" fontId="5" fillId="0" borderId="30" xfId="0" applyFont="1" applyBorder="1" applyAlignment="1"/>
    <xf numFmtId="0" fontId="6" fillId="0" borderId="0" xfId="0" applyFont="1" applyAlignment="1"/>
    <xf numFmtId="0" fontId="0" fillId="0" borderId="18" xfId="0" applyBorder="1" applyAlignment="1"/>
    <xf numFmtId="0" fontId="0" fillId="0" borderId="0" xfId="0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78" xfId="0" applyFont="1" applyBorder="1" applyAlignment="1"/>
    <xf numFmtId="0" fontId="5" fillId="0" borderId="79" xfId="0" applyFont="1" applyBorder="1" applyAlignment="1"/>
    <xf numFmtId="0" fontId="5" fillId="0" borderId="80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81" xfId="0" applyFont="1" applyBorder="1" applyAlignment="1"/>
    <xf numFmtId="0" fontId="5" fillId="0" borderId="0" xfId="0" applyFont="1" applyAlignment="1"/>
    <xf numFmtId="0" fontId="1" fillId="7" borderId="19" xfId="0" applyFont="1" applyFill="1" applyBorder="1"/>
    <xf numFmtId="0" fontId="20" fillId="10" borderId="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/>
    <xf numFmtId="0" fontId="6" fillId="10" borderId="7" xfId="0" applyFont="1" applyFill="1" applyBorder="1" applyAlignment="1"/>
    <xf numFmtId="0" fontId="6" fillId="10" borderId="10" xfId="0" applyFont="1" applyFill="1" applyBorder="1" applyAlignment="1"/>
    <xf numFmtId="0" fontId="6" fillId="10" borderId="12" xfId="0" applyFont="1" applyFill="1" applyBorder="1" applyAlignment="1"/>
    <xf numFmtId="0" fontId="6" fillId="10" borderId="11" xfId="0" applyFont="1" applyFill="1" applyBorder="1" applyAlignment="1"/>
    <xf numFmtId="0" fontId="6" fillId="0" borderId="18" xfId="0" applyFont="1" applyBorder="1" applyAlignment="1"/>
    <xf numFmtId="0" fontId="6" fillId="10" borderId="19" xfId="0" applyFont="1" applyFill="1" applyBorder="1" applyAlignment="1"/>
    <xf numFmtId="0" fontId="0" fillId="10" borderId="18" xfId="0" applyFill="1" applyBorder="1" applyAlignment="1"/>
    <xf numFmtId="0" fontId="6" fillId="10" borderId="20" xfId="0" applyFont="1" applyFill="1" applyBorder="1" applyAlignment="1"/>
    <xf numFmtId="0" fontId="20" fillId="12" borderId="6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/>
    <xf numFmtId="0" fontId="6" fillId="12" borderId="7" xfId="0" applyFont="1" applyFill="1" applyBorder="1" applyAlignment="1"/>
    <xf numFmtId="0" fontId="6" fillId="12" borderId="10" xfId="0" applyFont="1" applyFill="1" applyBorder="1" applyAlignment="1"/>
    <xf numFmtId="0" fontId="6" fillId="12" borderId="12" xfId="0" applyFont="1" applyFill="1" applyBorder="1" applyAlignment="1"/>
    <xf numFmtId="0" fontId="6" fillId="12" borderId="11" xfId="0" applyFont="1" applyFill="1" applyBorder="1" applyAlignment="1"/>
    <xf numFmtId="0" fontId="1" fillId="7" borderId="10" xfId="0" applyFont="1" applyFill="1" applyBorder="1"/>
    <xf numFmtId="0" fontId="23" fillId="9" borderId="62" xfId="0" applyFont="1" applyFill="1" applyBorder="1" applyAlignment="1">
      <alignment horizontal="center" vertical="center" readingOrder="1"/>
    </xf>
    <xf numFmtId="0" fontId="23" fillId="9" borderId="32" xfId="0" applyFont="1" applyFill="1" applyBorder="1" applyAlignment="1">
      <alignment horizontal="center" vertical="center" readingOrder="1"/>
    </xf>
    <xf numFmtId="0" fontId="23" fillId="9" borderId="33" xfId="0" applyFont="1" applyFill="1" applyBorder="1" applyAlignment="1">
      <alignment horizontal="center" vertical="center" readingOrder="1"/>
    </xf>
    <xf numFmtId="0" fontId="23" fillId="9" borderId="19" xfId="0" applyFont="1" applyFill="1" applyBorder="1" applyAlignment="1">
      <alignment horizontal="center" vertical="center" readingOrder="1"/>
    </xf>
    <xf numFmtId="0" fontId="23" fillId="9" borderId="18" xfId="0" applyFont="1" applyFill="1" applyBorder="1" applyAlignment="1">
      <alignment horizontal="center" vertical="center" readingOrder="1"/>
    </xf>
    <xf numFmtId="0" fontId="23" fillId="9" borderId="35" xfId="0" applyFont="1" applyFill="1" applyBorder="1" applyAlignment="1">
      <alignment horizontal="center" vertical="center" readingOrder="1"/>
    </xf>
    <xf numFmtId="0" fontId="5" fillId="9" borderId="48" xfId="0" applyFont="1" applyFill="1" applyBorder="1" applyAlignment="1"/>
    <xf numFmtId="0" fontId="5" fillId="9" borderId="49" xfId="0" applyFont="1" applyFill="1" applyBorder="1" applyAlignment="1"/>
    <xf numFmtId="0" fontId="25" fillId="9" borderId="8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0" fontId="20" fillId="0" borderId="3" xfId="0" applyNumberFormat="1" applyFont="1" applyBorder="1" applyAlignment="1">
      <alignment horizontal="center" vertical="center"/>
    </xf>
    <xf numFmtId="10" fontId="20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DBE5F1"/>
      </font>
      <fill>
        <patternFill patternType="solid">
          <fgColor rgb="FFDBE5F1"/>
          <bgColor rgb="FFDBE5F1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161925</xdr:rowOff>
    </xdr:from>
    <xdr:to>
      <xdr:col>1</xdr:col>
      <xdr:colOff>1495425</xdr:colOff>
      <xdr:row>1</xdr:row>
      <xdr:rowOff>523875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95679-6DCB-E570-3F20-6A37825836B6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19075"/>
          <a:ext cx="1476375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19050</xdr:rowOff>
    </xdr:from>
    <xdr:to>
      <xdr:col>2</xdr:col>
      <xdr:colOff>523875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AF859-AB32-4051-8173-D983B10ED88A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80975"/>
          <a:ext cx="885825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18</xdr:row>
      <xdr:rowOff>-19050</xdr:rowOff>
    </xdr:from>
    <xdr:ext cx="122205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52450" y="3829050"/>
          <a:ext cx="12220575" cy="38100"/>
          <a:chOff x="0" y="3780000"/>
          <a:chExt cx="10692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-9525</xdr:colOff>
      <xdr:row>6</xdr:row>
      <xdr:rowOff>-9525</xdr:rowOff>
    </xdr:from>
    <xdr:ext cx="1952625" cy="2533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8696325" y="1323975"/>
          <a:ext cx="1952625" cy="2533650"/>
          <a:chOff x="4379213" y="2522700"/>
          <a:chExt cx="1933575" cy="2514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276225</xdr:colOff>
      <xdr:row>18</xdr:row>
      <xdr:rowOff>-9525</xdr:rowOff>
    </xdr:from>
    <xdr:ext cx="1952625" cy="2943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2219325" y="3838575"/>
          <a:ext cx="1952625" cy="2943225"/>
          <a:chOff x="4379213" y="2317913"/>
          <a:chExt cx="1933575" cy="292417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-9525</xdr:colOff>
      <xdr:row>18</xdr:row>
      <xdr:rowOff>-9525</xdr:rowOff>
    </xdr:from>
    <xdr:ext cx="1952625" cy="29432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5305425" y="3838575"/>
          <a:ext cx="1952625" cy="2943225"/>
          <a:chOff x="4379213" y="2317913"/>
          <a:chExt cx="1933575" cy="2924175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-9525</xdr:colOff>
      <xdr:row>18</xdr:row>
      <xdr:rowOff>-9525</xdr:rowOff>
    </xdr:from>
    <xdr:ext cx="1952625" cy="29432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8696325" y="3838575"/>
          <a:ext cx="1952625" cy="2943225"/>
          <a:chOff x="4379213" y="2317913"/>
          <a:chExt cx="1933575" cy="2924175"/>
        </a:xfrm>
      </xdr:grpSpPr>
      <xdr:cxnSp macro="">
        <xdr:nvCxnSpPr>
          <xdr:cNvPr id="11" name="Shape 5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34</xdr:col>
      <xdr:colOff>0</xdr:colOff>
      <xdr:row>7</xdr:row>
      <xdr:rowOff>-9525</xdr:rowOff>
    </xdr:from>
    <xdr:ext cx="876300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8048625" y="1533525"/>
          <a:ext cx="876300" cy="38100"/>
          <a:chOff x="4907850" y="3780000"/>
          <a:chExt cx="876300" cy="0"/>
        </a:xfrm>
      </xdr:grpSpPr>
      <xdr:cxnSp macro="">
        <xdr:nvCxnSpPr>
          <xdr:cNvPr id="13" name="Shape 6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20</xdr:col>
      <xdr:colOff>28575</xdr:colOff>
      <xdr:row>7</xdr:row>
      <xdr:rowOff>9525</xdr:rowOff>
    </xdr:from>
    <xdr:ext cx="9715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4629150" y="1552575"/>
          <a:ext cx="971550" cy="38100"/>
          <a:chOff x="4860225" y="3780000"/>
          <a:chExt cx="971550" cy="0"/>
        </a:xfrm>
      </xdr:grpSpPr>
      <xdr:cxnSp macro="">
        <xdr:nvCxnSpPr>
          <xdr:cNvPr id="15" name="Shape 7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0</xdr:colOff>
      <xdr:row>10</xdr:row>
      <xdr:rowOff>-19050</xdr:rowOff>
    </xdr:from>
    <xdr:ext cx="923925" cy="381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5076825" y="2152650"/>
          <a:ext cx="923925" cy="38100"/>
          <a:chOff x="4884038" y="3780000"/>
          <a:chExt cx="923925" cy="0"/>
        </a:xfrm>
      </xdr:grpSpPr>
      <xdr:cxnSp macro="">
        <xdr:nvCxnSpPr>
          <xdr:cNvPr id="17" name="Shape 8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4884038" y="3780000"/>
            <a:ext cx="9239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13</xdr:row>
      <xdr:rowOff>-9525</xdr:rowOff>
    </xdr:from>
    <xdr:ext cx="857250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553075" y="2790825"/>
          <a:ext cx="857250" cy="38100"/>
          <a:chOff x="4917375" y="3780000"/>
          <a:chExt cx="857250" cy="0"/>
        </a:xfrm>
      </xdr:grpSpPr>
      <xdr:cxnSp macro="">
        <xdr:nvCxnSpPr>
          <xdr:cNvPr id="19" name="Shape 9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15</xdr:row>
      <xdr:rowOff>161925</xdr:rowOff>
    </xdr:from>
    <xdr:ext cx="1066800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5791200" y="3381375"/>
          <a:ext cx="1066800" cy="38100"/>
          <a:chOff x="4812600" y="3780000"/>
          <a:chExt cx="1066800" cy="0"/>
        </a:xfrm>
      </xdr:grpSpPr>
      <xdr:cxnSp macro="">
        <xdr:nvCxnSpPr>
          <xdr:cNvPr id="21" name="Shape 1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/>
        </xdr:nvCxnSpPr>
        <xdr:spPr>
          <a:xfrm>
            <a:off x="4812600" y="3780000"/>
            <a:ext cx="1066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10</xdr:row>
      <xdr:rowOff>-9525</xdr:rowOff>
    </xdr:from>
    <xdr:ext cx="609600" cy="381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/>
      </xdr:nvGrpSpPr>
      <xdr:grpSpPr>
        <a:xfrm>
          <a:off x="8705850" y="2162175"/>
          <a:ext cx="609600" cy="38100"/>
          <a:chOff x="5041200" y="3780000"/>
          <a:chExt cx="609600" cy="0"/>
        </a:xfrm>
      </xdr:grpSpPr>
      <xdr:cxnSp macro="">
        <xdr:nvCxnSpPr>
          <xdr:cNvPr id="23" name="Shape 11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13</xdr:row>
      <xdr:rowOff>-19050</xdr:rowOff>
    </xdr:from>
    <xdr:ext cx="581025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9182100" y="2781300"/>
          <a:ext cx="581025" cy="38100"/>
          <a:chOff x="5055488" y="3780000"/>
          <a:chExt cx="581025" cy="0"/>
        </a:xfrm>
      </xdr:grpSpPr>
      <xdr:cxnSp macro="">
        <xdr:nvCxnSpPr>
          <xdr:cNvPr id="25" name="Shape 12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16</xdr:row>
      <xdr:rowOff>-9525</xdr:rowOff>
    </xdr:from>
    <xdr:ext cx="828675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/>
      </xdr:nvGrpSpPr>
      <xdr:grpSpPr>
        <a:xfrm>
          <a:off x="9420225" y="3419475"/>
          <a:ext cx="828675" cy="38100"/>
          <a:chOff x="4931663" y="3780000"/>
          <a:chExt cx="828675" cy="0"/>
        </a:xfrm>
      </xdr:grpSpPr>
      <xdr:cxnSp macro="">
        <xdr:nvCxnSpPr>
          <xdr:cNvPr id="27" name="Shape 13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20</xdr:row>
      <xdr:rowOff>-19050</xdr:rowOff>
    </xdr:from>
    <xdr:ext cx="828675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/>
      </xdr:nvGrpSpPr>
      <xdr:grpSpPr>
        <a:xfrm>
          <a:off x="9420225" y="4248150"/>
          <a:ext cx="828675" cy="38100"/>
          <a:chOff x="4931663" y="3780000"/>
          <a:chExt cx="828675" cy="0"/>
        </a:xfrm>
      </xdr:grpSpPr>
      <xdr:cxnSp macro="">
        <xdr:nvCxnSpPr>
          <xdr:cNvPr id="29" name="Shape 13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23</xdr:row>
      <xdr:rowOff>-19050</xdr:rowOff>
    </xdr:from>
    <xdr:ext cx="66675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9182100" y="4876800"/>
          <a:ext cx="666750" cy="38100"/>
          <a:chOff x="5012625" y="3780000"/>
          <a:chExt cx="666750" cy="0"/>
        </a:xfrm>
      </xdr:grpSpPr>
      <xdr:cxnSp macro="">
        <xdr:nvCxnSpPr>
          <xdr:cNvPr id="31" name="Shape 14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26</xdr:row>
      <xdr:rowOff>-19050</xdr:rowOff>
    </xdr:from>
    <xdr:ext cx="5524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8943975" y="5505450"/>
          <a:ext cx="552450" cy="38100"/>
          <a:chOff x="5069775" y="3780000"/>
          <a:chExt cx="552450" cy="0"/>
        </a:xfrm>
      </xdr:grpSpPr>
      <xdr:cxnSp macro="">
        <xdr:nvCxnSpPr>
          <xdr:cNvPr id="33" name="Shape 15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29</xdr:row>
      <xdr:rowOff>-19050</xdr:rowOff>
    </xdr:from>
    <xdr:ext cx="4191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8705850" y="6134100"/>
          <a:ext cx="419100" cy="38100"/>
          <a:chOff x="5136450" y="3780000"/>
          <a:chExt cx="419100" cy="0"/>
        </a:xfrm>
      </xdr:grpSpPr>
      <xdr:cxnSp macro="">
        <xdr:nvCxnSpPr>
          <xdr:cNvPr id="35" name="Shape 16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CxnSpPr/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0</xdr:colOff>
      <xdr:row>20</xdr:row>
      <xdr:rowOff>-19050</xdr:rowOff>
    </xdr:from>
    <xdr:ext cx="83820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pSpPr/>
      </xdr:nvGrpSpPr>
      <xdr:grpSpPr>
        <a:xfrm>
          <a:off x="6029325" y="4248150"/>
          <a:ext cx="838200" cy="38100"/>
          <a:chOff x="4926900" y="3780000"/>
          <a:chExt cx="838200" cy="0"/>
        </a:xfrm>
      </xdr:grpSpPr>
      <xdr:cxnSp macro="">
        <xdr:nvCxnSpPr>
          <xdr:cNvPr id="37" name="Shape 17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/>
        </xdr:nvCxnSpPr>
        <xdr:spPr>
          <a:xfrm>
            <a:off x="4926900" y="3780000"/>
            <a:ext cx="8382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22</xdr:row>
      <xdr:rowOff>142875</xdr:rowOff>
    </xdr:from>
    <xdr:ext cx="733425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/>
      </xdr:nvGrpSpPr>
      <xdr:grpSpPr>
        <a:xfrm>
          <a:off x="5791200" y="4829175"/>
          <a:ext cx="733425" cy="38100"/>
          <a:chOff x="4979288" y="3780000"/>
          <a:chExt cx="733425" cy="0"/>
        </a:xfrm>
      </xdr:grpSpPr>
      <xdr:cxnSp macro="">
        <xdr:nvCxnSpPr>
          <xdr:cNvPr id="39" name="Shape 1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25</xdr:row>
      <xdr:rowOff>161925</xdr:rowOff>
    </xdr:from>
    <xdr:ext cx="53340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/>
      </xdr:nvGrpSpPr>
      <xdr:grpSpPr>
        <a:xfrm>
          <a:off x="5553075" y="5476875"/>
          <a:ext cx="533400" cy="38100"/>
          <a:chOff x="5079300" y="3780000"/>
          <a:chExt cx="533400" cy="0"/>
        </a:xfrm>
      </xdr:grpSpPr>
      <xdr:cxnSp macro="">
        <xdr:nvCxnSpPr>
          <xdr:cNvPr id="41" name="Shape 19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28575</xdr:colOff>
      <xdr:row>29</xdr:row>
      <xdr:rowOff>9525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5343525" y="6162675"/>
          <a:ext cx="333375" cy="38100"/>
          <a:chOff x="5179313" y="3780000"/>
          <a:chExt cx="333375" cy="0"/>
        </a:xfrm>
      </xdr:grpSpPr>
      <xdr:cxnSp macro="">
        <xdr:nvCxnSpPr>
          <xdr:cNvPr id="43" name="Shape 20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28575</xdr:colOff>
      <xdr:row>28</xdr:row>
      <xdr:rowOff>161925</xdr:rowOff>
    </xdr:from>
    <xdr:ext cx="314325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2247900" y="6105525"/>
          <a:ext cx="314325" cy="38100"/>
          <a:chOff x="5188838" y="3780000"/>
          <a:chExt cx="314325" cy="0"/>
        </a:xfrm>
      </xdr:grpSpPr>
      <xdr:cxnSp macro="">
        <xdr:nvCxnSpPr>
          <xdr:cNvPr id="45" name="Shape 21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/>
        </xdr:nvCxnSpPr>
        <xdr:spPr>
          <a:xfrm>
            <a:off x="5188838" y="3780000"/>
            <a:ext cx="314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28575</xdr:colOff>
      <xdr:row>26</xdr:row>
      <xdr:rowOff>-19050</xdr:rowOff>
    </xdr:from>
    <xdr:ext cx="447675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/>
      </xdr:nvGrpSpPr>
      <xdr:grpSpPr>
        <a:xfrm>
          <a:off x="2486025" y="5505450"/>
          <a:ext cx="447675" cy="38100"/>
          <a:chOff x="5122163" y="3780000"/>
          <a:chExt cx="447675" cy="0"/>
        </a:xfrm>
      </xdr:grpSpPr>
      <xdr:cxnSp macro="">
        <xdr:nvCxnSpPr>
          <xdr:cNvPr id="47" name="Shape 22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23</xdr:row>
      <xdr:rowOff>-19050</xdr:rowOff>
    </xdr:from>
    <xdr:ext cx="647700" cy="3810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695575" y="4876800"/>
          <a:ext cx="647700" cy="38100"/>
          <a:chOff x="5022150" y="3780000"/>
          <a:chExt cx="647700" cy="0"/>
        </a:xfrm>
      </xdr:grpSpPr>
      <xdr:cxnSp macro="">
        <xdr:nvCxnSpPr>
          <xdr:cNvPr id="49" name="Shape 2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CxnSpPr/>
        </xdr:nvCxnSpPr>
        <xdr:spPr>
          <a:xfrm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0</xdr:colOff>
      <xdr:row>20</xdr:row>
      <xdr:rowOff>-19050</xdr:rowOff>
    </xdr:from>
    <xdr:ext cx="800100" cy="381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/>
      </xdr:nvGrpSpPr>
      <xdr:grpSpPr>
        <a:xfrm>
          <a:off x="2933700" y="4248150"/>
          <a:ext cx="800100" cy="38100"/>
          <a:chOff x="4945950" y="3780000"/>
          <a:chExt cx="800100" cy="0"/>
        </a:xfrm>
      </xdr:grpSpPr>
      <xdr:cxnSp macro="">
        <xdr:nvCxnSpPr>
          <xdr:cNvPr id="51" name="Shape 24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CxnSpPr/>
        </xdr:nvCxnSpPr>
        <xdr:spPr>
          <a:xfrm>
            <a:off x="4945950" y="3780000"/>
            <a:ext cx="800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0</xdr:colOff>
      <xdr:row>10</xdr:row>
      <xdr:rowOff>-9525</xdr:rowOff>
    </xdr:from>
    <xdr:ext cx="552450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GrpSpPr/>
      </xdr:nvGrpSpPr>
      <xdr:grpSpPr>
        <a:xfrm>
          <a:off x="2219325" y="2162175"/>
          <a:ext cx="552450" cy="38100"/>
          <a:chOff x="5069775" y="3780000"/>
          <a:chExt cx="552450" cy="0"/>
        </a:xfrm>
      </xdr:grpSpPr>
      <xdr:cxnSp macro="">
        <xdr:nvCxnSpPr>
          <xdr:cNvPr id="53" name="Shape 15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0</xdr:colOff>
      <xdr:row>12</xdr:row>
      <xdr:rowOff>161925</xdr:rowOff>
    </xdr:from>
    <xdr:ext cx="762000" cy="381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2457450" y="2752725"/>
          <a:ext cx="762000" cy="38100"/>
          <a:chOff x="4965000" y="3780000"/>
          <a:chExt cx="762000" cy="0"/>
        </a:xfrm>
      </xdr:grpSpPr>
      <xdr:cxnSp macro="">
        <xdr:nvCxnSpPr>
          <xdr:cNvPr id="55" name="Shape 25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16</xdr:row>
      <xdr:rowOff>-19050</xdr:rowOff>
    </xdr:from>
    <xdr:ext cx="971550" cy="381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/>
      </xdr:nvGrpSpPr>
      <xdr:grpSpPr>
        <a:xfrm>
          <a:off x="2695575" y="3409950"/>
          <a:ext cx="971550" cy="38100"/>
          <a:chOff x="4860225" y="3780000"/>
          <a:chExt cx="971550" cy="0"/>
        </a:xfrm>
      </xdr:grpSpPr>
      <xdr:cxnSp macro="">
        <xdr:nvCxnSpPr>
          <xdr:cNvPr id="57" name="Shape 7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0</xdr:colOff>
      <xdr:row>7</xdr:row>
      <xdr:rowOff>-19050</xdr:rowOff>
    </xdr:from>
    <xdr:ext cx="333375" cy="381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pSpPr/>
      </xdr:nvGrpSpPr>
      <xdr:grpSpPr>
        <a:xfrm>
          <a:off x="1981200" y="1524000"/>
          <a:ext cx="333375" cy="38100"/>
          <a:chOff x="5179313" y="3780000"/>
          <a:chExt cx="333375" cy="0"/>
        </a:xfrm>
      </xdr:grpSpPr>
      <xdr:cxnSp macro="">
        <xdr:nvCxnSpPr>
          <xdr:cNvPr id="59" name="Shape 20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-9525</xdr:colOff>
      <xdr:row>6</xdr:row>
      <xdr:rowOff>-9525</xdr:rowOff>
    </xdr:from>
    <xdr:ext cx="1952625" cy="253365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5305425" y="1323975"/>
          <a:ext cx="1952625" cy="2533650"/>
          <a:chOff x="4379213" y="2522700"/>
          <a:chExt cx="1933575" cy="2514600"/>
        </a:xfrm>
      </xdr:grpSpPr>
      <xdr:cxnSp macro="">
        <xdr:nvCxnSpPr>
          <xdr:cNvPr id="61" name="Shape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161925</xdr:colOff>
      <xdr:row>5</xdr:row>
      <xdr:rowOff>142875</xdr:rowOff>
    </xdr:from>
    <xdr:ext cx="1952625" cy="252412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/>
      </xdr:nvGrpSpPr>
      <xdr:grpSpPr>
        <a:xfrm>
          <a:off x="2143125" y="1304925"/>
          <a:ext cx="1952625" cy="2524125"/>
          <a:chOff x="4379213" y="2527463"/>
          <a:chExt cx="1933575" cy="2505075"/>
        </a:xfrm>
      </xdr:grpSpPr>
      <xdr:cxnSp macro="">
        <xdr:nvCxnSpPr>
          <xdr:cNvPr id="63" name="Shape 26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CxnSpPr/>
        </xdr:nvCxnSpPr>
        <xdr:spPr>
          <a:xfrm>
            <a:off x="4379213" y="2527463"/>
            <a:ext cx="1933575" cy="2505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4" name="image2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5" name="image2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1219200</xdr:colOff>
      <xdr:row>1</xdr:row>
      <xdr:rowOff>0</xdr:rowOff>
    </xdr:from>
    <xdr:ext cx="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50BCC96F-D8BE-4E33-A658-A1E704F8BB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104775"/>
          <a:ext cx="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1219200</xdr:colOff>
      <xdr:row>1</xdr:row>
      <xdr:rowOff>0</xdr:rowOff>
    </xdr:from>
    <xdr:ext cx="0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E898DB12-6B8D-43BF-9A8A-9DBA431C67A0}"/>
            </a:ext>
            <a:ext uri="{147F2762-F138-4A5C-976F-8EAC2B608ADB}">
              <a16:predDERef xmlns:a16="http://schemas.microsoft.com/office/drawing/2014/main" pred="{50BCC96F-D8BE-4E33-A658-A1E704F8BB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104775"/>
          <a:ext cx="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5"/>
  <sheetViews>
    <sheetView showGridLines="0" tabSelected="1" workbookViewId="0">
      <selection activeCell="F5" sqref="F5"/>
    </sheetView>
  </sheetViews>
  <sheetFormatPr defaultColWidth="12.5703125" defaultRowHeight="15" customHeight="1"/>
  <cols>
    <col min="1" max="1" width="1.140625" customWidth="1"/>
    <col min="2" max="2" width="24.140625" customWidth="1"/>
    <col min="3" max="5" width="16.5703125" customWidth="1"/>
    <col min="6" max="6" width="18.5703125" customWidth="1"/>
    <col min="7" max="8" width="21.28515625" customWidth="1"/>
    <col min="9" max="9" width="1.7109375" customWidth="1"/>
  </cols>
  <sheetData>
    <row r="1" spans="1:13" ht="4.5" customHeight="1">
      <c r="A1" s="1"/>
      <c r="B1" s="1"/>
      <c r="C1" s="1"/>
      <c r="D1" s="1"/>
      <c r="E1" s="1"/>
      <c r="F1" s="1"/>
      <c r="G1" s="1"/>
      <c r="H1" s="1"/>
      <c r="I1" s="1"/>
    </row>
    <row r="2" spans="1:13" ht="54.75" customHeight="1">
      <c r="A2" s="1"/>
      <c r="B2" s="5"/>
      <c r="C2" s="137" t="s">
        <v>0</v>
      </c>
      <c r="D2" s="201"/>
      <c r="E2" s="201"/>
      <c r="F2" s="201"/>
      <c r="G2" s="201"/>
      <c r="H2" s="202"/>
      <c r="I2" s="1"/>
    </row>
    <row r="3" spans="1:13" ht="6" customHeight="1">
      <c r="A3" s="1"/>
      <c r="B3" s="30"/>
      <c r="C3" s="30"/>
      <c r="D3" s="30"/>
      <c r="E3" s="30"/>
      <c r="F3" s="30"/>
      <c r="G3" s="30"/>
      <c r="H3" s="30"/>
      <c r="I3" s="1"/>
    </row>
    <row r="4" spans="1:13" ht="18.75" customHeight="1">
      <c r="A4" s="87"/>
      <c r="B4" s="92" t="s">
        <v>1</v>
      </c>
      <c r="C4" s="138" t="s">
        <v>2</v>
      </c>
      <c r="D4" s="203"/>
      <c r="E4" s="203"/>
      <c r="F4" s="204"/>
      <c r="G4" s="203"/>
      <c r="H4" s="205"/>
      <c r="I4" s="87"/>
    </row>
    <row r="5" spans="1:13" ht="18.75" customHeight="1">
      <c r="A5" s="87"/>
      <c r="B5" s="93" t="s">
        <v>3</v>
      </c>
      <c r="C5" s="139" t="s">
        <v>4</v>
      </c>
      <c r="D5" s="201"/>
      <c r="E5" s="201"/>
      <c r="F5" s="90" t="s">
        <v>5</v>
      </c>
      <c r="G5" s="140">
        <v>45344</v>
      </c>
      <c r="H5" s="206"/>
      <c r="I5" s="87"/>
    </row>
    <row r="6" spans="1:13" ht="28.7" customHeight="1">
      <c r="A6" s="87"/>
      <c r="B6" s="91" t="s">
        <v>6</v>
      </c>
      <c r="C6" s="141" t="s">
        <v>7</v>
      </c>
      <c r="D6" s="207"/>
      <c r="E6" s="207"/>
      <c r="F6" s="208"/>
      <c r="G6" s="207"/>
      <c r="H6" s="209"/>
      <c r="I6" s="87"/>
    </row>
    <row r="7" spans="1:13" ht="12.75" customHeight="1">
      <c r="A7" s="2"/>
      <c r="B7" s="87"/>
      <c r="C7" s="87"/>
      <c r="D7" s="87"/>
      <c r="E7" s="87"/>
      <c r="F7" s="87"/>
      <c r="G7" s="87"/>
      <c r="H7" s="87"/>
      <c r="I7" s="2"/>
    </row>
    <row r="8" spans="1:13" ht="24" customHeight="1">
      <c r="A8" s="88"/>
      <c r="B8" s="102" t="s">
        <v>8</v>
      </c>
      <c r="C8" s="142" t="s">
        <v>9</v>
      </c>
      <c r="D8" s="210"/>
      <c r="E8" s="210"/>
      <c r="F8" s="210"/>
      <c r="G8" s="210"/>
      <c r="H8" s="210"/>
      <c r="I8" s="88"/>
    </row>
    <row r="9" spans="1:13" ht="75" customHeight="1">
      <c r="A9" s="88"/>
      <c r="B9" s="96" t="s">
        <v>10</v>
      </c>
      <c r="C9" s="143" t="s">
        <v>11</v>
      </c>
      <c r="D9" s="144"/>
      <c r="E9" s="144"/>
      <c r="F9" s="144"/>
      <c r="G9" s="144"/>
      <c r="H9" s="144"/>
      <c r="I9" s="88"/>
    </row>
    <row r="10" spans="1:13" ht="55.5" customHeight="1">
      <c r="A10" s="87"/>
      <c r="B10" s="100" t="s">
        <v>12</v>
      </c>
      <c r="C10" s="145" t="s">
        <v>13</v>
      </c>
      <c r="D10" s="146"/>
      <c r="E10" s="146"/>
      <c r="F10" s="146"/>
      <c r="G10" s="146"/>
      <c r="H10" s="146"/>
      <c r="I10" s="87"/>
    </row>
    <row r="11" spans="1:13" ht="61.5" customHeight="1">
      <c r="A11" s="87"/>
      <c r="B11" s="103" t="s">
        <v>14</v>
      </c>
      <c r="C11" s="145"/>
      <c r="D11" s="146"/>
      <c r="E11" s="146"/>
      <c r="F11" s="146"/>
      <c r="G11" s="146"/>
      <c r="H11" s="146"/>
      <c r="I11" s="87"/>
    </row>
    <row r="12" spans="1:13" ht="27.2" customHeight="1">
      <c r="A12" s="87"/>
      <c r="B12" s="147" t="s">
        <v>15</v>
      </c>
      <c r="C12" s="211"/>
      <c r="D12" s="211"/>
      <c r="E12" s="211"/>
      <c r="F12" s="211"/>
      <c r="G12" s="211"/>
      <c r="H12" s="212"/>
      <c r="I12" s="87"/>
    </row>
    <row r="13" spans="1:13" ht="27.2" customHeight="1">
      <c r="A13" s="87"/>
      <c r="B13" s="100" t="s">
        <v>16</v>
      </c>
      <c r="C13" s="148" t="s">
        <v>17</v>
      </c>
      <c r="D13" s="213"/>
      <c r="E13" s="213"/>
      <c r="F13" s="213"/>
      <c r="G13" s="213"/>
      <c r="H13" s="213"/>
      <c r="I13" s="87"/>
    </row>
    <row r="14" spans="1:13" ht="27.2" customHeight="1">
      <c r="A14" s="87"/>
      <c r="B14" s="104" t="s">
        <v>18</v>
      </c>
      <c r="C14" s="149" t="s">
        <v>19</v>
      </c>
      <c r="D14" s="210"/>
      <c r="E14" s="210"/>
      <c r="F14" s="210"/>
      <c r="G14" s="210"/>
      <c r="H14" s="210"/>
      <c r="I14" s="87"/>
    </row>
    <row r="15" spans="1:13" ht="27.2" customHeight="1">
      <c r="A15" s="87"/>
      <c r="B15" s="147" t="s">
        <v>20</v>
      </c>
      <c r="C15" s="214"/>
      <c r="D15" s="214"/>
      <c r="E15" s="214"/>
      <c r="F15" s="214"/>
      <c r="G15" s="214"/>
      <c r="H15" s="215"/>
      <c r="I15" s="87"/>
    </row>
    <row r="16" spans="1:13" ht="99.95" customHeight="1">
      <c r="A16" s="89"/>
      <c r="B16" s="99" t="s">
        <v>21</v>
      </c>
      <c r="C16" s="150" t="s">
        <v>13</v>
      </c>
      <c r="D16" s="210"/>
      <c r="E16" s="210"/>
      <c r="F16" s="210"/>
      <c r="G16" s="210"/>
      <c r="H16" s="210"/>
      <c r="I16" s="89"/>
      <c r="M16" s="12"/>
    </row>
    <row r="17" spans="1:14" ht="32.25" customHeight="1">
      <c r="A17" s="87"/>
      <c r="B17" s="96" t="s">
        <v>22</v>
      </c>
      <c r="C17" s="150"/>
      <c r="D17" s="210"/>
      <c r="E17" s="210"/>
      <c r="F17" s="210"/>
      <c r="G17" s="210"/>
      <c r="H17" s="210"/>
      <c r="I17" s="87"/>
      <c r="L17" s="12"/>
      <c r="M17" s="94"/>
      <c r="N17" s="12"/>
    </row>
    <row r="18" spans="1:14" ht="32.25" customHeight="1">
      <c r="A18" s="87"/>
      <c r="B18" s="100" t="s">
        <v>23</v>
      </c>
      <c r="C18" s="150" t="s">
        <v>24</v>
      </c>
      <c r="D18" s="210"/>
      <c r="E18" s="210"/>
      <c r="F18" s="210"/>
      <c r="G18" s="210"/>
      <c r="H18" s="210"/>
      <c r="I18" s="87"/>
      <c r="M18" s="12"/>
    </row>
    <row r="19" spans="1:14" ht="32.25" customHeight="1">
      <c r="A19" s="87"/>
      <c r="B19" s="101" t="s">
        <v>25</v>
      </c>
      <c r="C19" s="152" t="s">
        <v>26</v>
      </c>
      <c r="D19" s="210"/>
      <c r="E19" s="210"/>
      <c r="F19" s="210"/>
      <c r="G19" s="210"/>
      <c r="H19" s="210"/>
      <c r="I19" s="87"/>
    </row>
    <row r="20" spans="1:14" ht="12.6">
      <c r="A20" s="1"/>
      <c r="B20" s="30"/>
      <c r="C20" s="30"/>
      <c r="D20" s="30"/>
      <c r="E20" s="30"/>
      <c r="F20" s="30"/>
      <c r="G20" s="30"/>
      <c r="H20" s="30"/>
      <c r="I20" s="1"/>
    </row>
    <row r="21" spans="1:14" ht="27.2" customHeight="1">
      <c r="A21" s="87"/>
      <c r="B21" s="153" t="s">
        <v>27</v>
      </c>
      <c r="C21" s="216"/>
      <c r="D21" s="216"/>
      <c r="E21" s="216"/>
      <c r="F21" s="216"/>
      <c r="G21" s="216"/>
      <c r="H21" s="217"/>
      <c r="I21" s="87"/>
    </row>
    <row r="22" spans="1:14" ht="41.25" customHeight="1">
      <c r="A22" s="87"/>
      <c r="B22" s="98" t="s">
        <v>28</v>
      </c>
      <c r="C22" s="154" t="s">
        <v>29</v>
      </c>
      <c r="D22" s="218"/>
      <c r="E22" s="218"/>
      <c r="F22" s="218"/>
      <c r="G22" s="218"/>
      <c r="H22" s="219"/>
      <c r="I22" s="87"/>
    </row>
    <row r="23" spans="1:14" ht="150" customHeight="1">
      <c r="A23" s="87"/>
      <c r="B23" s="96" t="s">
        <v>30</v>
      </c>
      <c r="C23" s="155"/>
      <c r="D23" s="208"/>
      <c r="E23" s="208"/>
      <c r="F23" s="208"/>
      <c r="G23" s="208"/>
      <c r="H23" s="220"/>
      <c r="I23" s="87"/>
    </row>
    <row r="24" spans="1:14" ht="27.2" customHeight="1">
      <c r="A24" s="87"/>
      <c r="B24" s="95" t="s">
        <v>31</v>
      </c>
      <c r="C24" s="151"/>
      <c r="D24" s="208"/>
      <c r="E24" s="220"/>
      <c r="F24" s="97" t="s">
        <v>32</v>
      </c>
      <c r="G24" s="156"/>
      <c r="H24" s="220"/>
      <c r="I24" s="87"/>
    </row>
    <row r="25" spans="1:14" ht="15" customHeight="1">
      <c r="A25" s="221"/>
      <c r="B25" s="222"/>
      <c r="C25" s="222"/>
      <c r="D25" s="222"/>
      <c r="E25" s="222"/>
      <c r="F25" s="222"/>
      <c r="G25" s="222"/>
      <c r="H25" s="222"/>
      <c r="I25" s="223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C4:H11" name="Range1"/>
    <protectedRange sqref="C13:H14" name="Range2"/>
    <protectedRange sqref="C16:H19" name="Range3"/>
    <protectedRange sqref="C22:H24" name="Range4"/>
  </protectedRanges>
  <mergeCells count="23">
    <mergeCell ref="A25:I25"/>
    <mergeCell ref="C17:H17"/>
    <mergeCell ref="C18:H18"/>
    <mergeCell ref="C19:H19"/>
    <mergeCell ref="B21:H21"/>
    <mergeCell ref="C22:H22"/>
    <mergeCell ref="C23:H23"/>
    <mergeCell ref="G24:H24"/>
    <mergeCell ref="C13:H13"/>
    <mergeCell ref="C14:H14"/>
    <mergeCell ref="B15:H15"/>
    <mergeCell ref="C16:H16"/>
    <mergeCell ref="C24:E24"/>
    <mergeCell ref="C8:H8"/>
    <mergeCell ref="C9:H9"/>
    <mergeCell ref="C10:H10"/>
    <mergeCell ref="C11:H11"/>
    <mergeCell ref="B12:H12"/>
    <mergeCell ref="C2:H2"/>
    <mergeCell ref="C4:H4"/>
    <mergeCell ref="C5:E5"/>
    <mergeCell ref="G5:H5"/>
    <mergeCell ref="C6:H6"/>
  </mergeCells>
  <pageMargins left="0.511811024" right="0.511811024" top="0.78740157499999996" bottom="0.78740157499999996" header="0" footer="0"/>
  <pageSetup paperSize="9" scale="47" orientation="portrait"/>
  <headerFooter>
    <oddHeader>&amp;L                   &amp;CFormulário Formulário RNC - Relatório de Não Conformidade&amp;RCódigo: FOR.071  -  Revisão: 1 Elaboração: 15/09/2021 - Aprovação: 15/09/2021 Página:</oddHeader>
    <oddFooter>&amp;LElaborado por: Nathália Brandao Setor: Qualidade&amp;CVerificado por: Tais Flores Setor: Processos&amp;RAprovado por: Ana Guimarães Setor: Ger. Processos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B7B8-6015-4F7F-A31A-9D2E92887D6D}">
  <dimension ref="A1:O1003"/>
  <sheetViews>
    <sheetView showGridLines="0" workbookViewId="0">
      <selection activeCell="D5" sqref="D5:E6"/>
    </sheetView>
  </sheetViews>
  <sheetFormatPr defaultColWidth="12.5703125" defaultRowHeight="12.6"/>
  <cols>
    <col min="1" max="1" width="0.7109375" customWidth="1"/>
    <col min="2" max="2" width="11.28515625" customWidth="1"/>
    <col min="3" max="3" width="16.140625" customWidth="1"/>
    <col min="4" max="4" width="40.28515625" customWidth="1"/>
    <col min="5" max="6" width="12.42578125" customWidth="1"/>
    <col min="7" max="7" width="51.85546875" customWidth="1"/>
    <col min="8" max="8" width="16.140625" customWidth="1"/>
    <col min="9" max="9" width="20.7109375" customWidth="1"/>
    <col min="10" max="10" width="12" customWidth="1"/>
    <col min="11" max="11" width="16" customWidth="1"/>
    <col min="12" max="13" width="15" customWidth="1"/>
    <col min="14" max="14" width="25.42578125" customWidth="1"/>
    <col min="15" max="15" width="18.28515625" customWidth="1"/>
  </cols>
  <sheetData>
    <row r="1" spans="1:15" ht="12.75" customHeight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107"/>
      <c r="N1" s="108"/>
      <c r="O1" s="109"/>
    </row>
    <row r="2" spans="1:15" ht="21.75" customHeight="1">
      <c r="A2" s="105"/>
      <c r="B2" s="160"/>
      <c r="C2" s="224"/>
      <c r="D2" s="161" t="s">
        <v>33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</row>
    <row r="3" spans="1:15" ht="17.25" customHeight="1">
      <c r="A3" s="105"/>
      <c r="B3" s="162" t="s">
        <v>34</v>
      </c>
      <c r="C3" s="224"/>
      <c r="D3" s="158" t="str">
        <f>'Relatório de Não Conformidade'!C4</f>
        <v>TECNOLENS</v>
      </c>
      <c r="E3" s="224"/>
      <c r="F3" s="110"/>
      <c r="G3" s="111" t="str">
        <f>"AÇÕES PLANEJADAS (ACCIONES PLANEADAS): "&amp;COUNTIF(I9:I110,"Planeada/Planejada")</f>
        <v>AÇÕES PLANEJADAS (ACCIONES PLANEADAS): 0</v>
      </c>
      <c r="H3" s="105"/>
      <c r="I3" s="163" t="s">
        <v>35</v>
      </c>
      <c r="J3" s="226"/>
      <c r="K3" s="105"/>
      <c r="L3" s="109"/>
      <c r="M3" s="109"/>
      <c r="N3" s="108"/>
      <c r="O3" s="108"/>
    </row>
    <row r="4" spans="1:15" ht="17.25" customHeight="1">
      <c r="A4" s="105"/>
      <c r="B4" s="227"/>
      <c r="C4" s="228"/>
      <c r="D4" s="229"/>
      <c r="E4" s="230"/>
      <c r="F4" s="1"/>
      <c r="G4" s="112" t="str">
        <f>"AÇÕES COMPLETAS (ACCIONES COMPLETAS): "&amp;COUNTIFS(I9:I110,"Completa/Concluído")</f>
        <v>AÇÕES COMPLETAS (ACCIONES COMPLETAS): 1</v>
      </c>
      <c r="H4" s="105"/>
      <c r="I4" s="229"/>
      <c r="J4" s="230"/>
      <c r="K4" s="105"/>
      <c r="L4" s="109"/>
      <c r="M4" s="109"/>
      <c r="N4" s="108"/>
      <c r="O4" s="109"/>
    </row>
    <row r="5" spans="1:15" ht="17.25" customHeight="1">
      <c r="A5" s="105"/>
      <c r="B5" s="157" t="s">
        <v>36</v>
      </c>
      <c r="C5" s="231"/>
      <c r="D5" s="158" t="str">
        <f>'Relatório de Não Conformidade'!C5</f>
        <v>02_2024</v>
      </c>
      <c r="E5" s="224"/>
      <c r="F5" s="110"/>
      <c r="G5" s="113" t="str">
        <f>"AÇÕES EM ANDAMENTO (ACCIONES EN CURSO): "&amp;COUNTIFS(I9:I110,"En Curso/Andamento")</f>
        <v>AÇÕES EM ANDAMENTO (ACCIONES EN CURSO): 2</v>
      </c>
      <c r="H5" s="114"/>
      <c r="I5" s="159">
        <f>IFERROR(COUNTIF(I9:I901,"Completa/Concluído")/(COUNTIF(I9:I901,"Planeada/Planejada")+(COUNTIF(I9:I901,"En Curso/Andamento")+(COUNTIF(I9:I901,"Completa/Concluído")+(COUNTIF(I9:I901,"Retardo/Atrasada"))))),"-")</f>
        <v>0.33333333333333331</v>
      </c>
      <c r="J5" s="224"/>
      <c r="K5" s="109"/>
      <c r="L5" s="109"/>
      <c r="M5" s="109"/>
      <c r="N5" s="108"/>
      <c r="O5" s="109"/>
    </row>
    <row r="6" spans="1:15" ht="17.25" customHeight="1">
      <c r="A6" s="105"/>
      <c r="B6" s="232"/>
      <c r="C6" s="232"/>
      <c r="D6" s="229"/>
      <c r="E6" s="230"/>
      <c r="F6" s="105"/>
      <c r="G6" s="115" t="str">
        <f>"AÇÕES PRIORIDADE EM ANDAMENTO (ACCIONES PRIORIDAD EN CURSO): "&amp;COUNTIFS(I9:I110,"En Curso/Andamento",J9:J110,"Y")</f>
        <v>AÇÕES PRIORIDADE EM ANDAMENTO (ACCIONES PRIORIDAD EN CURSO): 0</v>
      </c>
      <c r="H6" s="105"/>
      <c r="I6" s="229"/>
      <c r="J6" s="230"/>
      <c r="K6" s="109"/>
      <c r="L6" s="109"/>
      <c r="M6" s="109"/>
      <c r="N6" s="105"/>
      <c r="O6" s="109"/>
    </row>
    <row r="7" spans="1:15" ht="12.75" customHeight="1">
      <c r="A7" s="110"/>
      <c r="B7" s="110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7"/>
      <c r="O7" s="116"/>
    </row>
    <row r="8" spans="1:15" ht="48.2" customHeight="1">
      <c r="A8" s="105"/>
      <c r="B8" s="118" t="s">
        <v>37</v>
      </c>
      <c r="C8" s="118" t="s">
        <v>38</v>
      </c>
      <c r="D8" s="118" t="s">
        <v>39</v>
      </c>
      <c r="E8" s="118" t="s">
        <v>40</v>
      </c>
      <c r="F8" s="118" t="s">
        <v>41</v>
      </c>
      <c r="G8" s="118" t="s">
        <v>42</v>
      </c>
      <c r="H8" s="118" t="s">
        <v>43</v>
      </c>
      <c r="I8" s="118" t="s">
        <v>44</v>
      </c>
      <c r="J8" s="118" t="s">
        <v>45</v>
      </c>
      <c r="K8" s="118" t="s">
        <v>46</v>
      </c>
      <c r="L8" s="118" t="s">
        <v>47</v>
      </c>
      <c r="M8" s="118" t="s">
        <v>48</v>
      </c>
      <c r="N8" s="118" t="s">
        <v>49</v>
      </c>
      <c r="O8" s="118" t="s">
        <v>50</v>
      </c>
    </row>
    <row r="9" spans="1:15" ht="42" customHeight="1">
      <c r="A9" s="105"/>
      <c r="B9" s="119">
        <v>1</v>
      </c>
      <c r="C9" s="120" t="s">
        <v>51</v>
      </c>
      <c r="D9" s="120"/>
      <c r="E9" s="120" t="s">
        <v>52</v>
      </c>
      <c r="F9" s="120" t="s">
        <v>53</v>
      </c>
      <c r="G9" s="120" t="s">
        <v>54</v>
      </c>
      <c r="H9" s="121" t="s">
        <v>55</v>
      </c>
      <c r="I9" s="121" t="s">
        <v>56</v>
      </c>
      <c r="J9" s="121" t="s">
        <v>57</v>
      </c>
      <c r="K9" s="122" t="s">
        <v>58</v>
      </c>
      <c r="L9" s="123">
        <v>45366</v>
      </c>
      <c r="M9" s="123"/>
      <c r="N9" s="122"/>
      <c r="O9" s="119"/>
    </row>
    <row r="10" spans="1:15" ht="36.75" customHeight="1">
      <c r="A10" s="105"/>
      <c r="B10" s="119">
        <v>2</v>
      </c>
      <c r="C10" s="120" t="s">
        <v>51</v>
      </c>
      <c r="D10" s="120"/>
      <c r="E10" s="120" t="s">
        <v>52</v>
      </c>
      <c r="F10" s="120" t="s">
        <v>53</v>
      </c>
      <c r="G10" s="124" t="s">
        <v>59</v>
      </c>
      <c r="H10" s="121" t="s">
        <v>55</v>
      </c>
      <c r="I10" s="121" t="s">
        <v>60</v>
      </c>
      <c r="J10" s="121" t="s">
        <v>57</v>
      </c>
      <c r="K10" s="125" t="s">
        <v>58</v>
      </c>
      <c r="L10" s="126">
        <v>45347</v>
      </c>
      <c r="M10" s="126"/>
      <c r="N10" s="125" t="s">
        <v>61</v>
      </c>
      <c r="O10" s="119" t="s">
        <v>62</v>
      </c>
    </row>
    <row r="11" spans="1:15" ht="45.2" customHeight="1">
      <c r="A11" s="105"/>
      <c r="B11" s="119">
        <v>3</v>
      </c>
      <c r="C11" s="120" t="s">
        <v>51</v>
      </c>
      <c r="D11" s="127"/>
      <c r="E11" s="127" t="s">
        <v>52</v>
      </c>
      <c r="F11" s="127" t="s">
        <v>53</v>
      </c>
      <c r="G11" s="127" t="s">
        <v>63</v>
      </c>
      <c r="H11" s="121" t="s">
        <v>55</v>
      </c>
      <c r="I11" s="121" t="s">
        <v>56</v>
      </c>
      <c r="J11" s="121" t="s">
        <v>57</v>
      </c>
      <c r="K11" s="125" t="s">
        <v>58</v>
      </c>
      <c r="L11" s="126">
        <v>45352</v>
      </c>
      <c r="M11" s="126"/>
      <c r="N11" s="125"/>
      <c r="O11" s="119"/>
    </row>
    <row r="12" spans="1:15">
      <c r="A12" s="105"/>
      <c r="B12" s="119">
        <v>4</v>
      </c>
      <c r="C12" s="120"/>
      <c r="D12" s="127"/>
      <c r="E12" s="127"/>
      <c r="F12" s="127"/>
      <c r="G12" s="127"/>
      <c r="H12" s="121"/>
      <c r="I12" s="121"/>
      <c r="J12" s="121"/>
      <c r="K12" s="125"/>
      <c r="L12" s="126"/>
      <c r="M12" s="126"/>
      <c r="N12" s="125"/>
      <c r="O12" s="119"/>
    </row>
    <row r="13" spans="1:15">
      <c r="A13" s="105"/>
      <c r="B13" s="119">
        <v>5</v>
      </c>
      <c r="C13" s="120"/>
      <c r="D13" s="127"/>
      <c r="E13" s="127"/>
      <c r="F13" s="127"/>
      <c r="G13" s="127"/>
      <c r="H13" s="121"/>
      <c r="I13" s="121"/>
      <c r="J13" s="121"/>
      <c r="K13" s="125"/>
      <c r="L13" s="126"/>
      <c r="M13" s="126"/>
      <c r="N13" s="125"/>
      <c r="O13" s="119"/>
    </row>
    <row r="14" spans="1:15">
      <c r="A14" s="105"/>
      <c r="B14" s="119">
        <v>6</v>
      </c>
      <c r="C14" s="120"/>
      <c r="D14" s="128"/>
      <c r="E14" s="128"/>
      <c r="F14" s="128"/>
      <c r="G14" s="128"/>
      <c r="H14" s="121"/>
      <c r="I14" s="121"/>
      <c r="J14" s="121"/>
      <c r="K14" s="122"/>
      <c r="L14" s="123"/>
      <c r="M14" s="123"/>
      <c r="N14" s="125"/>
      <c r="O14" s="119"/>
    </row>
    <row r="15" spans="1:15" ht="12.75" customHeight="1">
      <c r="A15" s="105"/>
      <c r="B15" s="119">
        <v>7</v>
      </c>
      <c r="C15" s="120"/>
      <c r="D15" s="128"/>
      <c r="E15" s="128"/>
      <c r="F15" s="128"/>
      <c r="G15" s="124"/>
      <c r="H15" s="121"/>
      <c r="I15" s="121"/>
      <c r="J15" s="121"/>
      <c r="K15" s="122"/>
      <c r="L15" s="123"/>
      <c r="M15" s="123"/>
      <c r="N15" s="125"/>
      <c r="O15" s="119"/>
    </row>
    <row r="16" spans="1:15" ht="12.75" customHeight="1">
      <c r="A16" s="105"/>
      <c r="B16" s="119">
        <v>8</v>
      </c>
      <c r="C16" s="120"/>
      <c r="D16" s="127"/>
      <c r="E16" s="127"/>
      <c r="F16" s="127"/>
      <c r="G16" s="127"/>
      <c r="H16" s="121"/>
      <c r="I16" s="121"/>
      <c r="J16" s="121"/>
      <c r="K16" s="125"/>
      <c r="L16" s="126"/>
      <c r="M16" s="126"/>
      <c r="N16" s="125"/>
      <c r="O16" s="119"/>
    </row>
    <row r="17" spans="1:15" ht="12.75" customHeight="1">
      <c r="A17" s="105"/>
      <c r="B17" s="119">
        <v>9</v>
      </c>
      <c r="C17" s="120"/>
      <c r="D17" s="127"/>
      <c r="E17" s="127"/>
      <c r="F17" s="127"/>
      <c r="G17" s="127"/>
      <c r="H17" s="121"/>
      <c r="I17" s="121"/>
      <c r="J17" s="121"/>
      <c r="K17" s="125"/>
      <c r="L17" s="126"/>
      <c r="M17" s="126"/>
      <c r="N17" s="125"/>
      <c r="O17" s="119"/>
    </row>
    <row r="18" spans="1:15" ht="12.75" customHeight="1">
      <c r="A18" s="105"/>
      <c r="B18" s="119">
        <v>10</v>
      </c>
      <c r="C18" s="120"/>
      <c r="D18" s="127"/>
      <c r="E18" s="127"/>
      <c r="F18" s="127"/>
      <c r="G18" s="127"/>
      <c r="H18" s="121"/>
      <c r="I18" s="121"/>
      <c r="J18" s="121"/>
      <c r="K18" s="125"/>
      <c r="L18" s="126"/>
      <c r="M18" s="126"/>
      <c r="N18" s="125"/>
      <c r="O18" s="119"/>
    </row>
    <row r="19" spans="1:15" ht="12.75" customHeight="1">
      <c r="A19" s="105"/>
      <c r="B19" s="119">
        <v>11</v>
      </c>
      <c r="C19" s="120"/>
      <c r="D19" s="127"/>
      <c r="E19" s="127"/>
      <c r="F19" s="127"/>
      <c r="G19" s="127"/>
      <c r="H19" s="121"/>
      <c r="I19" s="121"/>
      <c r="J19" s="121"/>
      <c r="K19" s="125"/>
      <c r="L19" s="126"/>
      <c r="M19" s="126"/>
      <c r="N19" s="125"/>
      <c r="O19" s="119"/>
    </row>
    <row r="20" spans="1:15" ht="12.75" customHeight="1">
      <c r="A20" s="105"/>
      <c r="B20" s="119">
        <v>12</v>
      </c>
      <c r="C20" s="120"/>
      <c r="D20" s="127"/>
      <c r="E20" s="127"/>
      <c r="F20" s="127"/>
      <c r="G20" s="127"/>
      <c r="H20" s="121"/>
      <c r="I20" s="121"/>
      <c r="J20" s="121"/>
      <c r="K20" s="125"/>
      <c r="L20" s="126"/>
      <c r="M20" s="126"/>
      <c r="N20" s="125"/>
      <c r="O20" s="119"/>
    </row>
    <row r="21" spans="1:15" ht="12.75" customHeight="1">
      <c r="A21" s="105"/>
      <c r="B21" s="119">
        <v>13</v>
      </c>
      <c r="C21" s="120"/>
      <c r="D21" s="127"/>
      <c r="E21" s="127"/>
      <c r="F21" s="127"/>
      <c r="G21" s="127"/>
      <c r="H21" s="121"/>
      <c r="I21" s="121"/>
      <c r="J21" s="121"/>
      <c r="K21" s="125"/>
      <c r="L21" s="126"/>
      <c r="M21" s="126"/>
      <c r="N21" s="125"/>
      <c r="O21" s="119"/>
    </row>
    <row r="22" spans="1:15" ht="12.75" customHeight="1">
      <c r="A22" s="105"/>
      <c r="B22" s="119">
        <v>14</v>
      </c>
      <c r="C22" s="120"/>
      <c r="D22" s="127"/>
      <c r="E22" s="127"/>
      <c r="F22" s="127"/>
      <c r="G22" s="127"/>
      <c r="H22" s="121"/>
      <c r="I22" s="121"/>
      <c r="J22" s="121"/>
      <c r="K22" s="125"/>
      <c r="L22" s="126"/>
      <c r="M22" s="126"/>
      <c r="N22" s="125"/>
      <c r="O22" s="119"/>
    </row>
    <row r="23" spans="1:15" ht="12.75" customHeight="1">
      <c r="A23" s="105"/>
      <c r="B23" s="119">
        <v>15</v>
      </c>
      <c r="C23" s="120"/>
      <c r="D23" s="127"/>
      <c r="E23" s="127"/>
      <c r="F23" s="127"/>
      <c r="G23" s="127"/>
      <c r="H23" s="121"/>
      <c r="I23" s="121"/>
      <c r="J23" s="121"/>
      <c r="K23" s="125"/>
      <c r="L23" s="126"/>
      <c r="M23" s="126"/>
      <c r="N23" s="125"/>
      <c r="O23" s="119"/>
    </row>
    <row r="24" spans="1:15" ht="12.75" customHeight="1">
      <c r="A24" s="105"/>
      <c r="B24" s="119">
        <v>16</v>
      </c>
      <c r="C24" s="120"/>
      <c r="D24" s="127"/>
      <c r="E24" s="127"/>
      <c r="F24" s="127"/>
      <c r="G24" s="127"/>
      <c r="H24" s="121"/>
      <c r="I24" s="121"/>
      <c r="J24" s="121"/>
      <c r="K24" s="129"/>
      <c r="L24" s="130"/>
      <c r="M24" s="130"/>
      <c r="N24" s="125"/>
      <c r="O24" s="119"/>
    </row>
    <row r="25" spans="1:15" ht="12.75" customHeight="1">
      <c r="A25" s="105"/>
      <c r="B25" s="119">
        <v>17</v>
      </c>
      <c r="C25" s="120"/>
      <c r="D25" s="124"/>
      <c r="E25" s="124"/>
      <c r="F25" s="124"/>
      <c r="G25" s="124"/>
      <c r="H25" s="121"/>
      <c r="I25" s="121"/>
      <c r="J25" s="121"/>
      <c r="K25" s="125"/>
      <c r="L25" s="126"/>
      <c r="M25" s="126"/>
      <c r="N25" s="125"/>
      <c r="O25" s="119"/>
    </row>
    <row r="26" spans="1:15" ht="12.75" customHeight="1">
      <c r="A26" s="105"/>
      <c r="B26" s="119">
        <v>18</v>
      </c>
      <c r="C26" s="120"/>
      <c r="D26" s="124"/>
      <c r="E26" s="124"/>
      <c r="F26" s="124"/>
      <c r="G26" s="124"/>
      <c r="H26" s="121"/>
      <c r="I26" s="121"/>
      <c r="J26" s="121"/>
      <c r="K26" s="125"/>
      <c r="L26" s="126"/>
      <c r="M26" s="126"/>
      <c r="N26" s="125"/>
      <c r="O26" s="119"/>
    </row>
    <row r="27" spans="1:15" ht="12.75" customHeight="1">
      <c r="A27" s="105"/>
      <c r="B27" s="119">
        <v>19</v>
      </c>
      <c r="C27" s="120"/>
      <c r="D27" s="124"/>
      <c r="E27" s="124"/>
      <c r="F27" s="124"/>
      <c r="G27" s="124"/>
      <c r="H27" s="121"/>
      <c r="I27" s="121"/>
      <c r="J27" s="121"/>
      <c r="K27" s="125"/>
      <c r="L27" s="126"/>
      <c r="M27" s="126"/>
      <c r="N27" s="125"/>
      <c r="O27" s="119"/>
    </row>
    <row r="28" spans="1:15" ht="12.75" customHeight="1">
      <c r="A28" s="105"/>
      <c r="B28" s="119">
        <v>20</v>
      </c>
      <c r="C28" s="120"/>
      <c r="D28" s="124"/>
      <c r="E28" s="124"/>
      <c r="F28" s="124"/>
      <c r="G28" s="124"/>
      <c r="H28" s="121"/>
      <c r="I28" s="121"/>
      <c r="J28" s="121"/>
      <c r="K28" s="125"/>
      <c r="L28" s="126"/>
      <c r="M28" s="126"/>
      <c r="N28" s="125"/>
      <c r="O28" s="119"/>
    </row>
    <row r="29" spans="1:15" ht="12.75" customHeight="1">
      <c r="A29" s="105"/>
      <c r="B29" s="119">
        <v>21</v>
      </c>
      <c r="C29" s="120"/>
      <c r="D29" s="124"/>
      <c r="E29" s="124"/>
      <c r="F29" s="124"/>
      <c r="G29" s="124"/>
      <c r="H29" s="121"/>
      <c r="I29" s="121"/>
      <c r="J29" s="121"/>
      <c r="K29" s="125"/>
      <c r="L29" s="126"/>
      <c r="M29" s="126"/>
      <c r="N29" s="125"/>
      <c r="O29" s="119"/>
    </row>
    <row r="30" spans="1:15" ht="12.75" customHeight="1">
      <c r="A30" s="105"/>
      <c r="B30" s="119">
        <v>22</v>
      </c>
      <c r="C30" s="120"/>
      <c r="D30" s="124"/>
      <c r="E30" s="124"/>
      <c r="F30" s="124"/>
      <c r="G30" s="124"/>
      <c r="H30" s="121"/>
      <c r="I30" s="121"/>
      <c r="J30" s="121"/>
      <c r="K30" s="125"/>
      <c r="L30" s="126"/>
      <c r="M30" s="126"/>
      <c r="N30" s="125"/>
      <c r="O30" s="119"/>
    </row>
    <row r="31" spans="1:15" ht="12.75" customHeight="1">
      <c r="A31" s="105"/>
      <c r="B31" s="119">
        <v>23</v>
      </c>
      <c r="C31" s="120"/>
      <c r="D31" s="124"/>
      <c r="E31" s="124"/>
      <c r="F31" s="124"/>
      <c r="G31" s="124"/>
      <c r="H31" s="121"/>
      <c r="I31" s="121"/>
      <c r="J31" s="121"/>
      <c r="K31" s="125"/>
      <c r="L31" s="126"/>
      <c r="M31" s="126"/>
      <c r="N31" s="125"/>
      <c r="O31" s="119"/>
    </row>
    <row r="32" spans="1:15" ht="12.75" customHeight="1">
      <c r="A32" s="105"/>
      <c r="B32" s="119">
        <v>24</v>
      </c>
      <c r="C32" s="120"/>
      <c r="D32" s="124"/>
      <c r="E32" s="124"/>
      <c r="F32" s="124"/>
      <c r="G32" s="124"/>
      <c r="H32" s="121"/>
      <c r="I32" s="121"/>
      <c r="J32" s="121"/>
      <c r="K32" s="125"/>
      <c r="L32" s="126"/>
      <c r="M32" s="126"/>
      <c r="N32" s="125"/>
      <c r="O32" s="119"/>
    </row>
    <row r="33" spans="1:15" ht="12.75" customHeight="1">
      <c r="A33" s="105"/>
      <c r="B33" s="119">
        <v>25</v>
      </c>
      <c r="C33" s="120"/>
      <c r="D33" s="124"/>
      <c r="E33" s="124"/>
      <c r="F33" s="124"/>
      <c r="G33" s="124"/>
      <c r="H33" s="121"/>
      <c r="I33" s="121"/>
      <c r="J33" s="121"/>
      <c r="K33" s="125"/>
      <c r="L33" s="126"/>
      <c r="M33" s="126"/>
      <c r="N33" s="125"/>
      <c r="O33" s="119"/>
    </row>
    <row r="34" spans="1:15" ht="12.75" customHeight="1">
      <c r="A34" s="105"/>
      <c r="B34" s="119">
        <v>26</v>
      </c>
      <c r="C34" s="120"/>
      <c r="D34" s="124"/>
      <c r="E34" s="124"/>
      <c r="F34" s="124"/>
      <c r="G34" s="124"/>
      <c r="H34" s="121"/>
      <c r="I34" s="121"/>
      <c r="J34" s="121"/>
      <c r="K34" s="125"/>
      <c r="L34" s="126"/>
      <c r="M34" s="126"/>
      <c r="N34" s="125"/>
      <c r="O34" s="119"/>
    </row>
    <row r="35" spans="1:15" ht="12.75" customHeight="1">
      <c r="A35" s="105"/>
      <c r="B35" s="119">
        <v>27</v>
      </c>
      <c r="C35" s="120"/>
      <c r="D35" s="124"/>
      <c r="E35" s="124"/>
      <c r="F35" s="124"/>
      <c r="G35" s="124"/>
      <c r="H35" s="121"/>
      <c r="I35" s="121"/>
      <c r="J35" s="121"/>
      <c r="K35" s="125"/>
      <c r="L35" s="126"/>
      <c r="M35" s="126"/>
      <c r="N35" s="125"/>
      <c r="O35" s="119"/>
    </row>
    <row r="36" spans="1:15" ht="12.75" customHeight="1">
      <c r="A36" s="105"/>
      <c r="B36" s="119">
        <v>28</v>
      </c>
      <c r="C36" s="120"/>
      <c r="D36" s="124"/>
      <c r="E36" s="124"/>
      <c r="F36" s="124"/>
      <c r="G36" s="124"/>
      <c r="H36" s="121"/>
      <c r="I36" s="121"/>
      <c r="J36" s="121"/>
      <c r="K36" s="125"/>
      <c r="L36" s="126"/>
      <c r="M36" s="126"/>
      <c r="N36" s="125"/>
      <c r="O36" s="119"/>
    </row>
    <row r="37" spans="1:15" ht="12.75" customHeight="1">
      <c r="A37" s="105"/>
      <c r="B37" s="119">
        <v>29</v>
      </c>
      <c r="C37" s="120"/>
      <c r="D37" s="124"/>
      <c r="E37" s="124"/>
      <c r="F37" s="124"/>
      <c r="G37" s="124"/>
      <c r="H37" s="121"/>
      <c r="I37" s="121"/>
      <c r="J37" s="121"/>
      <c r="K37" s="125"/>
      <c r="L37" s="126"/>
      <c r="M37" s="126"/>
      <c r="N37" s="125"/>
      <c r="O37" s="119"/>
    </row>
    <row r="38" spans="1:15" ht="12.75" customHeight="1">
      <c r="A38" s="105"/>
      <c r="B38" s="119">
        <v>30</v>
      </c>
      <c r="C38" s="120"/>
      <c r="D38" s="124"/>
      <c r="E38" s="124"/>
      <c r="F38" s="124"/>
      <c r="G38" s="124"/>
      <c r="H38" s="121"/>
      <c r="I38" s="121"/>
      <c r="J38" s="121"/>
      <c r="K38" s="125"/>
      <c r="L38" s="126"/>
      <c r="M38" s="126"/>
      <c r="N38" s="125"/>
      <c r="O38" s="119"/>
    </row>
    <row r="39" spans="1:15" ht="12.75" customHeight="1">
      <c r="A39" s="105"/>
      <c r="B39" s="119">
        <v>31</v>
      </c>
      <c r="C39" s="120"/>
      <c r="D39" s="124"/>
      <c r="E39" s="124"/>
      <c r="F39" s="124"/>
      <c r="G39" s="124"/>
      <c r="H39" s="121"/>
      <c r="I39" s="121"/>
      <c r="J39" s="121"/>
      <c r="K39" s="125"/>
      <c r="L39" s="126"/>
      <c r="M39" s="126"/>
      <c r="N39" s="125"/>
      <c r="O39" s="119"/>
    </row>
    <row r="40" spans="1:15" ht="12.75" customHeight="1">
      <c r="A40" s="105"/>
      <c r="B40" s="119">
        <v>32</v>
      </c>
      <c r="C40" s="120"/>
      <c r="D40" s="124"/>
      <c r="E40" s="131"/>
      <c r="F40" s="131"/>
      <c r="G40" s="124"/>
      <c r="H40" s="121"/>
      <c r="I40" s="121"/>
      <c r="J40" s="121"/>
      <c r="K40" s="125"/>
      <c r="L40" s="126"/>
      <c r="M40" s="126"/>
      <c r="N40" s="125"/>
      <c r="O40" s="119"/>
    </row>
    <row r="41" spans="1:15" ht="12.75" customHeight="1">
      <c r="A41" s="105"/>
      <c r="B41" s="119">
        <v>33</v>
      </c>
      <c r="C41" s="120"/>
      <c r="D41" s="124"/>
      <c r="E41" s="131"/>
      <c r="F41" s="131"/>
      <c r="G41" s="124"/>
      <c r="H41" s="121"/>
      <c r="I41" s="121"/>
      <c r="J41" s="121"/>
      <c r="K41" s="125"/>
      <c r="L41" s="126"/>
      <c r="M41" s="126"/>
      <c r="N41" s="125"/>
      <c r="O41" s="119"/>
    </row>
    <row r="42" spans="1:15" ht="12.75" customHeight="1">
      <c r="A42" s="105"/>
      <c r="B42" s="119">
        <v>34</v>
      </c>
      <c r="C42" s="120"/>
      <c r="D42" s="124"/>
      <c r="E42" s="131"/>
      <c r="F42" s="131"/>
      <c r="G42" s="124"/>
      <c r="H42" s="121"/>
      <c r="I42" s="121"/>
      <c r="J42" s="121"/>
      <c r="K42" s="125"/>
      <c r="L42" s="126"/>
      <c r="M42" s="126"/>
      <c r="N42" s="125"/>
      <c r="O42" s="119"/>
    </row>
    <row r="43" spans="1:15" ht="12.75" customHeight="1">
      <c r="A43" s="105"/>
      <c r="B43" s="119">
        <v>35</v>
      </c>
      <c r="C43" s="120"/>
      <c r="D43" s="124"/>
      <c r="E43" s="131"/>
      <c r="F43" s="131"/>
      <c r="G43" s="124"/>
      <c r="H43" s="121"/>
      <c r="I43" s="121"/>
      <c r="J43" s="121"/>
      <c r="K43" s="125"/>
      <c r="L43" s="126"/>
      <c r="M43" s="126"/>
      <c r="N43" s="125"/>
      <c r="O43" s="119"/>
    </row>
    <row r="44" spans="1:15" ht="12.75" customHeight="1">
      <c r="A44" s="105"/>
      <c r="B44" s="119">
        <v>36</v>
      </c>
      <c r="C44" s="120"/>
      <c r="D44" s="124"/>
      <c r="E44" s="131"/>
      <c r="F44" s="131"/>
      <c r="G44" s="124"/>
      <c r="H44" s="121"/>
      <c r="I44" s="121"/>
      <c r="J44" s="121"/>
      <c r="K44" s="125"/>
      <c r="L44" s="126"/>
      <c r="M44" s="126"/>
      <c r="N44" s="125"/>
      <c r="O44" s="119"/>
    </row>
    <row r="45" spans="1:15" ht="12.75" customHeight="1">
      <c r="A45" s="105"/>
      <c r="B45" s="119">
        <v>37</v>
      </c>
      <c r="C45" s="120"/>
      <c r="D45" s="124"/>
      <c r="E45" s="131"/>
      <c r="F45" s="131"/>
      <c r="G45" s="124"/>
      <c r="H45" s="121"/>
      <c r="I45" s="121"/>
      <c r="J45" s="121"/>
      <c r="K45" s="125"/>
      <c r="L45" s="126"/>
      <c r="M45" s="126"/>
      <c r="N45" s="125"/>
      <c r="O45" s="119"/>
    </row>
    <row r="46" spans="1:15" ht="12.75" customHeight="1">
      <c r="A46" s="105"/>
      <c r="B46" s="119">
        <v>38</v>
      </c>
      <c r="C46" s="120"/>
      <c r="D46" s="124"/>
      <c r="E46" s="131"/>
      <c r="F46" s="131"/>
      <c r="G46" s="124"/>
      <c r="H46" s="121"/>
      <c r="I46" s="121"/>
      <c r="J46" s="121"/>
      <c r="K46" s="125"/>
      <c r="L46" s="126"/>
      <c r="M46" s="126"/>
      <c r="N46" s="125"/>
      <c r="O46" s="119"/>
    </row>
    <row r="47" spans="1:15" ht="12.75" customHeight="1">
      <c r="A47" s="105"/>
      <c r="B47" s="119">
        <v>39</v>
      </c>
      <c r="C47" s="120"/>
      <c r="D47" s="124"/>
      <c r="E47" s="131"/>
      <c r="F47" s="131"/>
      <c r="G47" s="124"/>
      <c r="H47" s="121"/>
      <c r="I47" s="121"/>
      <c r="J47" s="121"/>
      <c r="K47" s="125"/>
      <c r="L47" s="126"/>
      <c r="M47" s="126"/>
      <c r="N47" s="125"/>
      <c r="O47" s="119"/>
    </row>
    <row r="48" spans="1:15" ht="12.75" customHeight="1">
      <c r="A48" s="105"/>
      <c r="B48" s="119">
        <v>40</v>
      </c>
      <c r="C48" s="120"/>
      <c r="D48" s="124"/>
      <c r="E48" s="131"/>
      <c r="F48" s="131"/>
      <c r="G48" s="124"/>
      <c r="H48" s="121"/>
      <c r="I48" s="121"/>
      <c r="J48" s="121"/>
      <c r="K48" s="125"/>
      <c r="L48" s="126"/>
      <c r="M48" s="126"/>
      <c r="N48" s="125"/>
      <c r="O48" s="119"/>
    </row>
    <row r="49" spans="1:15" ht="12.75" customHeight="1">
      <c r="A49" s="105"/>
      <c r="B49" s="119">
        <v>41</v>
      </c>
      <c r="C49" s="120"/>
      <c r="D49" s="124"/>
      <c r="E49" s="131"/>
      <c r="F49" s="131"/>
      <c r="G49" s="124"/>
      <c r="H49" s="121"/>
      <c r="I49" s="121"/>
      <c r="J49" s="121"/>
      <c r="K49" s="125"/>
      <c r="L49" s="126"/>
      <c r="M49" s="126"/>
      <c r="N49" s="125"/>
      <c r="O49" s="119"/>
    </row>
    <row r="50" spans="1:15" ht="12.75" customHeight="1">
      <c r="A50" s="105"/>
      <c r="B50" s="119">
        <v>42</v>
      </c>
      <c r="C50" s="120"/>
      <c r="D50" s="124"/>
      <c r="E50" s="131"/>
      <c r="F50" s="131"/>
      <c r="G50" s="124"/>
      <c r="H50" s="121"/>
      <c r="I50" s="121"/>
      <c r="J50" s="121"/>
      <c r="K50" s="125"/>
      <c r="L50" s="126"/>
      <c r="M50" s="126"/>
      <c r="N50" s="125"/>
      <c r="O50" s="119"/>
    </row>
    <row r="51" spans="1:15" ht="12.75" customHeight="1">
      <c r="A51" s="105"/>
      <c r="B51" s="119">
        <v>43</v>
      </c>
      <c r="C51" s="120"/>
      <c r="D51" s="124"/>
      <c r="E51" s="131"/>
      <c r="F51" s="131"/>
      <c r="G51" s="124"/>
      <c r="H51" s="121"/>
      <c r="I51" s="121"/>
      <c r="J51" s="121"/>
      <c r="K51" s="125"/>
      <c r="L51" s="126"/>
      <c r="M51" s="126"/>
      <c r="N51" s="125"/>
      <c r="O51" s="119"/>
    </row>
    <row r="52" spans="1:15" ht="12.75" customHeight="1">
      <c r="A52" s="105"/>
      <c r="B52" s="119">
        <v>44</v>
      </c>
      <c r="C52" s="120"/>
      <c r="D52" s="124"/>
      <c r="E52" s="131"/>
      <c r="F52" s="131"/>
      <c r="G52" s="124"/>
      <c r="H52" s="121"/>
      <c r="I52" s="121"/>
      <c r="J52" s="121"/>
      <c r="K52" s="125"/>
      <c r="L52" s="126"/>
      <c r="M52" s="126"/>
      <c r="N52" s="125"/>
      <c r="O52" s="119"/>
    </row>
    <row r="53" spans="1:15" ht="12.75" customHeight="1">
      <c r="A53" s="105"/>
      <c r="B53" s="119">
        <v>45</v>
      </c>
      <c r="C53" s="120"/>
      <c r="D53" s="124"/>
      <c r="E53" s="131"/>
      <c r="F53" s="131"/>
      <c r="G53" s="124"/>
      <c r="H53" s="121"/>
      <c r="I53" s="121"/>
      <c r="J53" s="121"/>
      <c r="K53" s="125"/>
      <c r="L53" s="126"/>
      <c r="M53" s="126"/>
      <c r="N53" s="125"/>
      <c r="O53" s="119"/>
    </row>
    <row r="54" spans="1:15" ht="12.75" customHeight="1">
      <c r="A54" s="105"/>
      <c r="B54" s="119">
        <v>46</v>
      </c>
      <c r="C54" s="120"/>
      <c r="D54" s="124"/>
      <c r="E54" s="131"/>
      <c r="F54" s="131"/>
      <c r="G54" s="124"/>
      <c r="H54" s="121"/>
      <c r="I54" s="121"/>
      <c r="J54" s="121"/>
      <c r="K54" s="125"/>
      <c r="L54" s="126"/>
      <c r="M54" s="126"/>
      <c r="N54" s="125"/>
      <c r="O54" s="119"/>
    </row>
    <row r="55" spans="1:15" ht="12.75" customHeight="1">
      <c r="A55" s="105"/>
      <c r="B55" s="119">
        <v>47</v>
      </c>
      <c r="C55" s="120"/>
      <c r="D55" s="124"/>
      <c r="E55" s="131"/>
      <c r="F55" s="131"/>
      <c r="G55" s="124"/>
      <c r="H55" s="121"/>
      <c r="I55" s="121"/>
      <c r="J55" s="121"/>
      <c r="K55" s="125"/>
      <c r="L55" s="126"/>
      <c r="M55" s="126"/>
      <c r="N55" s="125"/>
      <c r="O55" s="119"/>
    </row>
    <row r="56" spans="1:15" ht="12.75" customHeight="1">
      <c r="A56" s="105"/>
      <c r="B56" s="119">
        <v>48</v>
      </c>
      <c r="C56" s="120"/>
      <c r="D56" s="124"/>
      <c r="E56" s="131"/>
      <c r="F56" s="131"/>
      <c r="G56" s="124"/>
      <c r="H56" s="121"/>
      <c r="I56" s="121"/>
      <c r="J56" s="121"/>
      <c r="K56" s="125"/>
      <c r="L56" s="126"/>
      <c r="M56" s="126"/>
      <c r="N56" s="125"/>
      <c r="O56" s="119"/>
    </row>
    <row r="57" spans="1:15" ht="12.75" customHeight="1">
      <c r="A57" s="105"/>
      <c r="B57" s="119">
        <v>49</v>
      </c>
      <c r="C57" s="120"/>
      <c r="D57" s="124"/>
      <c r="E57" s="131"/>
      <c r="F57" s="131"/>
      <c r="G57" s="124"/>
      <c r="H57" s="121"/>
      <c r="I57" s="121"/>
      <c r="J57" s="121"/>
      <c r="K57" s="125"/>
      <c r="L57" s="126"/>
      <c r="M57" s="126"/>
      <c r="N57" s="125"/>
      <c r="O57" s="119"/>
    </row>
    <row r="58" spans="1:15" ht="12.75" customHeight="1">
      <c r="A58" s="105"/>
      <c r="B58" s="119">
        <v>50</v>
      </c>
      <c r="C58" s="120"/>
      <c r="D58" s="124"/>
      <c r="E58" s="131"/>
      <c r="F58" s="131"/>
      <c r="G58" s="124"/>
      <c r="H58" s="121"/>
      <c r="I58" s="121"/>
      <c r="J58" s="121"/>
      <c r="K58" s="125"/>
      <c r="L58" s="126"/>
      <c r="M58" s="126"/>
      <c r="N58" s="125"/>
      <c r="O58" s="119"/>
    </row>
    <row r="59" spans="1:15" ht="12.75" customHeight="1">
      <c r="A59" s="105"/>
      <c r="B59" s="119">
        <v>51</v>
      </c>
      <c r="C59" s="120"/>
      <c r="D59" s="124"/>
      <c r="E59" s="131"/>
      <c r="F59" s="131"/>
      <c r="G59" s="124"/>
      <c r="H59" s="121"/>
      <c r="I59" s="121"/>
      <c r="J59" s="121"/>
      <c r="K59" s="125"/>
      <c r="L59" s="126"/>
      <c r="M59" s="126"/>
      <c r="N59" s="125"/>
      <c r="O59" s="119"/>
    </row>
    <row r="60" spans="1:15" ht="12.75" customHeight="1">
      <c r="A60" s="105"/>
      <c r="B60" s="119">
        <v>52</v>
      </c>
      <c r="C60" s="120"/>
      <c r="D60" s="124"/>
      <c r="E60" s="131"/>
      <c r="F60" s="131"/>
      <c r="G60" s="124"/>
      <c r="H60" s="121"/>
      <c r="I60" s="121"/>
      <c r="J60" s="121"/>
      <c r="K60" s="125"/>
      <c r="L60" s="126"/>
      <c r="M60" s="126"/>
      <c r="N60" s="125"/>
      <c r="O60" s="119"/>
    </row>
    <row r="61" spans="1:15" ht="12.75" customHeight="1">
      <c r="A61" s="105"/>
      <c r="B61" s="119">
        <v>53</v>
      </c>
      <c r="C61" s="120"/>
      <c r="D61" s="124"/>
      <c r="E61" s="131"/>
      <c r="F61" s="131"/>
      <c r="G61" s="124"/>
      <c r="H61" s="121"/>
      <c r="I61" s="121"/>
      <c r="J61" s="121"/>
      <c r="K61" s="125"/>
      <c r="L61" s="126"/>
      <c r="M61" s="126"/>
      <c r="N61" s="125"/>
      <c r="O61" s="119"/>
    </row>
    <row r="62" spans="1:15" ht="12.75" customHeight="1">
      <c r="A62" s="105"/>
      <c r="B62" s="119">
        <v>54</v>
      </c>
      <c r="C62" s="120"/>
      <c r="D62" s="124"/>
      <c r="E62" s="131"/>
      <c r="F62" s="131"/>
      <c r="G62" s="124"/>
      <c r="H62" s="121"/>
      <c r="I62" s="121"/>
      <c r="J62" s="121"/>
      <c r="K62" s="125"/>
      <c r="L62" s="126"/>
      <c r="M62" s="126"/>
      <c r="N62" s="125"/>
      <c r="O62" s="119"/>
    </row>
    <row r="63" spans="1:15" ht="12.75" customHeight="1">
      <c r="A63" s="105"/>
      <c r="B63" s="119">
        <v>55</v>
      </c>
      <c r="C63" s="120"/>
      <c r="D63" s="124"/>
      <c r="E63" s="131"/>
      <c r="F63" s="131"/>
      <c r="G63" s="124"/>
      <c r="H63" s="121"/>
      <c r="I63" s="121"/>
      <c r="J63" s="121"/>
      <c r="K63" s="125"/>
      <c r="L63" s="126"/>
      <c r="M63" s="126"/>
      <c r="N63" s="125"/>
      <c r="O63" s="119"/>
    </row>
    <row r="64" spans="1:15" ht="12.75" customHeight="1">
      <c r="A64" s="105"/>
      <c r="B64" s="119">
        <v>56</v>
      </c>
      <c r="C64" s="120"/>
      <c r="D64" s="124"/>
      <c r="E64" s="131"/>
      <c r="F64" s="131"/>
      <c r="G64" s="124"/>
      <c r="H64" s="121"/>
      <c r="I64" s="121"/>
      <c r="J64" s="121"/>
      <c r="K64" s="125"/>
      <c r="L64" s="126"/>
      <c r="M64" s="126"/>
      <c r="N64" s="125"/>
      <c r="O64" s="119"/>
    </row>
    <row r="65" spans="1:15" ht="12.75" customHeight="1">
      <c r="A65" s="105"/>
      <c r="B65" s="119">
        <v>57</v>
      </c>
      <c r="C65" s="120"/>
      <c r="D65" s="124"/>
      <c r="E65" s="131"/>
      <c r="F65" s="131"/>
      <c r="G65" s="124"/>
      <c r="H65" s="121"/>
      <c r="I65" s="121"/>
      <c r="J65" s="121"/>
      <c r="K65" s="125"/>
      <c r="L65" s="126"/>
      <c r="M65" s="126"/>
      <c r="N65" s="125"/>
      <c r="O65" s="119"/>
    </row>
    <row r="66" spans="1:15" ht="12.75" customHeight="1">
      <c r="A66" s="105"/>
      <c r="B66" s="119">
        <v>58</v>
      </c>
      <c r="C66" s="120"/>
      <c r="D66" s="124"/>
      <c r="E66" s="131"/>
      <c r="F66" s="131"/>
      <c r="G66" s="124"/>
      <c r="H66" s="121"/>
      <c r="I66" s="121"/>
      <c r="J66" s="121"/>
      <c r="K66" s="125"/>
      <c r="L66" s="126"/>
      <c r="M66" s="126"/>
      <c r="N66" s="125"/>
      <c r="O66" s="119"/>
    </row>
    <row r="67" spans="1:15" ht="12.75" customHeight="1">
      <c r="A67" s="105"/>
      <c r="B67" s="119">
        <v>59</v>
      </c>
      <c r="C67" s="120"/>
      <c r="D67" s="124"/>
      <c r="E67" s="131"/>
      <c r="F67" s="131"/>
      <c r="G67" s="124"/>
      <c r="H67" s="121"/>
      <c r="I67" s="121"/>
      <c r="J67" s="121"/>
      <c r="K67" s="125"/>
      <c r="L67" s="126"/>
      <c r="M67" s="126"/>
      <c r="N67" s="125"/>
      <c r="O67" s="119"/>
    </row>
    <row r="68" spans="1:15" ht="12.75" customHeight="1">
      <c r="A68" s="105"/>
      <c r="B68" s="119">
        <v>60</v>
      </c>
      <c r="C68" s="120"/>
      <c r="D68" s="124"/>
      <c r="E68" s="131"/>
      <c r="F68" s="131"/>
      <c r="G68" s="124"/>
      <c r="H68" s="121"/>
      <c r="I68" s="121"/>
      <c r="J68" s="121"/>
      <c r="K68" s="125"/>
      <c r="L68" s="126"/>
      <c r="M68" s="126"/>
      <c r="N68" s="125"/>
      <c r="O68" s="119"/>
    </row>
    <row r="69" spans="1:15" ht="12.75" customHeight="1">
      <c r="A69" s="105"/>
      <c r="B69" s="119">
        <v>61</v>
      </c>
      <c r="C69" s="120"/>
      <c r="D69" s="124"/>
      <c r="E69" s="131"/>
      <c r="F69" s="131"/>
      <c r="G69" s="124"/>
      <c r="H69" s="121"/>
      <c r="I69" s="121"/>
      <c r="J69" s="121"/>
      <c r="K69" s="125"/>
      <c r="L69" s="126"/>
      <c r="M69" s="126"/>
      <c r="N69" s="125"/>
      <c r="O69" s="119"/>
    </row>
    <row r="70" spans="1:15" ht="12.75" customHeight="1">
      <c r="A70" s="105"/>
      <c r="B70" s="119">
        <v>62</v>
      </c>
      <c r="C70" s="120"/>
      <c r="D70" s="124"/>
      <c r="E70" s="131"/>
      <c r="F70" s="131"/>
      <c r="G70" s="124"/>
      <c r="H70" s="121"/>
      <c r="I70" s="121"/>
      <c r="J70" s="121"/>
      <c r="K70" s="125"/>
      <c r="L70" s="126"/>
      <c r="M70" s="126"/>
      <c r="N70" s="125"/>
      <c r="O70" s="119"/>
    </row>
    <row r="71" spans="1:15" ht="12.75" customHeight="1">
      <c r="A71" s="105"/>
      <c r="B71" s="119">
        <v>63</v>
      </c>
      <c r="C71" s="120"/>
      <c r="D71" s="124"/>
      <c r="E71" s="131"/>
      <c r="F71" s="131"/>
      <c r="G71" s="124"/>
      <c r="H71" s="121"/>
      <c r="I71" s="121"/>
      <c r="J71" s="121"/>
      <c r="K71" s="125"/>
      <c r="L71" s="126"/>
      <c r="M71" s="126"/>
      <c r="N71" s="125"/>
      <c r="O71" s="119"/>
    </row>
    <row r="72" spans="1:15" ht="12.75" customHeight="1">
      <c r="A72" s="105"/>
      <c r="B72" s="119">
        <v>64</v>
      </c>
      <c r="C72" s="120"/>
      <c r="D72" s="124"/>
      <c r="E72" s="131"/>
      <c r="F72" s="131"/>
      <c r="G72" s="124"/>
      <c r="H72" s="121"/>
      <c r="I72" s="121"/>
      <c r="J72" s="121"/>
      <c r="K72" s="125"/>
      <c r="L72" s="126"/>
      <c r="M72" s="126"/>
      <c r="N72" s="125"/>
      <c r="O72" s="119"/>
    </row>
    <row r="73" spans="1:15" ht="12.75" customHeight="1">
      <c r="A73" s="105"/>
      <c r="B73" s="119">
        <v>65</v>
      </c>
      <c r="C73" s="120"/>
      <c r="D73" s="124"/>
      <c r="E73" s="131"/>
      <c r="F73" s="131"/>
      <c r="G73" s="124"/>
      <c r="H73" s="121"/>
      <c r="I73" s="121"/>
      <c r="J73" s="121"/>
      <c r="K73" s="125"/>
      <c r="L73" s="126"/>
      <c r="M73" s="126"/>
      <c r="N73" s="125"/>
      <c r="O73" s="119"/>
    </row>
    <row r="74" spans="1:15" ht="12.75" customHeight="1">
      <c r="A74" s="105"/>
      <c r="B74" s="119">
        <v>66</v>
      </c>
      <c r="C74" s="120"/>
      <c r="D74" s="124"/>
      <c r="E74" s="131"/>
      <c r="F74" s="131"/>
      <c r="G74" s="124"/>
      <c r="H74" s="121"/>
      <c r="I74" s="121"/>
      <c r="J74" s="121"/>
      <c r="K74" s="125"/>
      <c r="L74" s="126"/>
      <c r="M74" s="126"/>
      <c r="N74" s="125"/>
      <c r="O74" s="119"/>
    </row>
    <row r="75" spans="1:15" ht="12.75" customHeight="1">
      <c r="A75" s="105"/>
      <c r="B75" s="119">
        <v>67</v>
      </c>
      <c r="C75" s="120"/>
      <c r="D75" s="124"/>
      <c r="E75" s="131"/>
      <c r="F75" s="131"/>
      <c r="G75" s="124"/>
      <c r="H75" s="121"/>
      <c r="I75" s="121"/>
      <c r="J75" s="121"/>
      <c r="K75" s="125"/>
      <c r="L75" s="126"/>
      <c r="M75" s="126"/>
      <c r="N75" s="125"/>
      <c r="O75" s="119"/>
    </row>
    <row r="76" spans="1:15" ht="12.75" customHeight="1">
      <c r="A76" s="105"/>
      <c r="B76" s="119">
        <v>68</v>
      </c>
      <c r="C76" s="120"/>
      <c r="D76" s="124"/>
      <c r="E76" s="131"/>
      <c r="F76" s="131"/>
      <c r="G76" s="124"/>
      <c r="H76" s="121"/>
      <c r="I76" s="121"/>
      <c r="J76" s="121"/>
      <c r="K76" s="125"/>
      <c r="L76" s="126"/>
      <c r="M76" s="126"/>
      <c r="N76" s="125"/>
      <c r="O76" s="119"/>
    </row>
    <row r="77" spans="1:15" ht="12.75" customHeight="1">
      <c r="A77" s="105"/>
      <c r="B77" s="119">
        <v>69</v>
      </c>
      <c r="C77" s="120"/>
      <c r="D77" s="124"/>
      <c r="E77" s="131"/>
      <c r="F77" s="131"/>
      <c r="G77" s="124"/>
      <c r="H77" s="121"/>
      <c r="I77" s="121"/>
      <c r="J77" s="121"/>
      <c r="K77" s="125"/>
      <c r="L77" s="126"/>
      <c r="M77" s="126"/>
      <c r="N77" s="125"/>
      <c r="O77" s="119"/>
    </row>
    <row r="78" spans="1:15" ht="12.75" customHeight="1">
      <c r="A78" s="105"/>
      <c r="B78" s="119">
        <v>70</v>
      </c>
      <c r="C78" s="120"/>
      <c r="D78" s="124"/>
      <c r="E78" s="131"/>
      <c r="F78" s="131"/>
      <c r="G78" s="124"/>
      <c r="H78" s="121"/>
      <c r="I78" s="121"/>
      <c r="J78" s="121"/>
      <c r="K78" s="125"/>
      <c r="L78" s="126"/>
      <c r="M78" s="126"/>
      <c r="N78" s="125"/>
      <c r="O78" s="119"/>
    </row>
    <row r="79" spans="1:15" ht="12.75" customHeight="1">
      <c r="A79" s="105"/>
      <c r="B79" s="119">
        <v>71</v>
      </c>
      <c r="C79" s="120"/>
      <c r="D79" s="124"/>
      <c r="E79" s="131"/>
      <c r="F79" s="131"/>
      <c r="G79" s="124"/>
      <c r="H79" s="121"/>
      <c r="I79" s="121"/>
      <c r="J79" s="121"/>
      <c r="K79" s="125"/>
      <c r="L79" s="126"/>
      <c r="M79" s="126"/>
      <c r="N79" s="125"/>
      <c r="O79" s="119"/>
    </row>
    <row r="80" spans="1:15" ht="12.75" customHeight="1">
      <c r="A80" s="105"/>
      <c r="B80" s="119">
        <v>72</v>
      </c>
      <c r="C80" s="120"/>
      <c r="D80" s="124"/>
      <c r="E80" s="131"/>
      <c r="F80" s="131"/>
      <c r="G80" s="124"/>
      <c r="H80" s="121"/>
      <c r="I80" s="121"/>
      <c r="J80" s="121"/>
      <c r="K80" s="125"/>
      <c r="L80" s="126"/>
      <c r="M80" s="126"/>
      <c r="N80" s="125"/>
      <c r="O80" s="119"/>
    </row>
    <row r="81" spans="1:15" ht="12.75" customHeight="1">
      <c r="A81" s="105"/>
      <c r="B81" s="119">
        <v>73</v>
      </c>
      <c r="C81" s="120"/>
      <c r="D81" s="124"/>
      <c r="E81" s="131"/>
      <c r="F81" s="131"/>
      <c r="G81" s="124"/>
      <c r="H81" s="121"/>
      <c r="I81" s="121"/>
      <c r="J81" s="121"/>
      <c r="K81" s="125"/>
      <c r="L81" s="126"/>
      <c r="M81" s="126"/>
      <c r="N81" s="125"/>
      <c r="O81" s="119"/>
    </row>
    <row r="82" spans="1:15" ht="12.75" customHeight="1">
      <c r="A82" s="105"/>
      <c r="B82" s="119">
        <v>74</v>
      </c>
      <c r="C82" s="120"/>
      <c r="D82" s="124"/>
      <c r="E82" s="131"/>
      <c r="F82" s="131"/>
      <c r="G82" s="124"/>
      <c r="H82" s="121"/>
      <c r="I82" s="121"/>
      <c r="J82" s="121"/>
      <c r="K82" s="125"/>
      <c r="L82" s="126"/>
      <c r="M82" s="126"/>
      <c r="N82" s="125"/>
      <c r="O82" s="119"/>
    </row>
    <row r="83" spans="1:15" ht="12.75" customHeight="1">
      <c r="A83" s="105"/>
      <c r="B83" s="119">
        <v>75</v>
      </c>
      <c r="C83" s="120"/>
      <c r="D83" s="124"/>
      <c r="E83" s="131"/>
      <c r="F83" s="131"/>
      <c r="G83" s="124"/>
      <c r="H83" s="121"/>
      <c r="I83" s="121"/>
      <c r="J83" s="121"/>
      <c r="K83" s="125"/>
      <c r="L83" s="126"/>
      <c r="M83" s="126"/>
      <c r="N83" s="125"/>
      <c r="O83" s="119"/>
    </row>
    <row r="84" spans="1:15" ht="12.75" customHeight="1">
      <c r="A84" s="105"/>
      <c r="B84" s="119">
        <v>76</v>
      </c>
      <c r="C84" s="120"/>
      <c r="D84" s="124"/>
      <c r="E84" s="131"/>
      <c r="F84" s="131"/>
      <c r="G84" s="124"/>
      <c r="H84" s="121"/>
      <c r="I84" s="121"/>
      <c r="J84" s="121"/>
      <c r="K84" s="125"/>
      <c r="L84" s="126"/>
      <c r="M84" s="126"/>
      <c r="N84" s="125"/>
      <c r="O84" s="119"/>
    </row>
    <row r="85" spans="1:15" ht="12.75" customHeight="1">
      <c r="A85" s="105"/>
      <c r="B85" s="119">
        <v>77</v>
      </c>
      <c r="C85" s="120"/>
      <c r="D85" s="124"/>
      <c r="E85" s="131"/>
      <c r="F85" s="131"/>
      <c r="G85" s="124"/>
      <c r="H85" s="121"/>
      <c r="I85" s="121"/>
      <c r="J85" s="121"/>
      <c r="K85" s="125"/>
      <c r="L85" s="126"/>
      <c r="M85" s="126"/>
      <c r="N85" s="125"/>
      <c r="O85" s="119"/>
    </row>
    <row r="86" spans="1:15" ht="12.75" customHeight="1">
      <c r="A86" s="105"/>
      <c r="B86" s="119">
        <v>78</v>
      </c>
      <c r="C86" s="120"/>
      <c r="D86" s="124"/>
      <c r="E86" s="131"/>
      <c r="F86" s="131"/>
      <c r="G86" s="124"/>
      <c r="H86" s="121"/>
      <c r="I86" s="121"/>
      <c r="J86" s="121"/>
      <c r="K86" s="125"/>
      <c r="L86" s="126"/>
      <c r="M86" s="126"/>
      <c r="N86" s="125"/>
      <c r="O86" s="119"/>
    </row>
    <row r="87" spans="1:15" ht="12.75" customHeight="1">
      <c r="A87" s="105"/>
      <c r="B87" s="119">
        <v>79</v>
      </c>
      <c r="C87" s="120"/>
      <c r="D87" s="124"/>
      <c r="E87" s="131"/>
      <c r="F87" s="131"/>
      <c r="G87" s="124"/>
      <c r="H87" s="121"/>
      <c r="I87" s="121"/>
      <c r="J87" s="121"/>
      <c r="K87" s="125"/>
      <c r="L87" s="126"/>
      <c r="M87" s="126"/>
      <c r="N87" s="125"/>
      <c r="O87" s="119"/>
    </row>
    <row r="88" spans="1:15" ht="12.75" customHeight="1">
      <c r="A88" s="105"/>
      <c r="B88" s="119">
        <v>80</v>
      </c>
      <c r="C88" s="120"/>
      <c r="D88" s="124"/>
      <c r="E88" s="131"/>
      <c r="F88" s="131"/>
      <c r="G88" s="124"/>
      <c r="H88" s="121"/>
      <c r="I88" s="121"/>
      <c r="J88" s="121"/>
      <c r="K88" s="125"/>
      <c r="L88" s="126"/>
      <c r="M88" s="126"/>
      <c r="N88" s="125"/>
      <c r="O88" s="119"/>
    </row>
    <row r="89" spans="1:15" ht="12.75" customHeight="1">
      <c r="A89" s="105"/>
      <c r="B89" s="119">
        <v>81</v>
      </c>
      <c r="C89" s="120"/>
      <c r="D89" s="124"/>
      <c r="E89" s="131"/>
      <c r="F89" s="131"/>
      <c r="G89" s="124"/>
      <c r="H89" s="121"/>
      <c r="I89" s="121"/>
      <c r="J89" s="121"/>
      <c r="K89" s="125"/>
      <c r="L89" s="126"/>
      <c r="M89" s="126"/>
      <c r="N89" s="125"/>
      <c r="O89" s="119"/>
    </row>
    <row r="90" spans="1:15" ht="12.75" customHeight="1">
      <c r="A90" s="105"/>
      <c r="B90" s="119">
        <v>82</v>
      </c>
      <c r="C90" s="120"/>
      <c r="D90" s="124"/>
      <c r="E90" s="131"/>
      <c r="F90" s="131"/>
      <c r="G90" s="124"/>
      <c r="H90" s="121"/>
      <c r="I90" s="121"/>
      <c r="J90" s="121"/>
      <c r="K90" s="125"/>
      <c r="L90" s="126"/>
      <c r="M90" s="126"/>
      <c r="N90" s="125"/>
      <c r="O90" s="119"/>
    </row>
    <row r="91" spans="1:15" ht="12.75" customHeight="1">
      <c r="A91" s="105"/>
      <c r="B91" s="119">
        <v>83</v>
      </c>
      <c r="C91" s="120"/>
      <c r="D91" s="124"/>
      <c r="E91" s="131"/>
      <c r="F91" s="131"/>
      <c r="G91" s="124"/>
      <c r="H91" s="121"/>
      <c r="I91" s="121"/>
      <c r="J91" s="121"/>
      <c r="K91" s="125"/>
      <c r="L91" s="126"/>
      <c r="M91" s="126"/>
      <c r="N91" s="125"/>
      <c r="O91" s="119"/>
    </row>
    <row r="92" spans="1:15" ht="12.75" customHeight="1">
      <c r="A92" s="105"/>
      <c r="B92" s="119">
        <v>84</v>
      </c>
      <c r="C92" s="120"/>
      <c r="D92" s="124"/>
      <c r="E92" s="131"/>
      <c r="F92" s="131"/>
      <c r="G92" s="124"/>
      <c r="H92" s="121"/>
      <c r="I92" s="121"/>
      <c r="J92" s="121"/>
      <c r="K92" s="125"/>
      <c r="L92" s="126"/>
      <c r="M92" s="126"/>
      <c r="N92" s="125"/>
      <c r="O92" s="119"/>
    </row>
    <row r="93" spans="1:15" ht="12.75" customHeight="1">
      <c r="A93" s="105"/>
      <c r="B93" s="119">
        <v>85</v>
      </c>
      <c r="C93" s="120"/>
      <c r="D93" s="124"/>
      <c r="E93" s="131"/>
      <c r="F93" s="131"/>
      <c r="G93" s="124"/>
      <c r="H93" s="121"/>
      <c r="I93" s="121"/>
      <c r="J93" s="121"/>
      <c r="K93" s="125"/>
      <c r="L93" s="126"/>
      <c r="M93" s="126"/>
      <c r="N93" s="125"/>
      <c r="O93" s="119"/>
    </row>
    <row r="94" spans="1:15" ht="12.75" customHeight="1">
      <c r="A94" s="105"/>
      <c r="B94" s="119">
        <v>86</v>
      </c>
      <c r="C94" s="120"/>
      <c r="D94" s="124"/>
      <c r="E94" s="131"/>
      <c r="F94" s="131"/>
      <c r="G94" s="124"/>
      <c r="H94" s="121"/>
      <c r="I94" s="121"/>
      <c r="J94" s="121"/>
      <c r="K94" s="125"/>
      <c r="L94" s="126"/>
      <c r="M94" s="126"/>
      <c r="N94" s="125"/>
      <c r="O94" s="119"/>
    </row>
    <row r="95" spans="1:15" ht="12.75" customHeight="1">
      <c r="A95" s="105"/>
      <c r="B95" s="119">
        <v>87</v>
      </c>
      <c r="C95" s="120"/>
      <c r="D95" s="124"/>
      <c r="E95" s="131"/>
      <c r="F95" s="131"/>
      <c r="G95" s="124"/>
      <c r="H95" s="121"/>
      <c r="I95" s="121"/>
      <c r="J95" s="121"/>
      <c r="K95" s="125"/>
      <c r="L95" s="126"/>
      <c r="M95" s="126"/>
      <c r="N95" s="125"/>
      <c r="O95" s="119"/>
    </row>
    <row r="96" spans="1:15" ht="12.75" customHeight="1">
      <c r="A96" s="105"/>
      <c r="B96" s="119">
        <v>88</v>
      </c>
      <c r="C96" s="120"/>
      <c r="D96" s="124"/>
      <c r="E96" s="131"/>
      <c r="F96" s="131"/>
      <c r="G96" s="124"/>
      <c r="H96" s="121"/>
      <c r="I96" s="121"/>
      <c r="J96" s="121"/>
      <c r="K96" s="125"/>
      <c r="L96" s="126"/>
      <c r="M96" s="126"/>
      <c r="N96" s="125"/>
      <c r="O96" s="119"/>
    </row>
    <row r="97" spans="1:15" ht="12.75" customHeight="1">
      <c r="A97" s="105"/>
      <c r="B97" s="119">
        <v>89</v>
      </c>
      <c r="C97" s="120"/>
      <c r="D97" s="124"/>
      <c r="E97" s="131"/>
      <c r="F97" s="131"/>
      <c r="G97" s="124"/>
      <c r="H97" s="121"/>
      <c r="I97" s="121"/>
      <c r="J97" s="121"/>
      <c r="K97" s="125"/>
      <c r="L97" s="126"/>
      <c r="M97" s="126"/>
      <c r="N97" s="125"/>
      <c r="O97" s="119"/>
    </row>
    <row r="98" spans="1:15" ht="12.75" customHeight="1">
      <c r="A98" s="105"/>
      <c r="B98" s="119">
        <v>90</v>
      </c>
      <c r="C98" s="120"/>
      <c r="D98" s="124"/>
      <c r="E98" s="131"/>
      <c r="F98" s="131"/>
      <c r="G98" s="124"/>
      <c r="H98" s="121"/>
      <c r="I98" s="121"/>
      <c r="J98" s="121"/>
      <c r="K98" s="125"/>
      <c r="L98" s="126"/>
      <c r="M98" s="126"/>
      <c r="N98" s="125"/>
      <c r="O98" s="119"/>
    </row>
    <row r="99" spans="1:15" ht="12.75" customHeight="1">
      <c r="A99" s="105"/>
      <c r="B99" s="119">
        <v>91</v>
      </c>
      <c r="C99" s="120"/>
      <c r="D99" s="124"/>
      <c r="E99" s="131"/>
      <c r="F99" s="131"/>
      <c r="G99" s="124"/>
      <c r="H99" s="121"/>
      <c r="I99" s="121"/>
      <c r="J99" s="121"/>
      <c r="K99" s="125"/>
      <c r="L99" s="126"/>
      <c r="M99" s="126"/>
      <c r="N99" s="125"/>
      <c r="O99" s="119"/>
    </row>
    <row r="100" spans="1:15" ht="12.75" customHeight="1">
      <c r="A100" s="105"/>
      <c r="B100" s="119">
        <v>92</v>
      </c>
      <c r="C100" s="120"/>
      <c r="D100" s="124"/>
      <c r="E100" s="131"/>
      <c r="F100" s="131"/>
      <c r="G100" s="124"/>
      <c r="H100" s="121"/>
      <c r="I100" s="121"/>
      <c r="J100" s="121"/>
      <c r="K100" s="125"/>
      <c r="L100" s="126"/>
      <c r="M100" s="126"/>
      <c r="N100" s="125"/>
      <c r="O100" s="119"/>
    </row>
    <row r="101" spans="1:15" ht="12.75" customHeight="1">
      <c r="A101" s="105"/>
      <c r="B101" s="119">
        <v>93</v>
      </c>
      <c r="C101" s="120"/>
      <c r="D101" s="124"/>
      <c r="E101" s="131"/>
      <c r="F101" s="131"/>
      <c r="G101" s="124"/>
      <c r="H101" s="121"/>
      <c r="I101" s="121"/>
      <c r="J101" s="121"/>
      <c r="K101" s="125"/>
      <c r="L101" s="126"/>
      <c r="M101" s="126"/>
      <c r="N101" s="125"/>
      <c r="O101" s="119"/>
    </row>
    <row r="102" spans="1:15" ht="12.75" customHeight="1">
      <c r="A102" s="105"/>
      <c r="B102" s="119">
        <v>94</v>
      </c>
      <c r="C102" s="120"/>
      <c r="D102" s="124"/>
      <c r="E102" s="131"/>
      <c r="F102" s="131"/>
      <c r="G102" s="124"/>
      <c r="H102" s="121"/>
      <c r="I102" s="121"/>
      <c r="J102" s="121"/>
      <c r="K102" s="125"/>
      <c r="L102" s="126"/>
      <c r="M102" s="126"/>
      <c r="N102" s="125"/>
      <c r="O102" s="119"/>
    </row>
    <row r="103" spans="1:15" ht="12.75" customHeight="1">
      <c r="A103" s="105"/>
      <c r="B103" s="119">
        <v>95</v>
      </c>
      <c r="C103" s="120"/>
      <c r="D103" s="124"/>
      <c r="E103" s="131"/>
      <c r="F103" s="108"/>
      <c r="G103" s="124"/>
      <c r="H103" s="121"/>
      <c r="I103" s="121"/>
      <c r="J103" s="121"/>
      <c r="K103" s="125"/>
      <c r="L103" s="126"/>
      <c r="M103" s="126"/>
      <c r="N103" s="125"/>
      <c r="O103" s="119"/>
    </row>
    <row r="104" spans="1:15" ht="12.75" customHeight="1">
      <c r="A104" s="105"/>
      <c r="B104" s="119">
        <v>96</v>
      </c>
      <c r="C104" s="120"/>
      <c r="D104" s="124"/>
      <c r="E104" s="131"/>
      <c r="F104" s="131"/>
      <c r="G104" s="124"/>
      <c r="H104" s="121"/>
      <c r="I104" s="121"/>
      <c r="J104" s="121"/>
      <c r="K104" s="125"/>
      <c r="L104" s="126"/>
      <c r="M104" s="126"/>
      <c r="N104" s="125"/>
      <c r="O104" s="119"/>
    </row>
    <row r="105" spans="1:15" ht="12.75" customHeight="1">
      <c r="A105" s="105"/>
      <c r="B105" s="119">
        <v>97</v>
      </c>
      <c r="C105" s="120"/>
      <c r="D105" s="124"/>
      <c r="E105" s="131"/>
      <c r="F105" s="131"/>
      <c r="G105" s="124"/>
      <c r="H105" s="121"/>
      <c r="I105" s="121"/>
      <c r="J105" s="121"/>
      <c r="K105" s="125"/>
      <c r="L105" s="126"/>
      <c r="M105" s="126"/>
      <c r="N105" s="125"/>
      <c r="O105" s="119"/>
    </row>
    <row r="106" spans="1:15" ht="12.75" customHeight="1">
      <c r="A106" s="105"/>
      <c r="B106" s="119">
        <v>98</v>
      </c>
      <c r="C106" s="120"/>
      <c r="D106" s="124"/>
      <c r="E106" s="131"/>
      <c r="F106" s="131"/>
      <c r="G106" s="124"/>
      <c r="H106" s="121"/>
      <c r="I106" s="121"/>
      <c r="J106" s="121"/>
      <c r="K106" s="125"/>
      <c r="L106" s="126"/>
      <c r="M106" s="126"/>
      <c r="N106" s="125"/>
      <c r="O106" s="119"/>
    </row>
    <row r="107" spans="1:15" ht="12.75" customHeight="1">
      <c r="A107" s="105"/>
      <c r="B107" s="119">
        <v>99</v>
      </c>
      <c r="C107" s="120"/>
      <c r="D107" s="124"/>
      <c r="E107" s="131"/>
      <c r="F107" s="131"/>
      <c r="G107" s="124"/>
      <c r="H107" s="121"/>
      <c r="I107" s="121"/>
      <c r="J107" s="121"/>
      <c r="K107" s="125"/>
      <c r="L107" s="126"/>
      <c r="M107" s="126"/>
      <c r="N107" s="125"/>
      <c r="O107" s="119"/>
    </row>
    <row r="108" spans="1:15" ht="12.75" customHeight="1">
      <c r="A108" s="105"/>
      <c r="B108" s="119">
        <v>100</v>
      </c>
      <c r="C108" s="120"/>
      <c r="D108" s="124"/>
      <c r="E108" s="131"/>
      <c r="F108" s="131"/>
      <c r="G108" s="124"/>
      <c r="H108" s="121"/>
      <c r="I108" s="121"/>
      <c r="J108" s="121"/>
      <c r="K108" s="125"/>
      <c r="L108" s="126"/>
      <c r="M108" s="126"/>
      <c r="N108" s="125"/>
      <c r="O108" s="119"/>
    </row>
    <row r="109" spans="1:15" ht="12.75" customHeight="1">
      <c r="A109" s="105"/>
      <c r="B109" s="119">
        <v>101</v>
      </c>
      <c r="C109" s="120"/>
      <c r="D109" s="124"/>
      <c r="E109" s="131"/>
      <c r="F109" s="131"/>
      <c r="G109" s="124"/>
      <c r="H109" s="121"/>
      <c r="I109" s="121"/>
      <c r="J109" s="121"/>
      <c r="K109" s="125"/>
      <c r="L109" s="126"/>
      <c r="M109" s="126"/>
      <c r="N109" s="125"/>
      <c r="O109" s="119"/>
    </row>
    <row r="110" spans="1:15" ht="12.75" customHeight="1">
      <c r="A110" s="105"/>
      <c r="B110" s="119">
        <v>102</v>
      </c>
      <c r="C110" s="120"/>
      <c r="D110" s="124"/>
      <c r="E110" s="131"/>
      <c r="F110" s="131"/>
      <c r="G110" s="124"/>
      <c r="H110" s="121"/>
      <c r="I110" s="121"/>
      <c r="J110" s="121"/>
      <c r="K110" s="125"/>
      <c r="L110" s="126"/>
      <c r="M110" s="126"/>
      <c r="N110" s="125"/>
      <c r="O110" s="119"/>
    </row>
    <row r="111" spans="1:15" ht="12.75" customHeight="1">
      <c r="A111" s="105"/>
      <c r="B111" s="105"/>
      <c r="C111" s="105"/>
      <c r="D111" s="105"/>
      <c r="E111" s="114"/>
      <c r="F111" s="114"/>
      <c r="G111" s="105"/>
      <c r="H111" s="134"/>
      <c r="I111" s="134"/>
      <c r="J111" s="134"/>
      <c r="K111" s="134"/>
      <c r="L111" s="135"/>
      <c r="M111" s="135"/>
      <c r="N111" s="134"/>
      <c r="O111" s="105"/>
    </row>
    <row r="112" spans="1:1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sheetProtection sheet="1" formatCells="0" formatColumns="0" formatRows="0" insertRows="0" insertHyperlinks="0" sort="0" autoFilter="0" pivotTables="0"/>
  <protectedRanges>
    <protectedRange sqref="B9:O303" name="Range2"/>
    <protectedRange sqref="D3:E6" name="Range3"/>
  </protectedRanges>
  <mergeCells count="8">
    <mergeCell ref="B5:C6"/>
    <mergeCell ref="D5:E6"/>
    <mergeCell ref="I5:J6"/>
    <mergeCell ref="B2:C2"/>
    <mergeCell ref="D2:O2"/>
    <mergeCell ref="B3:C4"/>
    <mergeCell ref="D3:E4"/>
    <mergeCell ref="I3:J4"/>
  </mergeCells>
  <conditionalFormatting sqref="H9:I111">
    <cfRule type="cellIs" dxfId="10" priority="6" operator="equal">
      <formula>"Completa/Concluído"</formula>
    </cfRule>
    <cfRule type="cellIs" dxfId="9" priority="7" operator="equal">
      <formula>"Planeada/Planejada"</formula>
    </cfRule>
    <cfRule type="cellIs" dxfId="8" priority="8" operator="equal">
      <formula>"En Curso/Andamento"</formula>
    </cfRule>
    <cfRule type="cellIs" dxfId="7" priority="9" operator="equal">
      <formula>"Retardo/Atrasada"</formula>
    </cfRule>
    <cfRule type="cellIs" dxfId="6" priority="10" operator="equal">
      <formula>"Cancelada"</formula>
    </cfRule>
  </conditionalFormatting>
  <conditionalFormatting sqref="J9:J110">
    <cfRule type="cellIs" dxfId="5" priority="1" operator="equal">
      <formula>"Completa/Concluído"</formula>
    </cfRule>
    <cfRule type="cellIs" dxfId="4" priority="2" operator="equal">
      <formula>"Planeada/Planejada"</formula>
    </cfRule>
    <cfRule type="cellIs" dxfId="3" priority="3" operator="equal">
      <formula>"En Curso/Andamento"</formula>
    </cfRule>
    <cfRule type="cellIs" dxfId="2" priority="4" operator="equal">
      <formula>"Retardo/Atrasada"</formula>
    </cfRule>
    <cfRule type="cellIs" dxfId="1" priority="5" operator="equal">
      <formula>"Cancelada"</formula>
    </cfRule>
  </conditionalFormatting>
  <dataValidations disablePrompts="1" count="7">
    <dataValidation type="list" allowBlank="1" showErrorMessage="1" sqref="C9:C111" xr:uid="{A47DEDA0-6E21-47A2-95F2-D4F99F39C157}">
      <formula1>"GMR,Techno Club,Assessment,PCP,Outros,QMS,Melhoria,Qualidade,Atendimento"</formula1>
    </dataValidation>
    <dataValidation type="list" allowBlank="1" sqref="J111" xr:uid="{18A483A0-2DF1-4DFD-A572-1FD5DDD63A94}">
      <formula1>"Y,N"</formula1>
    </dataValidation>
    <dataValidation type="list" allowBlank="1" showErrorMessage="1" sqref="O9:O111" xr:uid="{57CB0138-F584-44D3-BCB8-0DAA06275768}">
      <formula1>"Eficaz,Não Eficaz,Parcialmente Eficaz"</formula1>
    </dataValidation>
    <dataValidation type="list" allowBlank="1" showErrorMessage="1" sqref="H9:H111" xr:uid="{FD2C35D2-7F46-4335-B5B3-433C452D3F16}">
      <formula1>"Preventiva,Corretiva"</formula1>
    </dataValidation>
    <dataValidation type="list" allowBlank="1" sqref="I111" xr:uid="{79271588-0DC9-4842-9BEF-3AD5558C97A3}">
      <formula1>"Planeada/Planejada,En Curso/Andamento,Retardo/Atrasada,Completa/Concluído,Cancelada"</formula1>
    </dataValidation>
    <dataValidation type="list" allowBlank="1" showErrorMessage="1" sqref="I9:I110" xr:uid="{327D26B5-8224-47EB-BEAE-FA4009823D85}">
      <formula1>"Planeada/Planejada,En Curso/Andamento,Retardo/Atrasada,Completa/Concluído,Cancelada"</formula1>
    </dataValidation>
    <dataValidation type="list" allowBlank="1" showErrorMessage="1" sqref="J9:J110" xr:uid="{86C2BCE7-8FA5-4B0D-B263-8D6A6FCE6EFA}">
      <formula1>"S,N"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5"/>
  <sheetViews>
    <sheetView showGridLines="0" workbookViewId="0">
      <selection activeCell="Q29" sqref="Q29:W30"/>
    </sheetView>
  </sheetViews>
  <sheetFormatPr defaultColWidth="12.5703125" defaultRowHeight="15" customHeight="1"/>
  <cols>
    <col min="1" max="1" width="1.7109375" customWidth="1"/>
    <col min="2" max="2" width="3" customWidth="1"/>
    <col min="3" max="31" width="3.5703125" customWidth="1"/>
    <col min="32" max="32" width="5.28515625" customWidth="1"/>
    <col min="33" max="34" width="3.5703125" customWidth="1"/>
    <col min="35" max="35" width="6.28515625" customWidth="1"/>
    <col min="36" max="45" width="3.5703125" customWidth="1"/>
    <col min="46" max="46" width="4.7109375" customWidth="1"/>
    <col min="47" max="50" width="7.42578125" customWidth="1"/>
    <col min="51" max="51" width="3" customWidth="1"/>
  </cols>
  <sheetData>
    <row r="1" spans="1:52" ht="8.25" customHeight="1">
      <c r="B1" s="6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  <c r="O1" s="29"/>
      <c r="P1" s="29"/>
      <c r="Q1" s="29"/>
      <c r="R1" s="29"/>
      <c r="S1" s="29"/>
      <c r="T1" s="29"/>
      <c r="U1" s="6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/>
      <c r="AH1" s="29"/>
      <c r="AI1" s="29"/>
      <c r="AJ1" s="29"/>
      <c r="AK1" s="29"/>
      <c r="AL1" s="29"/>
      <c r="AM1" s="29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12"/>
    </row>
    <row r="2" spans="1:52" ht="18" customHeight="1">
      <c r="A2" s="12"/>
      <c r="B2" s="164" t="s">
        <v>64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6"/>
      <c r="AZ2" s="12"/>
    </row>
    <row r="3" spans="1:52" ht="18" customHeight="1">
      <c r="A3" s="12"/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9"/>
      <c r="AZ3" s="12"/>
    </row>
    <row r="4" spans="1:52" ht="24" customHeight="1">
      <c r="A4" s="12"/>
      <c r="B4" s="23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3"/>
      <c r="AZ4" s="12"/>
    </row>
    <row r="5" spans="1:52" ht="23.25" customHeight="1">
      <c r="A5" s="12"/>
      <c r="B5" s="233"/>
      <c r="C5" s="170" t="s">
        <v>65</v>
      </c>
      <c r="D5" s="222"/>
      <c r="E5" s="222"/>
      <c r="F5" s="222"/>
      <c r="G5" s="222"/>
      <c r="H5" s="14"/>
      <c r="I5" s="14"/>
      <c r="J5" s="14"/>
      <c r="K5" s="14"/>
      <c r="L5" s="14"/>
      <c r="M5" s="14"/>
      <c r="N5" s="170" t="s">
        <v>66</v>
      </c>
      <c r="O5" s="222"/>
      <c r="P5" s="222"/>
      <c r="Q5" s="222"/>
      <c r="R5" s="222"/>
      <c r="S5" s="222"/>
      <c r="T5" s="222"/>
      <c r="U5" s="12"/>
      <c r="V5" s="14"/>
      <c r="W5" s="14"/>
      <c r="X5" s="14"/>
      <c r="Y5" s="14"/>
      <c r="Z5" s="14"/>
      <c r="AA5" s="14"/>
      <c r="AB5" s="170" t="s">
        <v>67</v>
      </c>
      <c r="AC5" s="222"/>
      <c r="AD5" s="222"/>
      <c r="AE5" s="222"/>
      <c r="AF5" s="222"/>
      <c r="AG5" s="222"/>
      <c r="AH5" s="222"/>
      <c r="AI5" s="15"/>
      <c r="AJ5" s="15"/>
      <c r="AK5" s="15"/>
      <c r="AL5" s="15"/>
      <c r="AM5" s="15"/>
      <c r="AN5" s="16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3"/>
      <c r="AZ5" s="12"/>
    </row>
    <row r="6" spans="1:52" ht="14.1">
      <c r="A6" s="12"/>
      <c r="B6" s="233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3"/>
      <c r="AZ6" s="12"/>
    </row>
    <row r="7" spans="1:52" ht="16.5" customHeight="1">
      <c r="A7" s="12"/>
      <c r="B7" s="233"/>
      <c r="C7" s="234"/>
      <c r="D7" s="235"/>
      <c r="E7" s="235"/>
      <c r="F7" s="235"/>
      <c r="G7" s="235"/>
      <c r="H7" s="235"/>
      <c r="I7" s="236"/>
      <c r="J7" s="18"/>
      <c r="K7" s="18"/>
      <c r="L7" s="18"/>
      <c r="M7" s="18"/>
      <c r="N7" s="234"/>
      <c r="O7" s="235"/>
      <c r="P7" s="235"/>
      <c r="Q7" s="235"/>
      <c r="R7" s="235"/>
      <c r="S7" s="235"/>
      <c r="T7" s="236"/>
      <c r="U7" s="18"/>
      <c r="V7" s="18"/>
      <c r="W7" s="18"/>
      <c r="X7" s="18"/>
      <c r="Y7" s="18"/>
      <c r="Z7" s="18"/>
      <c r="AA7" s="18"/>
      <c r="AB7" s="234"/>
      <c r="AC7" s="235"/>
      <c r="AD7" s="235"/>
      <c r="AE7" s="235"/>
      <c r="AF7" s="235"/>
      <c r="AG7" s="235"/>
      <c r="AH7" s="236"/>
      <c r="AI7" s="18"/>
      <c r="AJ7" s="18"/>
      <c r="AK7" s="18"/>
      <c r="AL7" s="18"/>
      <c r="AM7" s="18"/>
      <c r="AN7" s="17"/>
      <c r="AO7" s="17"/>
      <c r="AP7" s="17"/>
      <c r="AQ7" s="17"/>
      <c r="AR7" s="17"/>
      <c r="AS7" s="17"/>
      <c r="AT7" s="17"/>
      <c r="AU7" s="17"/>
      <c r="AV7" s="19"/>
      <c r="AW7" s="17"/>
      <c r="AX7" s="17"/>
      <c r="AY7" s="13"/>
      <c r="AZ7" s="12"/>
    </row>
    <row r="8" spans="1:52" ht="16.5" customHeight="1">
      <c r="A8" s="12"/>
      <c r="B8" s="233"/>
      <c r="C8" s="237"/>
      <c r="D8" s="238"/>
      <c r="E8" s="238"/>
      <c r="F8" s="238"/>
      <c r="G8" s="238"/>
      <c r="H8" s="238"/>
      <c r="I8" s="239"/>
      <c r="J8" s="18"/>
      <c r="K8" s="18"/>
      <c r="L8" s="18"/>
      <c r="M8" s="18"/>
      <c r="N8" s="237"/>
      <c r="O8" s="238"/>
      <c r="P8" s="238"/>
      <c r="Q8" s="238"/>
      <c r="R8" s="238"/>
      <c r="S8" s="238"/>
      <c r="T8" s="239"/>
      <c r="U8" s="18"/>
      <c r="V8" s="18"/>
      <c r="W8" s="18"/>
      <c r="X8" s="18"/>
      <c r="Y8" s="18"/>
      <c r="Z8" s="18"/>
      <c r="AA8" s="18"/>
      <c r="AB8" s="237"/>
      <c r="AC8" s="238"/>
      <c r="AD8" s="238"/>
      <c r="AE8" s="238"/>
      <c r="AF8" s="238"/>
      <c r="AG8" s="238"/>
      <c r="AH8" s="239"/>
      <c r="AI8" s="18"/>
      <c r="AJ8" s="18"/>
      <c r="AK8" s="18"/>
      <c r="AL8" s="18"/>
      <c r="AM8" s="18"/>
      <c r="AN8" s="17"/>
      <c r="AO8" s="17"/>
      <c r="AP8" s="17"/>
      <c r="AQ8" s="17"/>
      <c r="AR8" s="17"/>
      <c r="AS8" s="17"/>
      <c r="AT8" s="17"/>
      <c r="AU8" s="17"/>
      <c r="AV8" s="19"/>
      <c r="AW8" s="17"/>
      <c r="AX8" s="17"/>
      <c r="AY8" s="13"/>
      <c r="AZ8" s="12"/>
    </row>
    <row r="9" spans="1:52" ht="16.5" customHeight="1">
      <c r="A9" s="12"/>
      <c r="B9" s="233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7"/>
      <c r="AO9" s="17"/>
      <c r="AP9" s="17"/>
      <c r="AQ9" s="17"/>
      <c r="AR9" s="17"/>
      <c r="AS9" s="17"/>
      <c r="AT9" s="17"/>
      <c r="AU9" s="17"/>
      <c r="AV9" s="19"/>
      <c r="AW9" s="17"/>
      <c r="AX9" s="17"/>
      <c r="AY9" s="13"/>
      <c r="AZ9" s="12"/>
    </row>
    <row r="10" spans="1:52" ht="16.5" customHeight="1">
      <c r="A10" s="12"/>
      <c r="B10" s="233"/>
      <c r="C10" s="18"/>
      <c r="D10" s="234"/>
      <c r="E10" s="235"/>
      <c r="F10" s="235"/>
      <c r="G10" s="235"/>
      <c r="H10" s="235"/>
      <c r="I10" s="235"/>
      <c r="J10" s="236"/>
      <c r="K10" s="18"/>
      <c r="L10" s="18"/>
      <c r="M10" s="18"/>
      <c r="N10" s="18"/>
      <c r="O10" s="18"/>
      <c r="P10" s="234"/>
      <c r="Q10" s="235"/>
      <c r="R10" s="235"/>
      <c r="S10" s="235"/>
      <c r="T10" s="235"/>
      <c r="U10" s="235"/>
      <c r="V10" s="236"/>
      <c r="W10" s="18"/>
      <c r="X10" s="18"/>
      <c r="Y10" s="18"/>
      <c r="Z10" s="18"/>
      <c r="AA10" s="18"/>
      <c r="AB10" s="18"/>
      <c r="AC10" s="18"/>
      <c r="AD10" s="234"/>
      <c r="AE10" s="235"/>
      <c r="AF10" s="235"/>
      <c r="AG10" s="235"/>
      <c r="AH10" s="235"/>
      <c r="AI10" s="235"/>
      <c r="AJ10" s="236"/>
      <c r="AK10" s="18"/>
      <c r="AL10" s="18"/>
      <c r="AM10" s="18"/>
      <c r="AN10" s="12"/>
      <c r="AO10" s="17"/>
      <c r="AP10" s="17"/>
      <c r="AQ10" s="17"/>
      <c r="AR10" s="17"/>
      <c r="AS10" s="17"/>
      <c r="AT10" s="17"/>
      <c r="AU10" s="17"/>
      <c r="AV10" s="19"/>
      <c r="AW10" s="17"/>
      <c r="AX10" s="17"/>
      <c r="AY10" s="13"/>
      <c r="AZ10" s="12"/>
    </row>
    <row r="11" spans="1:52" ht="16.5" customHeight="1">
      <c r="A11" s="12"/>
      <c r="B11" s="233"/>
      <c r="C11" s="18"/>
      <c r="D11" s="237"/>
      <c r="E11" s="238"/>
      <c r="F11" s="238"/>
      <c r="G11" s="238"/>
      <c r="H11" s="238"/>
      <c r="I11" s="238"/>
      <c r="J11" s="239"/>
      <c r="K11" s="18"/>
      <c r="L11" s="18"/>
      <c r="M11" s="18"/>
      <c r="N11" s="18"/>
      <c r="O11" s="18"/>
      <c r="P11" s="237"/>
      <c r="Q11" s="238"/>
      <c r="R11" s="238"/>
      <c r="S11" s="238"/>
      <c r="T11" s="238"/>
      <c r="U11" s="238"/>
      <c r="V11" s="239"/>
      <c r="W11" s="18"/>
      <c r="X11" s="18"/>
      <c r="Y11" s="18"/>
      <c r="Z11" s="18"/>
      <c r="AA11" s="18"/>
      <c r="AB11" s="18"/>
      <c r="AC11" s="18"/>
      <c r="AD11" s="237"/>
      <c r="AE11" s="238"/>
      <c r="AF11" s="238"/>
      <c r="AG11" s="238"/>
      <c r="AH11" s="238"/>
      <c r="AI11" s="238"/>
      <c r="AJ11" s="239"/>
      <c r="AK11" s="18"/>
      <c r="AL11" s="18"/>
      <c r="AM11" s="18"/>
      <c r="AN11" s="12"/>
      <c r="AO11" s="17"/>
      <c r="AP11" s="17"/>
      <c r="AQ11" s="17"/>
      <c r="AR11" s="17"/>
      <c r="AS11" s="17"/>
      <c r="AT11" s="17"/>
      <c r="AU11" s="171" t="s">
        <v>39</v>
      </c>
      <c r="AV11" s="240"/>
      <c r="AW11" s="240"/>
      <c r="AX11" s="240"/>
      <c r="AY11" s="13"/>
      <c r="AZ11" s="12"/>
    </row>
    <row r="12" spans="1:52" ht="16.5" customHeight="1">
      <c r="A12" s="12"/>
      <c r="B12" s="233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7"/>
      <c r="AO12" s="17"/>
      <c r="AP12" s="17"/>
      <c r="AQ12" s="17"/>
      <c r="AR12" s="17"/>
      <c r="AS12" s="17"/>
      <c r="AT12" s="17"/>
      <c r="AU12" s="240"/>
      <c r="AV12" s="240"/>
      <c r="AW12" s="240"/>
      <c r="AX12" s="240"/>
      <c r="AY12" s="13"/>
      <c r="AZ12" s="12"/>
    </row>
    <row r="13" spans="1:52" ht="16.5" customHeight="1">
      <c r="A13" s="12"/>
      <c r="B13" s="233"/>
      <c r="C13" s="18"/>
      <c r="D13" s="18"/>
      <c r="E13" s="234"/>
      <c r="F13" s="235"/>
      <c r="G13" s="235"/>
      <c r="H13" s="235"/>
      <c r="I13" s="235"/>
      <c r="J13" s="235"/>
      <c r="K13" s="236"/>
      <c r="L13" s="18"/>
      <c r="M13" s="18"/>
      <c r="N13" s="18"/>
      <c r="O13" s="18"/>
      <c r="P13" s="18"/>
      <c r="Q13" s="18"/>
      <c r="R13" s="234"/>
      <c r="S13" s="235"/>
      <c r="T13" s="235"/>
      <c r="U13" s="235"/>
      <c r="V13" s="235"/>
      <c r="W13" s="235"/>
      <c r="X13" s="236"/>
      <c r="Y13" s="18"/>
      <c r="Z13" s="18"/>
      <c r="AA13" s="18"/>
      <c r="AB13" s="18"/>
      <c r="AC13" s="18"/>
      <c r="AD13" s="18"/>
      <c r="AE13" s="18"/>
      <c r="AF13" s="234"/>
      <c r="AG13" s="235"/>
      <c r="AH13" s="235"/>
      <c r="AI13" s="235"/>
      <c r="AJ13" s="235"/>
      <c r="AK13" s="235"/>
      <c r="AL13" s="236"/>
      <c r="AM13" s="18"/>
      <c r="AN13" s="12"/>
      <c r="AO13" s="12"/>
      <c r="AP13" s="17"/>
      <c r="AQ13" s="17"/>
      <c r="AR13" s="17"/>
      <c r="AS13" s="17"/>
      <c r="AT13" s="17"/>
      <c r="AU13" s="17"/>
      <c r="AV13" s="17"/>
      <c r="AW13" s="17"/>
      <c r="AX13" s="17"/>
      <c r="AY13" s="13"/>
      <c r="AZ13" s="12"/>
    </row>
    <row r="14" spans="1:52" ht="16.5" customHeight="1">
      <c r="A14" s="12"/>
      <c r="B14" s="233"/>
      <c r="C14" s="18"/>
      <c r="D14" s="18"/>
      <c r="E14" s="237"/>
      <c r="F14" s="238"/>
      <c r="G14" s="238"/>
      <c r="H14" s="238"/>
      <c r="I14" s="238"/>
      <c r="J14" s="238"/>
      <c r="K14" s="239"/>
      <c r="L14" s="18"/>
      <c r="M14" s="18"/>
      <c r="N14" s="18"/>
      <c r="O14" s="18"/>
      <c r="P14" s="20"/>
      <c r="Q14" s="18"/>
      <c r="R14" s="237"/>
      <c r="S14" s="238"/>
      <c r="T14" s="238"/>
      <c r="U14" s="238"/>
      <c r="V14" s="238"/>
      <c r="W14" s="238"/>
      <c r="X14" s="239"/>
      <c r="Y14" s="18"/>
      <c r="Z14" s="18"/>
      <c r="AA14" s="18"/>
      <c r="AB14" s="18"/>
      <c r="AC14" s="20"/>
      <c r="AD14" s="18"/>
      <c r="AE14" s="18"/>
      <c r="AF14" s="237"/>
      <c r="AG14" s="238"/>
      <c r="AH14" s="238"/>
      <c r="AI14" s="238"/>
      <c r="AJ14" s="238"/>
      <c r="AK14" s="238"/>
      <c r="AL14" s="239"/>
      <c r="AM14" s="18"/>
      <c r="AN14" s="12"/>
      <c r="AO14" s="12"/>
      <c r="AP14" s="17"/>
      <c r="AQ14" s="17"/>
      <c r="AR14" s="17"/>
      <c r="AS14" s="17"/>
      <c r="AT14" s="17"/>
      <c r="AU14" s="234"/>
      <c r="AV14" s="235"/>
      <c r="AW14" s="235"/>
      <c r="AX14" s="236"/>
      <c r="AY14" s="13"/>
      <c r="AZ14" s="12"/>
    </row>
    <row r="15" spans="1:52" ht="16.5" customHeight="1">
      <c r="A15" s="12"/>
      <c r="B15" s="233"/>
      <c r="C15" s="18"/>
      <c r="D15" s="18"/>
      <c r="E15" s="20"/>
      <c r="F15" s="20"/>
      <c r="G15" s="20"/>
      <c r="H15" s="20"/>
      <c r="I15" s="20"/>
      <c r="J15" s="20"/>
      <c r="K15" s="20"/>
      <c r="L15" s="18"/>
      <c r="M15" s="18"/>
      <c r="N15" s="18"/>
      <c r="O15" s="18"/>
      <c r="P15" s="20"/>
      <c r="Q15" s="18"/>
      <c r="R15" s="20"/>
      <c r="S15" s="20"/>
      <c r="T15" s="20"/>
      <c r="U15" s="20"/>
      <c r="V15" s="20"/>
      <c r="W15" s="20"/>
      <c r="X15" s="20"/>
      <c r="Y15" s="18"/>
      <c r="Z15" s="18"/>
      <c r="AA15" s="18"/>
      <c r="AB15" s="18"/>
      <c r="AC15" s="20"/>
      <c r="AD15" s="18"/>
      <c r="AE15" s="18"/>
      <c r="AF15" s="20"/>
      <c r="AG15" s="20"/>
      <c r="AH15" s="20"/>
      <c r="AI15" s="20"/>
      <c r="AJ15" s="20"/>
      <c r="AK15" s="20"/>
      <c r="AL15" s="20"/>
      <c r="AM15" s="18"/>
      <c r="AN15" s="12"/>
      <c r="AO15" s="12"/>
      <c r="AP15" s="17"/>
      <c r="AQ15" s="17"/>
      <c r="AR15" s="17"/>
      <c r="AS15" s="17"/>
      <c r="AT15" s="17"/>
      <c r="AU15" s="241"/>
      <c r="AV15" s="242"/>
      <c r="AW15" s="242"/>
      <c r="AX15" s="243"/>
      <c r="AY15" s="13"/>
      <c r="AZ15" s="12"/>
    </row>
    <row r="16" spans="1:52" ht="16.5" customHeight="1">
      <c r="A16" s="12"/>
      <c r="B16" s="233"/>
      <c r="C16" s="18"/>
      <c r="D16" s="18"/>
      <c r="E16" s="20"/>
      <c r="F16" s="234"/>
      <c r="G16" s="235"/>
      <c r="H16" s="235"/>
      <c r="I16" s="235"/>
      <c r="J16" s="235"/>
      <c r="K16" s="235"/>
      <c r="L16" s="236"/>
      <c r="M16" s="18"/>
      <c r="N16" s="18"/>
      <c r="O16" s="18"/>
      <c r="P16" s="20"/>
      <c r="Q16" s="18"/>
      <c r="R16" s="20"/>
      <c r="S16" s="234"/>
      <c r="T16" s="235"/>
      <c r="U16" s="235"/>
      <c r="V16" s="235"/>
      <c r="W16" s="235"/>
      <c r="X16" s="235"/>
      <c r="Y16" s="236"/>
      <c r="Z16" s="20"/>
      <c r="AA16" s="18"/>
      <c r="AB16" s="18"/>
      <c r="AC16" s="20"/>
      <c r="AD16" s="18"/>
      <c r="AE16" s="18"/>
      <c r="AF16" s="20"/>
      <c r="AG16" s="244"/>
      <c r="AH16" s="245"/>
      <c r="AI16" s="245"/>
      <c r="AJ16" s="245"/>
      <c r="AK16" s="245"/>
      <c r="AL16" s="245"/>
      <c r="AM16" s="246"/>
      <c r="AN16" s="12"/>
      <c r="AO16" s="12"/>
      <c r="AP16" s="17"/>
      <c r="AQ16" s="17"/>
      <c r="AR16" s="17"/>
      <c r="AS16" s="17"/>
      <c r="AT16" s="17"/>
      <c r="AU16" s="241"/>
      <c r="AV16" s="242"/>
      <c r="AW16" s="242"/>
      <c r="AX16" s="243"/>
      <c r="AY16" s="13"/>
      <c r="AZ16" s="12"/>
    </row>
    <row r="17" spans="1:52" ht="16.5" customHeight="1">
      <c r="A17" s="12"/>
      <c r="B17" s="233"/>
      <c r="C17" s="20"/>
      <c r="D17" s="18"/>
      <c r="E17" s="18"/>
      <c r="F17" s="237"/>
      <c r="G17" s="238"/>
      <c r="H17" s="238"/>
      <c r="I17" s="238"/>
      <c r="J17" s="238"/>
      <c r="K17" s="238"/>
      <c r="L17" s="239"/>
      <c r="M17" s="18"/>
      <c r="N17" s="18"/>
      <c r="O17" s="18"/>
      <c r="P17" s="18"/>
      <c r="Q17" s="18"/>
      <c r="R17" s="18"/>
      <c r="S17" s="237"/>
      <c r="T17" s="238"/>
      <c r="U17" s="238"/>
      <c r="V17" s="238"/>
      <c r="W17" s="238"/>
      <c r="X17" s="238"/>
      <c r="Y17" s="239"/>
      <c r="Z17" s="20"/>
      <c r="AA17" s="20"/>
      <c r="AB17" s="20"/>
      <c r="AC17" s="20"/>
      <c r="AD17" s="18"/>
      <c r="AE17" s="18"/>
      <c r="AF17" s="18"/>
      <c r="AG17" s="247"/>
      <c r="AH17" s="248"/>
      <c r="AI17" s="248"/>
      <c r="AJ17" s="248"/>
      <c r="AK17" s="248"/>
      <c r="AL17" s="248"/>
      <c r="AM17" s="249"/>
      <c r="AN17" s="12"/>
      <c r="AO17" s="17"/>
      <c r="AP17" s="17"/>
      <c r="AQ17" s="17"/>
      <c r="AR17" s="17"/>
      <c r="AS17" s="17"/>
      <c r="AT17" s="17"/>
      <c r="AU17" s="241"/>
      <c r="AV17" s="242"/>
      <c r="AW17" s="242"/>
      <c r="AX17" s="243"/>
      <c r="AY17" s="13"/>
      <c r="AZ17" s="12"/>
    </row>
    <row r="18" spans="1:52" ht="16.5" customHeight="1">
      <c r="A18" s="12"/>
      <c r="B18" s="233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7"/>
      <c r="AO18" s="17"/>
      <c r="AP18" s="17"/>
      <c r="AQ18" s="17"/>
      <c r="AR18" s="17"/>
      <c r="AS18" s="17"/>
      <c r="AT18" s="17"/>
      <c r="AU18" s="241"/>
      <c r="AV18" s="242"/>
      <c r="AW18" s="242"/>
      <c r="AX18" s="243"/>
      <c r="AY18" s="13"/>
      <c r="AZ18" s="12"/>
    </row>
    <row r="19" spans="1:52" ht="16.5" customHeight="1">
      <c r="A19" s="12"/>
      <c r="B19" s="233"/>
      <c r="C19" s="18"/>
      <c r="D19" s="18"/>
      <c r="E19" s="18"/>
      <c r="F19" s="18"/>
      <c r="G19" s="18"/>
      <c r="H19" s="18"/>
      <c r="I19" s="21"/>
      <c r="J19" s="18"/>
      <c r="K19" s="18"/>
      <c r="L19" s="18"/>
      <c r="M19" s="18"/>
      <c r="N19" s="18"/>
      <c r="O19" s="21"/>
      <c r="P19" s="18"/>
      <c r="Q19" s="18"/>
      <c r="R19" s="18"/>
      <c r="S19" s="21"/>
      <c r="T19" s="18"/>
      <c r="U19" s="18"/>
      <c r="V19" s="18"/>
      <c r="W19" s="18"/>
      <c r="X19" s="21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21"/>
      <c r="AJ19" s="18"/>
      <c r="AK19" s="18"/>
      <c r="AL19" s="18"/>
      <c r="AM19" s="18"/>
      <c r="AN19" s="17"/>
      <c r="AO19" s="22"/>
      <c r="AP19" s="17"/>
      <c r="AQ19" s="17"/>
      <c r="AR19" s="17"/>
      <c r="AS19" s="22"/>
      <c r="AT19" s="17"/>
      <c r="AU19" s="241"/>
      <c r="AV19" s="242"/>
      <c r="AW19" s="242"/>
      <c r="AX19" s="243"/>
      <c r="AY19" s="13"/>
      <c r="AZ19" s="12"/>
    </row>
    <row r="20" spans="1:52" ht="16.5" customHeight="1">
      <c r="A20" s="12"/>
      <c r="B20" s="233"/>
      <c r="C20" s="23"/>
      <c r="D20" s="18"/>
      <c r="E20" s="18"/>
      <c r="F20" s="18"/>
      <c r="G20" s="234"/>
      <c r="H20" s="235"/>
      <c r="I20" s="235"/>
      <c r="J20" s="235"/>
      <c r="K20" s="235"/>
      <c r="L20" s="235"/>
      <c r="M20" s="236"/>
      <c r="N20" s="18"/>
      <c r="O20" s="18"/>
      <c r="P20" s="18"/>
      <c r="Q20" s="18"/>
      <c r="R20" s="18"/>
      <c r="S20" s="18"/>
      <c r="T20" s="234"/>
      <c r="U20" s="235"/>
      <c r="V20" s="235"/>
      <c r="W20" s="235"/>
      <c r="X20" s="235"/>
      <c r="Y20" s="235"/>
      <c r="Z20" s="236"/>
      <c r="AA20" s="18"/>
      <c r="AB20" s="18"/>
      <c r="AC20" s="18"/>
      <c r="AD20" s="18"/>
      <c r="AE20" s="18"/>
      <c r="AF20" s="18"/>
      <c r="AG20" s="234"/>
      <c r="AH20" s="235"/>
      <c r="AI20" s="235"/>
      <c r="AJ20" s="235"/>
      <c r="AK20" s="235"/>
      <c r="AL20" s="235"/>
      <c r="AM20" s="236"/>
      <c r="AN20" s="17"/>
      <c r="AO20" s="17"/>
      <c r="AP20" s="17"/>
      <c r="AQ20" s="17"/>
      <c r="AR20" s="17"/>
      <c r="AS20" s="17"/>
      <c r="AT20" s="17"/>
      <c r="AU20" s="241"/>
      <c r="AV20" s="242"/>
      <c r="AW20" s="242"/>
      <c r="AX20" s="243"/>
      <c r="AY20" s="13"/>
      <c r="AZ20" s="12"/>
    </row>
    <row r="21" spans="1:52" ht="16.5" customHeight="1">
      <c r="A21" s="12"/>
      <c r="B21" s="233"/>
      <c r="C21" s="23"/>
      <c r="D21" s="18"/>
      <c r="E21" s="18"/>
      <c r="F21" s="18"/>
      <c r="G21" s="237"/>
      <c r="H21" s="238"/>
      <c r="I21" s="238"/>
      <c r="J21" s="238"/>
      <c r="K21" s="238"/>
      <c r="L21" s="238"/>
      <c r="M21" s="239"/>
      <c r="N21" s="18"/>
      <c r="O21" s="18"/>
      <c r="P21" s="18"/>
      <c r="Q21" s="18"/>
      <c r="R21" s="18"/>
      <c r="S21" s="18"/>
      <c r="T21" s="237"/>
      <c r="U21" s="238"/>
      <c r="V21" s="238"/>
      <c r="W21" s="238"/>
      <c r="X21" s="238"/>
      <c r="Y21" s="238"/>
      <c r="Z21" s="239"/>
      <c r="AA21" s="20"/>
      <c r="AB21" s="20"/>
      <c r="AC21" s="18"/>
      <c r="AD21" s="18"/>
      <c r="AE21" s="18"/>
      <c r="AF21" s="18"/>
      <c r="AG21" s="237"/>
      <c r="AH21" s="238"/>
      <c r="AI21" s="238"/>
      <c r="AJ21" s="238"/>
      <c r="AK21" s="238"/>
      <c r="AL21" s="238"/>
      <c r="AM21" s="239"/>
      <c r="AN21" s="24"/>
      <c r="AO21" s="24"/>
      <c r="AP21" s="17"/>
      <c r="AQ21" s="17"/>
      <c r="AR21" s="17"/>
      <c r="AS21" s="17"/>
      <c r="AT21" s="17"/>
      <c r="AU21" s="237"/>
      <c r="AV21" s="238"/>
      <c r="AW21" s="238"/>
      <c r="AX21" s="239"/>
      <c r="AY21" s="13"/>
      <c r="AZ21" s="12"/>
    </row>
    <row r="22" spans="1:52" ht="16.5" customHeight="1">
      <c r="A22" s="12"/>
      <c r="B22" s="23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20"/>
      <c r="W22" s="20"/>
      <c r="X22" s="20"/>
      <c r="Y22" s="20"/>
      <c r="Z22" s="20"/>
      <c r="AA22" s="20"/>
      <c r="AB22" s="20"/>
      <c r="AC22" s="18"/>
      <c r="AD22" s="18"/>
      <c r="AE22" s="18"/>
      <c r="AF22" s="18"/>
      <c r="AG22" s="18"/>
      <c r="AH22" s="18"/>
      <c r="AI22" s="20"/>
      <c r="AJ22" s="20"/>
      <c r="AK22" s="20"/>
      <c r="AL22" s="20"/>
      <c r="AM22" s="20"/>
      <c r="AN22" s="24"/>
      <c r="AO22" s="24"/>
      <c r="AP22" s="17"/>
      <c r="AQ22" s="17"/>
      <c r="AR22" s="17"/>
      <c r="AS22" s="17"/>
      <c r="AT22" s="17"/>
      <c r="AU22" s="17"/>
      <c r="AV22" s="17"/>
      <c r="AW22" s="17"/>
      <c r="AX22" s="17"/>
      <c r="AY22" s="13"/>
      <c r="AZ22" s="12"/>
    </row>
    <row r="23" spans="1:52" ht="16.5" customHeight="1">
      <c r="A23" s="12"/>
      <c r="B23" s="233"/>
      <c r="C23" s="18"/>
      <c r="D23" s="18"/>
      <c r="E23" s="18"/>
      <c r="F23" s="234"/>
      <c r="G23" s="235"/>
      <c r="H23" s="235"/>
      <c r="I23" s="235"/>
      <c r="J23" s="235"/>
      <c r="K23" s="235"/>
      <c r="L23" s="236"/>
      <c r="M23" s="20"/>
      <c r="N23" s="20"/>
      <c r="O23" s="20"/>
      <c r="P23" s="20"/>
      <c r="Q23" s="20"/>
      <c r="R23" s="20"/>
      <c r="S23" s="234"/>
      <c r="T23" s="235"/>
      <c r="U23" s="235"/>
      <c r="V23" s="235"/>
      <c r="W23" s="235"/>
      <c r="X23" s="235"/>
      <c r="Y23" s="236"/>
      <c r="Z23" s="18"/>
      <c r="AA23" s="18"/>
      <c r="AB23" s="18"/>
      <c r="AC23" s="18"/>
      <c r="AD23" s="18"/>
      <c r="AE23" s="18"/>
      <c r="AF23" s="234"/>
      <c r="AG23" s="235"/>
      <c r="AH23" s="235"/>
      <c r="AI23" s="235"/>
      <c r="AJ23" s="235"/>
      <c r="AK23" s="235"/>
      <c r="AL23" s="236"/>
      <c r="AM23" s="18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3"/>
      <c r="AZ23" s="12"/>
    </row>
    <row r="24" spans="1:52" ht="16.5" customHeight="1">
      <c r="A24" s="12"/>
      <c r="B24" s="233"/>
      <c r="C24" s="18"/>
      <c r="D24" s="18"/>
      <c r="E24" s="18"/>
      <c r="F24" s="237"/>
      <c r="G24" s="238"/>
      <c r="H24" s="238"/>
      <c r="I24" s="238"/>
      <c r="J24" s="238"/>
      <c r="K24" s="238"/>
      <c r="L24" s="239"/>
      <c r="M24" s="20"/>
      <c r="N24" s="20"/>
      <c r="O24" s="20"/>
      <c r="P24" s="20"/>
      <c r="Q24" s="20"/>
      <c r="R24" s="20"/>
      <c r="S24" s="237"/>
      <c r="T24" s="238"/>
      <c r="U24" s="238"/>
      <c r="V24" s="238"/>
      <c r="W24" s="238"/>
      <c r="X24" s="238"/>
      <c r="Y24" s="239"/>
      <c r="Z24" s="20"/>
      <c r="AA24" s="20"/>
      <c r="AB24" s="18"/>
      <c r="AC24" s="18"/>
      <c r="AD24" s="18"/>
      <c r="AE24" s="18"/>
      <c r="AF24" s="237"/>
      <c r="AG24" s="238"/>
      <c r="AH24" s="238"/>
      <c r="AI24" s="238"/>
      <c r="AJ24" s="238"/>
      <c r="AK24" s="238"/>
      <c r="AL24" s="239"/>
      <c r="AM24" s="20"/>
      <c r="AN24" s="24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3"/>
      <c r="AZ24" s="12"/>
    </row>
    <row r="25" spans="1:52" ht="16.5" customHeight="1">
      <c r="A25" s="12"/>
      <c r="B25" s="23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20"/>
      <c r="V25" s="20"/>
      <c r="W25" s="20"/>
      <c r="X25" s="20"/>
      <c r="Y25" s="20"/>
      <c r="Z25" s="20"/>
      <c r="AA25" s="20"/>
      <c r="AB25" s="18"/>
      <c r="AC25" s="18"/>
      <c r="AD25" s="18"/>
      <c r="AE25" s="18"/>
      <c r="AF25" s="18"/>
      <c r="AG25" s="18"/>
      <c r="AH25" s="20"/>
      <c r="AI25" s="20"/>
      <c r="AJ25" s="20"/>
      <c r="AK25" s="20"/>
      <c r="AL25" s="20"/>
      <c r="AM25" s="20"/>
      <c r="AN25" s="24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3"/>
      <c r="AZ25" s="12"/>
    </row>
    <row r="26" spans="1:52" ht="16.5" customHeight="1">
      <c r="A26" s="12"/>
      <c r="B26" s="233"/>
      <c r="C26" s="18"/>
      <c r="D26" s="18"/>
      <c r="E26" s="234"/>
      <c r="F26" s="235"/>
      <c r="G26" s="235"/>
      <c r="H26" s="235"/>
      <c r="I26" s="235"/>
      <c r="J26" s="235"/>
      <c r="K26" s="236"/>
      <c r="L26" s="18"/>
      <c r="M26" s="18"/>
      <c r="N26" s="18"/>
      <c r="O26" s="18"/>
      <c r="P26" s="18"/>
      <c r="Q26" s="18"/>
      <c r="R26" s="234"/>
      <c r="S26" s="235"/>
      <c r="T26" s="235"/>
      <c r="U26" s="235"/>
      <c r="V26" s="235"/>
      <c r="W26" s="235"/>
      <c r="X26" s="236"/>
      <c r="Y26" s="18"/>
      <c r="Z26" s="18"/>
      <c r="AA26" s="18"/>
      <c r="AB26" s="18"/>
      <c r="AC26" s="18"/>
      <c r="AD26" s="18"/>
      <c r="AE26" s="234"/>
      <c r="AF26" s="235"/>
      <c r="AG26" s="235"/>
      <c r="AH26" s="235"/>
      <c r="AI26" s="235"/>
      <c r="AJ26" s="235"/>
      <c r="AK26" s="236"/>
      <c r="AL26" s="18"/>
      <c r="AM26" s="18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3"/>
      <c r="AZ26" s="12"/>
    </row>
    <row r="27" spans="1:52" ht="16.5" customHeight="1">
      <c r="A27" s="12"/>
      <c r="B27" s="233"/>
      <c r="C27" s="18"/>
      <c r="D27" s="18"/>
      <c r="E27" s="237"/>
      <c r="F27" s="238"/>
      <c r="G27" s="238"/>
      <c r="H27" s="238"/>
      <c r="I27" s="238"/>
      <c r="J27" s="238"/>
      <c r="K27" s="239"/>
      <c r="L27" s="18"/>
      <c r="M27" s="18"/>
      <c r="N27" s="18"/>
      <c r="O27" s="18"/>
      <c r="P27" s="18"/>
      <c r="Q27" s="18"/>
      <c r="R27" s="237"/>
      <c r="S27" s="238"/>
      <c r="T27" s="238"/>
      <c r="U27" s="238"/>
      <c r="V27" s="238"/>
      <c r="W27" s="238"/>
      <c r="X27" s="239"/>
      <c r="Y27" s="20"/>
      <c r="Z27" s="20"/>
      <c r="AA27" s="18"/>
      <c r="AB27" s="18"/>
      <c r="AC27" s="18"/>
      <c r="AD27" s="18"/>
      <c r="AE27" s="237"/>
      <c r="AF27" s="238"/>
      <c r="AG27" s="238"/>
      <c r="AH27" s="238"/>
      <c r="AI27" s="238"/>
      <c r="AJ27" s="238"/>
      <c r="AK27" s="239"/>
      <c r="AL27" s="20"/>
      <c r="AM27" s="20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3"/>
      <c r="AZ27" s="12"/>
    </row>
    <row r="28" spans="1:52" ht="16.5" customHeight="1">
      <c r="A28" s="12"/>
      <c r="B28" s="233"/>
      <c r="C28" s="18"/>
      <c r="D28" s="18"/>
      <c r="E28" s="20"/>
      <c r="F28" s="20"/>
      <c r="G28" s="20"/>
      <c r="H28" s="20"/>
      <c r="I28" s="20"/>
      <c r="J28" s="20"/>
      <c r="K28" s="20"/>
      <c r="L28" s="18"/>
      <c r="M28" s="18"/>
      <c r="N28" s="18"/>
      <c r="O28" s="18"/>
      <c r="P28" s="18"/>
      <c r="Q28" s="18"/>
      <c r="R28" s="18"/>
      <c r="S28" s="18"/>
      <c r="T28" s="20"/>
      <c r="U28" s="20"/>
      <c r="V28" s="20"/>
      <c r="W28" s="20"/>
      <c r="X28" s="20"/>
      <c r="Y28" s="20"/>
      <c r="Z28" s="20"/>
      <c r="AA28" s="18"/>
      <c r="AB28" s="18"/>
      <c r="AC28" s="18"/>
      <c r="AD28" s="18"/>
      <c r="AE28" s="18"/>
      <c r="AF28" s="18"/>
      <c r="AG28" s="20"/>
      <c r="AH28" s="20"/>
      <c r="AI28" s="20"/>
      <c r="AJ28" s="20"/>
      <c r="AK28" s="20"/>
      <c r="AL28" s="20"/>
      <c r="AM28" s="20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3"/>
      <c r="AZ28" s="12"/>
    </row>
    <row r="29" spans="1:52" ht="16.5" customHeight="1">
      <c r="A29" s="12"/>
      <c r="B29" s="233"/>
      <c r="C29" s="18"/>
      <c r="D29" s="234"/>
      <c r="E29" s="235"/>
      <c r="F29" s="235"/>
      <c r="G29" s="235"/>
      <c r="H29" s="235"/>
      <c r="I29" s="235"/>
      <c r="J29" s="236"/>
      <c r="K29" s="20"/>
      <c r="L29" s="18"/>
      <c r="M29" s="18"/>
      <c r="N29" s="18"/>
      <c r="O29" s="18"/>
      <c r="P29" s="18"/>
      <c r="Q29" s="234"/>
      <c r="R29" s="235"/>
      <c r="S29" s="235"/>
      <c r="T29" s="235"/>
      <c r="U29" s="235"/>
      <c r="V29" s="235"/>
      <c r="W29" s="236"/>
      <c r="X29" s="20"/>
      <c r="Y29" s="20"/>
      <c r="Z29" s="20"/>
      <c r="AA29" s="18"/>
      <c r="AB29" s="18"/>
      <c r="AC29" s="18"/>
      <c r="AD29" s="234"/>
      <c r="AE29" s="235"/>
      <c r="AF29" s="235"/>
      <c r="AG29" s="235"/>
      <c r="AH29" s="235"/>
      <c r="AI29" s="235"/>
      <c r="AJ29" s="236"/>
      <c r="AK29" s="20"/>
      <c r="AL29" s="20"/>
      <c r="AM29" s="20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3"/>
      <c r="AZ29" s="12"/>
    </row>
    <row r="30" spans="1:52" ht="16.5" customHeight="1">
      <c r="A30" s="12"/>
      <c r="B30" s="233"/>
      <c r="C30" s="18"/>
      <c r="D30" s="237"/>
      <c r="E30" s="238"/>
      <c r="F30" s="238"/>
      <c r="G30" s="238"/>
      <c r="H30" s="238"/>
      <c r="I30" s="238"/>
      <c r="J30" s="239"/>
      <c r="K30" s="18"/>
      <c r="L30" s="18"/>
      <c r="M30" s="18"/>
      <c r="N30" s="18"/>
      <c r="O30" s="18"/>
      <c r="P30" s="18"/>
      <c r="Q30" s="237"/>
      <c r="R30" s="238"/>
      <c r="S30" s="238"/>
      <c r="T30" s="238"/>
      <c r="U30" s="238"/>
      <c r="V30" s="238"/>
      <c r="W30" s="239"/>
      <c r="X30" s="20"/>
      <c r="Y30" s="20"/>
      <c r="Z30" s="20"/>
      <c r="AA30" s="18"/>
      <c r="AB30" s="18"/>
      <c r="AC30" s="18"/>
      <c r="AD30" s="237"/>
      <c r="AE30" s="238"/>
      <c r="AF30" s="238"/>
      <c r="AG30" s="238"/>
      <c r="AH30" s="238"/>
      <c r="AI30" s="238"/>
      <c r="AJ30" s="239"/>
      <c r="AK30" s="20"/>
      <c r="AL30" s="20"/>
      <c r="AM30" s="20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3"/>
      <c r="AZ30" s="12"/>
    </row>
    <row r="31" spans="1:52" ht="16.5" customHeight="1">
      <c r="A31" s="12"/>
      <c r="B31" s="233"/>
      <c r="C31" s="18"/>
      <c r="D31" s="18"/>
      <c r="E31" s="18"/>
      <c r="F31" s="18"/>
      <c r="G31" s="23"/>
      <c r="H31" s="23"/>
      <c r="I31" s="23"/>
      <c r="J31" s="23"/>
      <c r="K31" s="23"/>
      <c r="L31" s="23"/>
      <c r="M31" s="23"/>
      <c r="N31" s="18"/>
      <c r="O31" s="18"/>
      <c r="P31" s="18"/>
      <c r="Q31" s="18"/>
      <c r="R31" s="18"/>
      <c r="S31" s="18"/>
      <c r="T31" s="20"/>
      <c r="U31" s="20"/>
      <c r="V31" s="20"/>
      <c r="W31" s="20"/>
      <c r="X31" s="20"/>
      <c r="Y31" s="20"/>
      <c r="Z31" s="20"/>
      <c r="AA31" s="18"/>
      <c r="AB31" s="18"/>
      <c r="AC31" s="18"/>
      <c r="AD31" s="18"/>
      <c r="AE31" s="18"/>
      <c r="AF31" s="18"/>
      <c r="AG31" s="20"/>
      <c r="AH31" s="20"/>
      <c r="AI31" s="20"/>
      <c r="AJ31" s="20"/>
      <c r="AK31" s="20"/>
      <c r="AL31" s="20"/>
      <c r="AM31" s="20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3"/>
      <c r="AZ31" s="12"/>
    </row>
    <row r="32" spans="1:52" ht="15.75" customHeight="1">
      <c r="A32" s="12"/>
      <c r="B32" s="23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3"/>
      <c r="AZ32" s="12"/>
    </row>
    <row r="33" spans="1:52" ht="23.25" customHeight="1">
      <c r="A33" s="12"/>
      <c r="B33" s="233"/>
      <c r="C33" s="170" t="s">
        <v>68</v>
      </c>
      <c r="D33" s="222"/>
      <c r="E33" s="222"/>
      <c r="F33" s="222"/>
      <c r="G33" s="222"/>
      <c r="H33" s="222"/>
      <c r="I33" s="25"/>
      <c r="J33" s="25"/>
      <c r="K33" s="25"/>
      <c r="L33" s="25"/>
      <c r="M33" s="25"/>
      <c r="N33" s="25"/>
      <c r="O33" s="170" t="s">
        <v>69</v>
      </c>
      <c r="P33" s="222"/>
      <c r="Q33" s="222"/>
      <c r="R33" s="222"/>
      <c r="S33" s="222"/>
      <c r="T33" s="222"/>
      <c r="U33" s="222"/>
      <c r="V33" s="222"/>
      <c r="W33" s="25"/>
      <c r="X33" s="25"/>
      <c r="Y33" s="25"/>
      <c r="Z33" s="25"/>
      <c r="AA33" s="25"/>
      <c r="AB33" s="25"/>
      <c r="AC33" s="170" t="s">
        <v>70</v>
      </c>
      <c r="AD33" s="222"/>
      <c r="AE33" s="222"/>
      <c r="AF33" s="222"/>
      <c r="AG33" s="222"/>
      <c r="AH33" s="222"/>
      <c r="AI33" s="15"/>
      <c r="AJ33" s="15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3"/>
      <c r="AZ33" s="12"/>
    </row>
    <row r="34" spans="1:52" ht="15.75" customHeight="1">
      <c r="A34" s="12"/>
      <c r="B34" s="250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7"/>
      <c r="AZ34" s="12"/>
    </row>
    <row r="35" spans="1:52" ht="15.75" customHeight="1">
      <c r="B35" s="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</sheetData>
  <sheetProtection sheet="1" formatCells="0" formatColumns="0" formatRows="0" insertHyperlinks="0" sort="0" autoFilter="0" pivotTables="0"/>
  <protectedRanges>
    <protectedRange sqref="C4:AX33" name="Range1"/>
  </protectedRanges>
  <mergeCells count="33">
    <mergeCell ref="O33:V33"/>
    <mergeCell ref="AD10:AJ11"/>
    <mergeCell ref="E26:K27"/>
    <mergeCell ref="R13:X14"/>
    <mergeCell ref="S16:Y17"/>
    <mergeCell ref="C33:H33"/>
    <mergeCell ref="AF13:AL14"/>
    <mergeCell ref="AG16:AM17"/>
    <mergeCell ref="AF23:AL24"/>
    <mergeCell ref="AE26:AK27"/>
    <mergeCell ref="AD29:AJ30"/>
    <mergeCell ref="AC33:AH33"/>
    <mergeCell ref="G20:M21"/>
    <mergeCell ref="T20:Z21"/>
    <mergeCell ref="Q29:W30"/>
    <mergeCell ref="E13:K14"/>
    <mergeCell ref="D29:J30"/>
    <mergeCell ref="R26:X27"/>
    <mergeCell ref="D10:J11"/>
    <mergeCell ref="P10:V11"/>
    <mergeCell ref="S23:Y24"/>
    <mergeCell ref="B2:AY3"/>
    <mergeCell ref="F23:L24"/>
    <mergeCell ref="C5:G5"/>
    <mergeCell ref="N5:T5"/>
    <mergeCell ref="AB5:AH5"/>
    <mergeCell ref="C7:I8"/>
    <mergeCell ref="N7:T8"/>
    <mergeCell ref="AB7:AH8"/>
    <mergeCell ref="AU11:AX12"/>
    <mergeCell ref="F16:L17"/>
    <mergeCell ref="AU14:AX21"/>
    <mergeCell ref="AG20:AM21"/>
  </mergeCells>
  <conditionalFormatting sqref="C7:I8 N7:T8 AB7:AH8 D10:J11 P10:V11 AD10:AJ11 E13:K14 R13:X14 AF13:AL14 AU14:AX21 F16:L17 S16:Y17 AG16:AM17 G20:M21 T20:Z21 AG20:AM21 F23:L24 S23:Y24 AF23:AL24 E26:K27 R26:X27 AE26:AK27 D29:J30 Q29:W30 AD29:AJ30">
    <cfRule type="cellIs" dxfId="0" priority="1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54F3-7583-480A-8741-B16B8D5782B4}">
  <dimension ref="A1:G33"/>
  <sheetViews>
    <sheetView showGridLines="0" workbookViewId="0">
      <selection activeCell="J13" sqref="J13"/>
    </sheetView>
  </sheetViews>
  <sheetFormatPr defaultRowHeight="12.6"/>
  <cols>
    <col min="1" max="1" width="1.7109375" customWidth="1"/>
    <col min="2" max="2" width="3" customWidth="1"/>
    <col min="3" max="3" width="20.28515625" customWidth="1"/>
    <col min="4" max="5" width="48" customWidth="1"/>
    <col min="6" max="6" width="3" customWidth="1"/>
  </cols>
  <sheetData>
    <row r="1" spans="1:7" ht="11.45" customHeight="1">
      <c r="B1" s="12"/>
      <c r="C1" s="12"/>
      <c r="D1" s="12"/>
      <c r="E1" s="12"/>
      <c r="F1" s="12"/>
    </row>
    <row r="2" spans="1:7">
      <c r="A2" s="12"/>
      <c r="B2" s="251" t="s">
        <v>71</v>
      </c>
      <c r="C2" s="252"/>
      <c r="D2" s="252"/>
      <c r="E2" s="252"/>
      <c r="F2" s="253"/>
      <c r="G2" s="12"/>
    </row>
    <row r="3" spans="1:7">
      <c r="A3" s="12"/>
      <c r="B3" s="254"/>
      <c r="C3" s="255"/>
      <c r="D3" s="255"/>
      <c r="E3" s="255"/>
      <c r="F3" s="256"/>
      <c r="G3" s="12"/>
    </row>
    <row r="4" spans="1:7" s="35" customFormat="1" ht="23.25" customHeight="1">
      <c r="A4" s="51"/>
      <c r="B4" s="180" t="s">
        <v>72</v>
      </c>
      <c r="C4" s="181"/>
      <c r="D4" s="178"/>
      <c r="E4" s="179"/>
      <c r="F4" s="86"/>
      <c r="G4" s="51"/>
    </row>
    <row r="5" spans="1:7" ht="10.7" customHeight="1">
      <c r="A5" s="12"/>
      <c r="B5" s="37"/>
      <c r="C5" s="38"/>
      <c r="D5" s="8"/>
      <c r="E5" s="8"/>
      <c r="F5" s="39"/>
      <c r="G5" s="12"/>
    </row>
    <row r="6" spans="1:7" s="35" customFormat="1" ht="23.25" customHeight="1">
      <c r="A6" s="51"/>
      <c r="B6" s="40"/>
      <c r="C6" s="54"/>
      <c r="D6" s="31" t="s">
        <v>73</v>
      </c>
      <c r="E6" s="31" t="s">
        <v>74</v>
      </c>
      <c r="F6" s="41"/>
      <c r="G6" s="51"/>
    </row>
    <row r="7" spans="1:7" s="34" customFormat="1" ht="18.75" customHeight="1">
      <c r="A7" s="52"/>
      <c r="B7" s="47"/>
      <c r="C7" s="53" t="s">
        <v>75</v>
      </c>
      <c r="D7" s="33"/>
      <c r="E7" s="33"/>
      <c r="F7" s="43"/>
      <c r="G7" s="52"/>
    </row>
    <row r="8" spans="1:7" s="34" customFormat="1" ht="18.75" customHeight="1">
      <c r="A8" s="52"/>
      <c r="B8" s="42"/>
      <c r="C8" s="55" t="s">
        <v>76</v>
      </c>
      <c r="D8" s="33"/>
      <c r="E8" s="33"/>
      <c r="F8" s="43"/>
      <c r="G8" s="52"/>
    </row>
    <row r="9" spans="1:7" s="34" customFormat="1" ht="18.75" customHeight="1">
      <c r="A9" s="52"/>
      <c r="B9" s="47"/>
      <c r="C9" s="53" t="s">
        <v>77</v>
      </c>
      <c r="D9" s="33"/>
      <c r="E9" s="33"/>
      <c r="F9" s="43"/>
      <c r="G9" s="52"/>
    </row>
    <row r="10" spans="1:7" s="34" customFormat="1" ht="18.75" customHeight="1">
      <c r="A10" s="52"/>
      <c r="B10" s="42"/>
      <c r="C10" s="55" t="s">
        <v>78</v>
      </c>
      <c r="D10" s="33"/>
      <c r="E10" s="33"/>
      <c r="F10" s="43"/>
      <c r="G10" s="52"/>
    </row>
    <row r="11" spans="1:7" s="34" customFormat="1" ht="18.75" customHeight="1">
      <c r="A11" s="52"/>
      <c r="B11" s="47"/>
      <c r="C11" s="53" t="s">
        <v>79</v>
      </c>
      <c r="D11" s="33"/>
      <c r="E11" s="33"/>
      <c r="F11" s="43"/>
      <c r="G11" s="52"/>
    </row>
    <row r="12" spans="1:7" s="35" customFormat="1" ht="23.25" customHeight="1">
      <c r="A12" s="51"/>
      <c r="B12" s="44"/>
      <c r="C12" s="182" t="s">
        <v>80</v>
      </c>
      <c r="D12" s="183"/>
      <c r="E12" s="184"/>
      <c r="F12" s="41"/>
      <c r="G12" s="51"/>
    </row>
    <row r="13" spans="1:7" ht="89.25" customHeight="1">
      <c r="A13" s="12"/>
      <c r="B13" s="45"/>
      <c r="C13" s="172"/>
      <c r="D13" s="173"/>
      <c r="E13" s="174"/>
      <c r="F13" s="46"/>
      <c r="G13" s="12"/>
    </row>
    <row r="14" spans="1:7" ht="10.7" customHeight="1">
      <c r="A14" s="12"/>
      <c r="B14" s="45"/>
      <c r="C14" s="7"/>
      <c r="D14" s="7"/>
      <c r="E14" s="7"/>
      <c r="F14" s="46"/>
      <c r="G14" s="12"/>
    </row>
    <row r="15" spans="1:7" s="35" customFormat="1" ht="23.25" customHeight="1">
      <c r="A15" s="51"/>
      <c r="B15" s="40"/>
      <c r="C15" s="36"/>
      <c r="D15" s="60" t="s">
        <v>73</v>
      </c>
      <c r="E15" s="58" t="s">
        <v>74</v>
      </c>
      <c r="F15" s="41"/>
      <c r="G15" s="51"/>
    </row>
    <row r="16" spans="1:7" s="34" customFormat="1" ht="18.75" customHeight="1">
      <c r="A16" s="52"/>
      <c r="B16" s="47"/>
      <c r="C16" s="72" t="s">
        <v>75</v>
      </c>
      <c r="D16" s="70"/>
      <c r="E16" s="69"/>
      <c r="F16" s="43"/>
      <c r="G16" s="52"/>
    </row>
    <row r="17" spans="1:7" s="34" customFormat="1" ht="18.75" customHeight="1">
      <c r="A17" s="52"/>
      <c r="B17" s="47"/>
      <c r="C17" s="73" t="s">
        <v>76</v>
      </c>
      <c r="D17" s="70"/>
      <c r="E17" s="69"/>
      <c r="F17" s="43"/>
      <c r="G17" s="52"/>
    </row>
    <row r="18" spans="1:7" s="34" customFormat="1" ht="18.75" customHeight="1">
      <c r="A18" s="52"/>
      <c r="B18" s="47"/>
      <c r="C18" s="74" t="s">
        <v>77</v>
      </c>
      <c r="D18" s="70"/>
      <c r="E18" s="69"/>
      <c r="F18" s="43"/>
      <c r="G18" s="52"/>
    </row>
    <row r="19" spans="1:7" s="34" customFormat="1" ht="18.75" customHeight="1">
      <c r="A19" s="52"/>
      <c r="B19" s="47"/>
      <c r="C19" s="74" t="s">
        <v>78</v>
      </c>
      <c r="D19" s="68"/>
      <c r="E19" s="67"/>
      <c r="F19" s="43"/>
      <c r="G19" s="52"/>
    </row>
    <row r="20" spans="1:7" s="34" customFormat="1" ht="18.75" customHeight="1">
      <c r="A20" s="52"/>
      <c r="B20" s="47"/>
      <c r="C20" s="75" t="s">
        <v>79</v>
      </c>
      <c r="D20" s="71"/>
      <c r="E20" s="66"/>
      <c r="F20" s="43"/>
      <c r="G20" s="52"/>
    </row>
    <row r="21" spans="1:7" s="35" customFormat="1" ht="23.25" customHeight="1">
      <c r="A21" s="51"/>
      <c r="B21" s="40"/>
      <c r="C21" s="175" t="s">
        <v>80</v>
      </c>
      <c r="D21" s="176"/>
      <c r="E21" s="177"/>
      <c r="F21" s="41"/>
      <c r="G21" s="51"/>
    </row>
    <row r="22" spans="1:7" ht="89.25" customHeight="1">
      <c r="A22" s="12"/>
      <c r="B22" s="45"/>
      <c r="C22" s="172"/>
      <c r="D22" s="173"/>
      <c r="E22" s="174"/>
      <c r="F22" s="46"/>
      <c r="G22" s="12"/>
    </row>
    <row r="23" spans="1:7" ht="10.7" customHeight="1">
      <c r="A23" s="12"/>
      <c r="B23" s="45"/>
      <c r="C23" s="7"/>
      <c r="D23" s="7"/>
      <c r="E23" s="7"/>
      <c r="F23" s="46"/>
      <c r="G23" s="12"/>
    </row>
    <row r="24" spans="1:7" s="35" customFormat="1" ht="23.25" customHeight="1">
      <c r="A24" s="51"/>
      <c r="B24" s="40"/>
      <c r="C24" s="36"/>
      <c r="D24" s="64" t="s">
        <v>73</v>
      </c>
      <c r="E24" s="32" t="s">
        <v>74</v>
      </c>
      <c r="F24" s="41"/>
      <c r="G24" s="51"/>
    </row>
    <row r="25" spans="1:7" s="34" customFormat="1" ht="18.75" customHeight="1">
      <c r="A25" s="52"/>
      <c r="B25" s="47"/>
      <c r="C25" s="56" t="s">
        <v>75</v>
      </c>
      <c r="D25" s="65"/>
      <c r="E25" s="59"/>
      <c r="F25" s="43"/>
      <c r="G25" s="52"/>
    </row>
    <row r="26" spans="1:7" s="34" customFormat="1" ht="18.75" customHeight="1">
      <c r="A26" s="52"/>
      <c r="B26" s="47"/>
      <c r="C26" s="56" t="s">
        <v>76</v>
      </c>
      <c r="D26" s="61"/>
      <c r="E26" s="57"/>
      <c r="F26" s="43"/>
      <c r="G26" s="52"/>
    </row>
    <row r="27" spans="1:7" s="34" customFormat="1" ht="18.75" customHeight="1">
      <c r="A27" s="52"/>
      <c r="B27" s="47"/>
      <c r="C27" s="56" t="s">
        <v>77</v>
      </c>
      <c r="D27" s="62"/>
      <c r="E27" s="59"/>
      <c r="F27" s="43"/>
      <c r="G27" s="52"/>
    </row>
    <row r="28" spans="1:7" s="34" customFormat="1" ht="18.75" customHeight="1">
      <c r="A28" s="52"/>
      <c r="B28" s="47"/>
      <c r="C28" s="56" t="s">
        <v>78</v>
      </c>
      <c r="D28" s="61"/>
      <c r="E28" s="63"/>
      <c r="F28" s="43"/>
      <c r="G28" s="52"/>
    </row>
    <row r="29" spans="1:7" s="34" customFormat="1" ht="18.75" customHeight="1">
      <c r="A29" s="52"/>
      <c r="B29" s="47"/>
      <c r="C29" s="56" t="s">
        <v>79</v>
      </c>
      <c r="D29" s="62"/>
      <c r="E29" s="63"/>
      <c r="F29" s="43"/>
      <c r="G29" s="52"/>
    </row>
    <row r="30" spans="1:7" s="35" customFormat="1" ht="23.25" customHeight="1">
      <c r="A30" s="51"/>
      <c r="B30" s="40"/>
      <c r="C30" s="175" t="s">
        <v>80</v>
      </c>
      <c r="D30" s="176"/>
      <c r="E30" s="185"/>
      <c r="F30" s="41"/>
      <c r="G30" s="51"/>
    </row>
    <row r="31" spans="1:7" ht="89.25" customHeight="1">
      <c r="A31" s="12"/>
      <c r="B31" s="45"/>
      <c r="C31" s="172"/>
      <c r="D31" s="173"/>
      <c r="E31" s="174"/>
      <c r="F31" s="46"/>
      <c r="G31" s="12"/>
    </row>
    <row r="32" spans="1:7" ht="10.7" customHeight="1">
      <c r="A32" s="12"/>
      <c r="B32" s="48"/>
      <c r="C32" s="49"/>
      <c r="D32" s="49"/>
      <c r="E32" s="49"/>
      <c r="F32" s="50"/>
      <c r="G32" s="12"/>
    </row>
    <row r="33" spans="2:6">
      <c r="B33" s="12"/>
      <c r="C33" s="12"/>
      <c r="D33" s="12"/>
      <c r="E33" s="12"/>
      <c r="F33" s="12"/>
    </row>
  </sheetData>
  <sheetProtection sheet="1" formatCells="0" formatColumns="0" formatRows="0" insertHyperlinks="0" sort="0" autoFilter="0" pivotTables="0"/>
  <protectedRanges>
    <protectedRange sqref="B4:E31" name="Range1"/>
  </protectedRanges>
  <mergeCells count="9">
    <mergeCell ref="C31:E31"/>
    <mergeCell ref="C21:E21"/>
    <mergeCell ref="C22:E22"/>
    <mergeCell ref="D4:E4"/>
    <mergeCell ref="B2:F3"/>
    <mergeCell ref="B4:C4"/>
    <mergeCell ref="C12:E12"/>
    <mergeCell ref="C13:E13"/>
    <mergeCell ref="C30:E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03A1-2628-40F1-A307-14DAB4222401}">
  <dimension ref="A1:AB44"/>
  <sheetViews>
    <sheetView showGridLines="0" workbookViewId="0">
      <selection activeCell="B12" sqref="B12:Y12"/>
    </sheetView>
  </sheetViews>
  <sheetFormatPr defaultRowHeight="12.6"/>
  <cols>
    <col min="1" max="1" width="1.5703125" customWidth="1"/>
    <col min="2" max="2" width="4.42578125" customWidth="1"/>
    <col min="3" max="9" width="3.42578125" customWidth="1"/>
    <col min="10" max="10" width="4.42578125" customWidth="1"/>
    <col min="11" max="17" width="3.42578125" customWidth="1"/>
    <col min="18" max="18" width="4.42578125" customWidth="1"/>
    <col min="19" max="24" width="3.42578125" customWidth="1"/>
    <col min="25" max="25" width="31.85546875" customWidth="1"/>
  </cols>
  <sheetData>
    <row r="1" spans="1:28" ht="8.2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8" ht="36" customHeight="1">
      <c r="A2" s="12"/>
      <c r="B2" s="197" t="s">
        <v>81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8"/>
      <c r="Z2" s="12"/>
    </row>
    <row r="3" spans="1:28">
      <c r="A3" s="12"/>
      <c r="B3" s="198" t="s">
        <v>82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200"/>
      <c r="Z3" s="12"/>
    </row>
    <row r="4" spans="1:28" ht="18" customHeight="1">
      <c r="A4" s="12"/>
      <c r="B4" s="76">
        <v>1</v>
      </c>
      <c r="C4" s="195"/>
      <c r="D4" s="195"/>
      <c r="E4" s="195"/>
      <c r="F4" s="195"/>
      <c r="G4" s="195"/>
      <c r="H4" s="195"/>
      <c r="I4" s="195"/>
      <c r="J4" s="77">
        <v>8</v>
      </c>
      <c r="K4" s="195"/>
      <c r="L4" s="195"/>
      <c r="M4" s="195"/>
      <c r="N4" s="195"/>
      <c r="O4" s="195"/>
      <c r="P4" s="195"/>
      <c r="Q4" s="195"/>
      <c r="R4" s="78">
        <v>15</v>
      </c>
      <c r="S4" s="195"/>
      <c r="T4" s="195"/>
      <c r="U4" s="195"/>
      <c r="V4" s="195"/>
      <c r="W4" s="195"/>
      <c r="X4" s="195"/>
      <c r="Y4" s="196"/>
      <c r="Z4" s="12"/>
    </row>
    <row r="5" spans="1:28" ht="18" customHeight="1">
      <c r="A5" s="12"/>
      <c r="B5" s="79">
        <v>2</v>
      </c>
      <c r="C5" s="188"/>
      <c r="D5" s="188"/>
      <c r="E5" s="188"/>
      <c r="F5" s="188"/>
      <c r="G5" s="188"/>
      <c r="H5" s="188"/>
      <c r="I5" s="188"/>
      <c r="J5" s="80">
        <v>9</v>
      </c>
      <c r="K5" s="188"/>
      <c r="L5" s="188"/>
      <c r="M5" s="188"/>
      <c r="N5" s="188"/>
      <c r="O5" s="188"/>
      <c r="P5" s="188"/>
      <c r="Q5" s="188"/>
      <c r="R5" s="81">
        <v>16</v>
      </c>
      <c r="S5" s="188"/>
      <c r="T5" s="188"/>
      <c r="U5" s="188"/>
      <c r="V5" s="188"/>
      <c r="W5" s="188"/>
      <c r="X5" s="188"/>
      <c r="Y5" s="189"/>
      <c r="Z5" s="12"/>
    </row>
    <row r="6" spans="1:28" ht="18" customHeight="1">
      <c r="A6" s="12"/>
      <c r="B6" s="79">
        <v>3</v>
      </c>
      <c r="C6" s="188"/>
      <c r="D6" s="188"/>
      <c r="E6" s="188"/>
      <c r="F6" s="188"/>
      <c r="G6" s="188"/>
      <c r="H6" s="188"/>
      <c r="I6" s="188"/>
      <c r="J6" s="80">
        <v>10</v>
      </c>
      <c r="K6" s="188"/>
      <c r="L6" s="188"/>
      <c r="M6" s="188"/>
      <c r="N6" s="188"/>
      <c r="O6" s="188"/>
      <c r="P6" s="188"/>
      <c r="Q6" s="188"/>
      <c r="R6" s="81">
        <v>17</v>
      </c>
      <c r="S6" s="188"/>
      <c r="T6" s="188"/>
      <c r="U6" s="188"/>
      <c r="V6" s="188"/>
      <c r="W6" s="188"/>
      <c r="X6" s="188"/>
      <c r="Y6" s="189"/>
      <c r="Z6" s="12"/>
      <c r="AB6" s="11"/>
    </row>
    <row r="7" spans="1:28" ht="18" customHeight="1">
      <c r="A7" s="12"/>
      <c r="B7" s="79">
        <v>4</v>
      </c>
      <c r="C7" s="188"/>
      <c r="D7" s="188"/>
      <c r="E7" s="188"/>
      <c r="F7" s="188"/>
      <c r="G7" s="188"/>
      <c r="H7" s="188"/>
      <c r="I7" s="188"/>
      <c r="J7" s="80">
        <v>11</v>
      </c>
      <c r="K7" s="188"/>
      <c r="L7" s="188"/>
      <c r="M7" s="188"/>
      <c r="N7" s="188"/>
      <c r="O7" s="188"/>
      <c r="P7" s="188"/>
      <c r="Q7" s="188"/>
      <c r="R7" s="81">
        <v>18</v>
      </c>
      <c r="S7" s="188"/>
      <c r="T7" s="188"/>
      <c r="U7" s="188"/>
      <c r="V7" s="188"/>
      <c r="W7" s="188"/>
      <c r="X7" s="188"/>
      <c r="Y7" s="189"/>
      <c r="Z7" s="12"/>
    </row>
    <row r="8" spans="1:28" ht="18" customHeight="1">
      <c r="A8" s="12"/>
      <c r="B8" s="79">
        <v>5</v>
      </c>
      <c r="C8" s="188"/>
      <c r="D8" s="188"/>
      <c r="E8" s="188"/>
      <c r="F8" s="188"/>
      <c r="G8" s="188"/>
      <c r="H8" s="188"/>
      <c r="I8" s="188"/>
      <c r="J8" s="80">
        <v>12</v>
      </c>
      <c r="K8" s="188"/>
      <c r="L8" s="188"/>
      <c r="M8" s="188"/>
      <c r="N8" s="188"/>
      <c r="O8" s="188"/>
      <c r="P8" s="188"/>
      <c r="Q8" s="188"/>
      <c r="R8" s="81">
        <v>19</v>
      </c>
      <c r="S8" s="188"/>
      <c r="T8" s="188"/>
      <c r="U8" s="188"/>
      <c r="V8" s="188"/>
      <c r="W8" s="188"/>
      <c r="X8" s="188"/>
      <c r="Y8" s="189"/>
      <c r="Z8" s="12"/>
    </row>
    <row r="9" spans="1:28" ht="18" customHeight="1">
      <c r="A9" s="12"/>
      <c r="B9" s="79">
        <v>6</v>
      </c>
      <c r="C9" s="188"/>
      <c r="D9" s="188"/>
      <c r="E9" s="188"/>
      <c r="F9" s="188"/>
      <c r="G9" s="188"/>
      <c r="H9" s="188"/>
      <c r="I9" s="188"/>
      <c r="J9" s="80">
        <v>13</v>
      </c>
      <c r="K9" s="188"/>
      <c r="L9" s="188"/>
      <c r="M9" s="188"/>
      <c r="N9" s="188"/>
      <c r="O9" s="188"/>
      <c r="P9" s="188"/>
      <c r="Q9" s="188"/>
      <c r="R9" s="81">
        <v>20</v>
      </c>
      <c r="S9" s="188"/>
      <c r="T9" s="188"/>
      <c r="U9" s="188"/>
      <c r="V9" s="188"/>
      <c r="W9" s="188"/>
      <c r="X9" s="188"/>
      <c r="Y9" s="189"/>
      <c r="Z9" s="12"/>
    </row>
    <row r="10" spans="1:28" ht="18" customHeight="1">
      <c r="A10" s="12"/>
      <c r="B10" s="82">
        <v>7</v>
      </c>
      <c r="C10" s="190"/>
      <c r="D10" s="190"/>
      <c r="E10" s="190"/>
      <c r="F10" s="190"/>
      <c r="G10" s="190"/>
      <c r="H10" s="190"/>
      <c r="I10" s="190"/>
      <c r="J10" s="83">
        <v>14</v>
      </c>
      <c r="K10" s="190"/>
      <c r="L10" s="190"/>
      <c r="M10" s="190"/>
      <c r="N10" s="190"/>
      <c r="O10" s="190"/>
      <c r="P10" s="190"/>
      <c r="Q10" s="190"/>
      <c r="R10" s="84">
        <v>21</v>
      </c>
      <c r="S10" s="190"/>
      <c r="T10" s="190"/>
      <c r="U10" s="190"/>
      <c r="V10" s="190"/>
      <c r="W10" s="190"/>
      <c r="X10" s="190"/>
      <c r="Y10" s="191"/>
      <c r="Z10" s="12"/>
    </row>
    <row r="11" spans="1:28">
      <c r="A11" s="12"/>
      <c r="B11" s="192" t="s">
        <v>83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4"/>
      <c r="Z11" s="12"/>
    </row>
    <row r="12" spans="1:28" ht="81.2" customHeight="1">
      <c r="A12" s="12"/>
      <c r="B12" s="145"/>
      <c r="C12" s="146"/>
      <c r="D12" s="146"/>
      <c r="E12" s="146"/>
      <c r="F12" s="146"/>
      <c r="G12" s="146"/>
      <c r="H12" s="145"/>
      <c r="I12" s="146"/>
      <c r="J12" s="146"/>
      <c r="K12" s="146"/>
      <c r="L12" s="146"/>
      <c r="M12" s="146"/>
      <c r="N12" s="145"/>
      <c r="O12" s="146"/>
      <c r="P12" s="146"/>
      <c r="Q12" s="146"/>
      <c r="R12" s="146"/>
      <c r="S12" s="146"/>
      <c r="T12" s="145"/>
      <c r="U12" s="146"/>
      <c r="V12" s="146"/>
      <c r="W12" s="146"/>
      <c r="X12" s="146"/>
      <c r="Y12" s="146"/>
      <c r="Z12" s="12"/>
    </row>
    <row r="13" spans="1:28">
      <c r="A13" s="12"/>
      <c r="B13" s="192" t="s">
        <v>84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4"/>
      <c r="Z13" s="12"/>
    </row>
    <row r="14" spans="1:28" ht="18" customHeight="1">
      <c r="A14" s="12"/>
      <c r="B14" s="76">
        <v>1</v>
      </c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6"/>
      <c r="Z14" s="12"/>
    </row>
    <row r="15" spans="1:28" ht="18" customHeight="1">
      <c r="A15" s="12"/>
      <c r="B15" s="79">
        <v>2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9"/>
      <c r="Z15" s="12"/>
    </row>
    <row r="16" spans="1:28" ht="18" customHeight="1">
      <c r="A16" s="12"/>
      <c r="B16" s="79">
        <v>3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9"/>
      <c r="Z16" s="12"/>
    </row>
    <row r="17" spans="1:26" ht="18" customHeight="1">
      <c r="A17" s="12"/>
      <c r="B17" s="79">
        <v>4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9"/>
      <c r="Z17" s="12"/>
    </row>
    <row r="18" spans="1:26" ht="18" customHeight="1">
      <c r="A18" s="12"/>
      <c r="B18" s="79">
        <v>5</v>
      </c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9"/>
      <c r="Z18" s="12"/>
    </row>
    <row r="19" spans="1:26" ht="18" customHeight="1">
      <c r="A19" s="12"/>
      <c r="B19" s="79">
        <v>6</v>
      </c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9"/>
      <c r="Z19" s="12"/>
    </row>
    <row r="20" spans="1:26" ht="18" customHeight="1">
      <c r="A20" s="12"/>
      <c r="B20" s="79">
        <v>7</v>
      </c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9"/>
      <c r="Z20" s="12"/>
    </row>
    <row r="21" spans="1:26" ht="18" customHeight="1">
      <c r="A21" s="12"/>
      <c r="B21" s="79">
        <v>8</v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9"/>
      <c r="Z21" s="12"/>
    </row>
    <row r="22" spans="1:26" ht="18" customHeight="1">
      <c r="A22" s="12"/>
      <c r="B22" s="79">
        <v>9</v>
      </c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9"/>
      <c r="Z22" s="12"/>
    </row>
    <row r="23" spans="1:26" ht="18" customHeight="1">
      <c r="A23" s="12"/>
      <c r="B23" s="79">
        <v>10</v>
      </c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9"/>
      <c r="Z23" s="12"/>
    </row>
    <row r="24" spans="1:26" ht="18" customHeight="1">
      <c r="A24" s="12"/>
      <c r="B24" s="79">
        <v>11</v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9"/>
      <c r="Z24" s="12"/>
    </row>
    <row r="25" spans="1:26" ht="18" customHeight="1">
      <c r="A25" s="12"/>
      <c r="B25" s="79">
        <v>12</v>
      </c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9"/>
      <c r="Z25" s="12"/>
    </row>
    <row r="26" spans="1:26" ht="18" customHeight="1">
      <c r="A26" s="12"/>
      <c r="B26" s="79">
        <v>13</v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9"/>
      <c r="Z26" s="12"/>
    </row>
    <row r="27" spans="1:26" ht="18" customHeight="1">
      <c r="A27" s="12"/>
      <c r="B27" s="79">
        <v>14</v>
      </c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9"/>
      <c r="Z27" s="12"/>
    </row>
    <row r="28" spans="1:26" ht="18" customHeight="1">
      <c r="A28" s="12"/>
      <c r="B28" s="79">
        <v>15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9"/>
      <c r="Z28" s="12"/>
    </row>
    <row r="29" spans="1:26" ht="18" customHeight="1">
      <c r="A29" s="12"/>
      <c r="B29" s="79">
        <v>16</v>
      </c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9"/>
      <c r="Z29" s="12"/>
    </row>
    <row r="30" spans="1:26" ht="18" customHeight="1">
      <c r="A30" s="12"/>
      <c r="B30" s="79">
        <v>17</v>
      </c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9"/>
      <c r="Z30" s="12"/>
    </row>
    <row r="31" spans="1:26" ht="18" customHeight="1">
      <c r="A31" s="12"/>
      <c r="B31" s="79">
        <v>18</v>
      </c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9"/>
      <c r="Z31" s="12"/>
    </row>
    <row r="32" spans="1:26" ht="18" customHeight="1">
      <c r="A32" s="12"/>
      <c r="B32" s="79">
        <v>19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9"/>
      <c r="Z32" s="12"/>
    </row>
    <row r="33" spans="1:26" ht="18" customHeight="1">
      <c r="A33" s="12"/>
      <c r="B33" s="79">
        <v>20</v>
      </c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9"/>
      <c r="Z33" s="12"/>
    </row>
    <row r="34" spans="1:26" ht="18" customHeight="1">
      <c r="A34" s="12"/>
      <c r="B34" s="79">
        <v>21</v>
      </c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9"/>
      <c r="Z34" s="12"/>
    </row>
    <row r="35" spans="1:26" ht="18" customHeight="1">
      <c r="A35" s="12"/>
      <c r="B35" s="79">
        <v>22</v>
      </c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9"/>
      <c r="Z35" s="12"/>
    </row>
    <row r="36" spans="1:26" ht="18" customHeight="1">
      <c r="A36" s="12"/>
      <c r="B36" s="79">
        <v>23</v>
      </c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9"/>
      <c r="Z36" s="12"/>
    </row>
    <row r="37" spans="1:26" ht="18" customHeight="1">
      <c r="A37" s="12"/>
      <c r="B37" s="79">
        <v>24</v>
      </c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9"/>
      <c r="Z37" s="12"/>
    </row>
    <row r="38" spans="1:26" ht="18" customHeight="1">
      <c r="A38" s="12"/>
      <c r="B38" s="79">
        <v>25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9"/>
      <c r="Z38" s="12"/>
    </row>
    <row r="39" spans="1:26" ht="18" customHeight="1">
      <c r="A39" s="12"/>
      <c r="B39" s="79">
        <v>26</v>
      </c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9"/>
      <c r="Z39" s="12"/>
    </row>
    <row r="40" spans="1:26" ht="18" customHeight="1">
      <c r="A40" s="12"/>
      <c r="B40" s="79">
        <v>27</v>
      </c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9"/>
      <c r="Z40" s="12"/>
    </row>
    <row r="41" spans="1:26" ht="18" customHeight="1">
      <c r="A41" s="12"/>
      <c r="B41" s="79">
        <v>28</v>
      </c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9"/>
      <c r="Z41" s="12"/>
    </row>
    <row r="42" spans="1:26" ht="18" customHeight="1">
      <c r="A42" s="12"/>
      <c r="B42" s="79">
        <v>29</v>
      </c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9"/>
      <c r="Z42" s="12"/>
    </row>
    <row r="43" spans="1:26" ht="18" customHeight="1">
      <c r="A43" s="12"/>
      <c r="B43" s="85">
        <v>30</v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7"/>
      <c r="Z43" s="12"/>
    </row>
    <row r="44" spans="1:26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</sheetData>
  <sheetProtection sheet="1" formatCells="0" formatColumns="0" formatRows="0" insertRows="0" insertHyperlinks="0" sort="0" autoFilter="0" pivotTables="0"/>
  <protectedRanges>
    <protectedRange sqref="B4:Y10" name="Range1"/>
    <protectedRange sqref="B12:Y12" name="Range2"/>
    <protectedRange sqref="B14:Y43" name="Range3"/>
  </protectedRanges>
  <mergeCells count="56">
    <mergeCell ref="C5:I5"/>
    <mergeCell ref="K5:Q5"/>
    <mergeCell ref="S5:Y5"/>
    <mergeCell ref="B2:Y2"/>
    <mergeCell ref="B3:Y3"/>
    <mergeCell ref="C4:I4"/>
    <mergeCell ref="K4:Q4"/>
    <mergeCell ref="S4:Y4"/>
    <mergeCell ref="C6:I6"/>
    <mergeCell ref="K6:Q6"/>
    <mergeCell ref="S6:Y6"/>
    <mergeCell ref="C7:I7"/>
    <mergeCell ref="K7:Q7"/>
    <mergeCell ref="S7:Y7"/>
    <mergeCell ref="C8:I8"/>
    <mergeCell ref="K8:Q8"/>
    <mergeCell ref="S8:Y8"/>
    <mergeCell ref="C9:I9"/>
    <mergeCell ref="K9:Q9"/>
    <mergeCell ref="S9:Y9"/>
    <mergeCell ref="C19:Y19"/>
    <mergeCell ref="C10:I10"/>
    <mergeCell ref="K10:Q10"/>
    <mergeCell ref="S10:Y10"/>
    <mergeCell ref="B11:Y11"/>
    <mergeCell ref="B12:Y12"/>
    <mergeCell ref="B13:Y13"/>
    <mergeCell ref="C14:Y14"/>
    <mergeCell ref="C15:Y15"/>
    <mergeCell ref="C16:Y16"/>
    <mergeCell ref="C17:Y17"/>
    <mergeCell ref="C18:Y18"/>
    <mergeCell ref="C31:Y31"/>
    <mergeCell ref="C20:Y20"/>
    <mergeCell ref="C21:Y21"/>
    <mergeCell ref="C22:Y22"/>
    <mergeCell ref="C23:Y23"/>
    <mergeCell ref="C24:Y24"/>
    <mergeCell ref="C25:Y25"/>
    <mergeCell ref="C26:Y26"/>
    <mergeCell ref="C27:Y27"/>
    <mergeCell ref="C28:Y28"/>
    <mergeCell ref="C29:Y29"/>
    <mergeCell ref="C30:Y30"/>
    <mergeCell ref="C43:Y43"/>
    <mergeCell ref="C32:Y32"/>
    <mergeCell ref="C33:Y33"/>
    <mergeCell ref="C34:Y34"/>
    <mergeCell ref="C35:Y35"/>
    <mergeCell ref="C36:Y36"/>
    <mergeCell ref="C37:Y37"/>
    <mergeCell ref="C38:Y38"/>
    <mergeCell ref="C39:Y39"/>
    <mergeCell ref="C40:Y40"/>
    <mergeCell ref="C41:Y41"/>
    <mergeCell ref="C42:Y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2887-79A8-4096-A707-66A12EB64555}">
  <dimension ref="A1:F18"/>
  <sheetViews>
    <sheetView showGridLines="0" workbookViewId="0">
      <selection activeCell="B6" sqref="B6"/>
    </sheetView>
  </sheetViews>
  <sheetFormatPr defaultColWidth="14.42578125" defaultRowHeight="12.6"/>
  <cols>
    <col min="1" max="1" width="2.42578125" customWidth="1"/>
    <col min="2" max="3" width="31" customWidth="1"/>
    <col min="4" max="5" width="21.5703125" customWidth="1"/>
    <col min="6" max="6" width="3.28515625" customWidth="1"/>
  </cols>
  <sheetData>
    <row r="1" spans="1:6" ht="15" customHeight="1">
      <c r="A1" s="9"/>
      <c r="B1" s="9"/>
      <c r="C1" s="3"/>
      <c r="D1" s="3"/>
      <c r="E1" s="3"/>
      <c r="F1" s="9"/>
    </row>
    <row r="2" spans="1:6" ht="15" customHeight="1">
      <c r="A2" s="9"/>
      <c r="B2" s="251" t="s">
        <v>85</v>
      </c>
      <c r="C2" s="252"/>
      <c r="D2" s="252"/>
      <c r="E2" s="252"/>
      <c r="F2" s="9"/>
    </row>
    <row r="3" spans="1:6" ht="15" customHeight="1">
      <c r="A3" s="9"/>
      <c r="B3" s="254"/>
      <c r="C3" s="255"/>
      <c r="D3" s="255"/>
      <c r="E3" s="255"/>
      <c r="F3" s="9"/>
    </row>
    <row r="4" spans="1:6" ht="6.75" customHeight="1">
      <c r="A4" s="10"/>
      <c r="B4" s="10"/>
      <c r="C4" s="10"/>
      <c r="D4" s="10"/>
      <c r="E4" s="10"/>
      <c r="F4" s="136"/>
    </row>
    <row r="5" spans="1:6" ht="15" customHeight="1">
      <c r="A5" s="10"/>
      <c r="B5" s="259" t="s">
        <v>86</v>
      </c>
      <c r="C5" s="259" t="s">
        <v>87</v>
      </c>
      <c r="D5" s="259" t="s">
        <v>88</v>
      </c>
      <c r="E5" s="259" t="s">
        <v>89</v>
      </c>
    </row>
    <row r="6" spans="1:6" ht="12.75" customHeight="1">
      <c r="A6" s="132"/>
      <c r="B6" s="260" t="s">
        <v>90</v>
      </c>
      <c r="C6" s="260">
        <v>11</v>
      </c>
      <c r="D6" s="261">
        <f t="shared" ref="D6:D12" si="0">C6/SUM($C$6:$C$12)</f>
        <v>0.27500000000000002</v>
      </c>
      <c r="E6" s="262">
        <f t="shared" ref="E6:E12" si="1">SUM(($D$5:D6))</f>
        <v>0.27500000000000002</v>
      </c>
      <c r="F6" s="4"/>
    </row>
    <row r="7" spans="1:6" ht="12.75" customHeight="1">
      <c r="A7" s="132"/>
      <c r="B7" s="260" t="s">
        <v>91</v>
      </c>
      <c r="C7" s="260">
        <v>10</v>
      </c>
      <c r="D7" s="261">
        <f>C7/SUM($C$6:$C$12)</f>
        <v>0.25</v>
      </c>
      <c r="E7" s="262">
        <f t="shared" si="1"/>
        <v>0.52500000000000002</v>
      </c>
      <c r="F7" s="4"/>
    </row>
    <row r="8" spans="1:6" ht="12.75" customHeight="1">
      <c r="A8" s="132"/>
      <c r="B8" s="260" t="s">
        <v>92</v>
      </c>
      <c r="C8" s="260">
        <v>9</v>
      </c>
      <c r="D8" s="261">
        <f t="shared" si="0"/>
        <v>0.22500000000000001</v>
      </c>
      <c r="E8" s="262">
        <f t="shared" si="1"/>
        <v>0.75</v>
      </c>
      <c r="F8" s="4"/>
    </row>
    <row r="9" spans="1:6" ht="12.75" customHeight="1">
      <c r="A9" s="132"/>
      <c r="B9" s="260" t="s">
        <v>93</v>
      </c>
      <c r="C9" s="260">
        <v>4</v>
      </c>
      <c r="D9" s="261">
        <f t="shared" si="0"/>
        <v>0.1</v>
      </c>
      <c r="E9" s="262">
        <f t="shared" si="1"/>
        <v>0.85</v>
      </c>
      <c r="F9" s="4"/>
    </row>
    <row r="10" spans="1:6" ht="12.75" customHeight="1">
      <c r="A10" s="132"/>
      <c r="B10" s="260" t="s">
        <v>94</v>
      </c>
      <c r="C10" s="260">
        <v>3</v>
      </c>
      <c r="D10" s="261">
        <f t="shared" si="0"/>
        <v>7.4999999999999997E-2</v>
      </c>
      <c r="E10" s="262">
        <f t="shared" si="1"/>
        <v>0.92499999999999993</v>
      </c>
      <c r="F10" s="4"/>
    </row>
    <row r="11" spans="1:6" ht="12.75" customHeight="1">
      <c r="A11" s="132"/>
      <c r="B11" s="260" t="s">
        <v>95</v>
      </c>
      <c r="C11" s="260">
        <v>2</v>
      </c>
      <c r="D11" s="261">
        <f t="shared" si="0"/>
        <v>0.05</v>
      </c>
      <c r="E11" s="262">
        <f t="shared" si="1"/>
        <v>0.97499999999999998</v>
      </c>
      <c r="F11" s="4"/>
    </row>
    <row r="12" spans="1:6" ht="12.75" customHeight="1">
      <c r="A12" s="132"/>
      <c r="B12" s="260" t="s">
        <v>96</v>
      </c>
      <c r="C12" s="260">
        <v>1</v>
      </c>
      <c r="D12" s="261">
        <f t="shared" si="0"/>
        <v>2.5000000000000001E-2</v>
      </c>
      <c r="E12" s="262">
        <f t="shared" si="1"/>
        <v>1</v>
      </c>
      <c r="F12" s="4"/>
    </row>
    <row r="13" spans="1:6" ht="14.1">
      <c r="A13" s="136"/>
      <c r="B13" s="12"/>
      <c r="C13" s="133">
        <f>SUM(C6:C12)</f>
        <v>40</v>
      </c>
      <c r="D13" s="12"/>
      <c r="E13" s="12"/>
    </row>
    <row r="14" spans="1:6" ht="14.1">
      <c r="A14" s="136"/>
    </row>
    <row r="15" spans="1:6" ht="14.1">
      <c r="A15" s="136"/>
    </row>
    <row r="16" spans="1:6" ht="14.1">
      <c r="A16" s="136"/>
    </row>
    <row r="17" spans="1:1" ht="14.1">
      <c r="A17" s="136"/>
    </row>
    <row r="18" spans="1:1" ht="14.1">
      <c r="A18" s="136"/>
    </row>
  </sheetData>
  <sheetProtection sheet="1" formatCells="0" formatColumns="0" formatRows="0" insertRows="0" insertHyperlinks="0" sort="0" autoFilter="0" pivotTables="0"/>
  <protectedRanges>
    <protectedRange sqref="B6:C12" name="Range1"/>
  </protectedRanges>
  <mergeCells count="1">
    <mergeCell ref="B2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2497F9E1AC8A4EAC92ECBC176BFE35" ma:contentTypeVersion="25" ma:contentTypeDescription="Crie um novo documento." ma:contentTypeScope="" ma:versionID="dc3a5892340f7102f13650408676b3ab">
  <xsd:schema xmlns:xsd="http://www.w3.org/2001/XMLSchema" xmlns:xs="http://www.w3.org/2001/XMLSchema" xmlns:p="http://schemas.microsoft.com/office/2006/metadata/properties" xmlns:ns2="786710cf-db93-43eb-8436-a18dae16cd0e" xmlns:ns3="c7b56bdc-396d-4620-999e-f0bc34c60f92" targetNamespace="http://schemas.microsoft.com/office/2006/metadata/properties" ma:root="true" ma:fieldsID="de20ef5acb1e36ffad12d1c3897177ce" ns2:_="" ns3:_="">
    <xsd:import namespace="786710cf-db93-43eb-8436-a18dae16cd0e"/>
    <xsd:import namespace="c7b56bdc-396d-4620-999e-f0bc34c60f9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10cf-db93-43eb-8436-a18dae16cd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bdc-396d-4620-999e-f0bc34c60f92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8" nillable="true" ma:displayName="Taxonomy Catch All Column" ma:hidden="true" ma:list="{fb1d0b8f-f0b0-4617-9fb7-1ac6a4b17de9}" ma:internalName="TaxCatchAll" ma:readOnly="false" ma:showField="CatchAllData" ma:web="c7b56bdc-396d-4620-999e-f0bc34c60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56bdc-396d-4620-999e-f0bc34c60f92" xsi:nil="true"/>
    <lcf76f155ced4ddcb4097134ff3c332f xmlns="786710cf-db93-43eb-8436-a18dae16cd0e">
      <Terms xmlns="http://schemas.microsoft.com/office/infopath/2007/PartnerControls"/>
    </lcf76f155ced4ddcb4097134ff3c332f>
    <SharedWithUsers xmlns="c7b56bdc-396d-4620-999e-f0bc34c60f92">
      <UserInfo>
        <DisplayName>Qualidade Laboratório</DisplayName>
        <AccountId>217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313829D-A0A5-4B22-A145-0C932C424B89}"/>
</file>

<file path=customXml/itemProps2.xml><?xml version="1.0" encoding="utf-8"?>
<ds:datastoreItem xmlns:ds="http://schemas.openxmlformats.org/officeDocument/2006/customXml" ds:itemID="{8557362F-FE2B-4A06-9A05-BFE1C2AC4550}"/>
</file>

<file path=customXml/itemProps3.xml><?xml version="1.0" encoding="utf-8"?>
<ds:datastoreItem xmlns:ds="http://schemas.openxmlformats.org/officeDocument/2006/customXml" ds:itemID="{8D30FBAF-CAED-45BD-883F-43E03F14B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2023-08-16T11:41:55Z</dcterms:created>
  <dcterms:modified xsi:type="dcterms:W3CDTF">2026-02-10T17:21:41Z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0x0101004E2497F9E1AC8A4EAC92ECBC176BFE35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2023-08-16T11:41:52Z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fac41a1f-0c5c-4724-a922-7b0bf62a03db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10200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