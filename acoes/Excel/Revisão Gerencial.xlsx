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0f8ee58e42814fe9/Tecnolens/QMS/AUDITORIA/Auditorias/2025/"/>
    </mc:Choice>
  </mc:AlternateContent>
  <xr:revisionPtr revIDLastSave="369" documentId="13_ncr:1_{72941EC7-E709-4922-B3FF-1E2932B17982}" xr6:coauthVersionLast="47" xr6:coauthVersionMax="47" xr10:uidLastSave="{B0DF526E-3F28-44DD-A2CC-F1F0D0324E18}"/>
  <bookViews>
    <workbookView xWindow="-119" yWindow="-119" windowWidth="20517" windowHeight="10912" firstSheet="1" activeTab="1" xr2:uid="{00000000-000D-0000-FFFF-FFFF00000000}"/>
  </bookViews>
  <sheets>
    <sheet name="Relatório de Revisão Gerencial" sheetId="1" r:id="rId1"/>
    <sheet name="Plano de ação" sheetId="2" r:id="rId2"/>
  </sheets>
  <definedNames>
    <definedName name="_xlnm._FilterDatabase" localSheetId="1" hidden="1">'Plano de ação'!$B$8:$O$108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I5" i="2"/>
  <c r="G5" i="2"/>
  <c r="D5" i="2"/>
  <c r="G4" i="2"/>
  <c r="G3" i="2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0000-000001000000}">
      <text>
        <r>
          <rPr>
            <sz val="10"/>
            <color rgb="FF000000"/>
            <rFont val="Arial"/>
            <scheme val="minor"/>
          </rPr>
          <t>Ex.: RG-QBR-01/2023
RG: Revisão Gerencial
QBR: Sigla da Unidade
01: Número sequencial de abertura 
2023: Ano da abertura da Revisão Gerencial</t>
        </r>
      </text>
    </comment>
    <comment ref="C12" authorId="0" shapeId="0" xr:uid="{00000000-0006-0000-0000-000002000000}">
      <text>
        <r>
          <rPr>
            <sz val="10"/>
            <color rgb="FF000000"/>
            <rFont val="Arial"/>
            <scheme val="minor"/>
          </rPr>
          <t xml:space="preserve">Sempre trazer dados coerentes para o relatório, e quando existir metas, deixar claro a meta e o valor atingido.
</t>
        </r>
      </text>
    </comment>
    <comment ref="B13" authorId="0" shapeId="0" xr:uid="{00000000-0006-0000-0000-000003000000}">
      <text>
        <r>
          <rPr>
            <sz val="10"/>
            <color rgb="FF000000"/>
            <rFont val="Arial"/>
            <scheme val="minor"/>
          </rPr>
          <t>Avaliar Relatório de Revisão Gerencial anterior, buscando o fechamento das ações definidas e entendimento das que ainda estiverem abertas para uma nova definição. Caso este seja o primero relatório gerencial para realização da análise crítica, deve ser informado na descrição: 
"Não existe Análise Crítica anterior, devido início da implementação do QMS em XXXX"</t>
        </r>
      </text>
    </comment>
    <comment ref="B14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Para cada tipo de auditoria descrever  de forma objetiva os resultados.
ex.:
Auditoria de Produto: 95% 93% (principais problemas...)
Auditoria de QMS Latam: 2 NC e 1 OM (principais pontos evidenciados)
Auditoria 5S: ...."	
Demostrar o acompanhamento, fechamento e verificações da eficácia das ações da auditorias de QMS.	</t>
        </r>
      </text>
    </comment>
    <comment ref="B15" authorId="0" shapeId="0" xr:uid="{00000000-0006-0000-0000-000005000000}">
      <text>
        <r>
          <rPr>
            <sz val="10"/>
            <color rgb="FF000000"/>
            <rFont val="Arial"/>
            <scheme val="minor"/>
          </rPr>
          <t>Inserir resultados e os principais apontamentos oriundos da Pesquisa de Satisfação Corporativa e Reclamações internas quando existir</t>
        </r>
      </text>
    </comment>
    <comment ref="B16" authorId="0" shapeId="0" xr:uid="{00000000-0006-0000-0000-000006000000}">
      <text>
        <r>
          <rPr>
            <sz val="10"/>
            <color rgb="FF000000"/>
            <rFont val="Arial"/>
            <scheme val="minor"/>
          </rPr>
          <t>- Informações dos Indicadores de Qualidade definidos no Manual de Qualidade,
- Informações sobre Claim de produto.
- Registros do produto</t>
        </r>
      </text>
    </comment>
    <comment ref="B17" authorId="0" shapeId="0" xr:uid="{00000000-0006-0000-0000-000007000000}">
      <text>
        <r>
          <rPr>
            <sz val="10"/>
            <color rgb="FF000000"/>
            <rFont val="Arial"/>
            <scheme val="minor"/>
          </rPr>
          <t>Levantamento geral do Controle das Ações Preventivas e corretivas, oriundas das trativas das Soluções de Problemas, RNC, A3, 8D, Revisão...</t>
        </r>
      </text>
    </comment>
    <comment ref="B18" authorId="0" shapeId="0" xr:uid="{00000000-0006-0000-0000-000008000000}">
      <text>
        <r>
          <rPr>
            <sz val="10"/>
            <color rgb="FF000000"/>
            <rFont val="Arial"/>
            <scheme val="minor"/>
          </rPr>
          <t>Qualquer mudança estratégica que pode afetar a Qualidade do Produto ou Serviço, como layout, máquinas, sistemas, recursos humanos, novo produto, local de trabalho... Estas mudanças devem ficar registradas e avaliadas nos relatórios de Gestão de Mudanças.</t>
        </r>
      </text>
    </comment>
    <comment ref="B19" authorId="0" shapeId="0" xr:uid="{00000000-0006-0000-0000-000009000000}">
      <text>
        <r>
          <rPr>
            <sz val="10"/>
            <color rgb="FF000000"/>
            <rFont val="Arial"/>
            <scheme val="minor"/>
          </rPr>
          <t>Recomendação de ações e solicitações que podem ser utilizadas para a melhoria do sistema como um todo.</t>
        </r>
      </text>
    </comment>
    <comment ref="B20" authorId="0" shapeId="0" xr:uid="{00000000-0006-0000-0000-00000A000000}">
      <text>
        <r>
          <rPr>
            <sz val="10"/>
            <color rgb="FF000000"/>
            <rFont val="Arial"/>
            <scheme val="minor"/>
          </rPr>
          <t xml:space="preserve">Qualquer tipo de recurso necessário para um melhor desempenho do Sistema de Gestão da Qualidade.
Ex.: Contratação de funcionários, novos treinamentos relacionados ao QMS, Softwares
</t>
        </r>
      </text>
    </comment>
    <comment ref="B21" authorId="0" shapeId="0" xr:uid="{00000000-0006-0000-0000-00000B000000}">
      <text>
        <r>
          <rPr>
            <sz val="10"/>
            <color rgb="FF000000"/>
            <rFont val="Arial"/>
            <scheme val="minor"/>
          </rPr>
          <t>Informações relevantes sobre monitoramento e apresentação do resultado da reavaliação dos fornecedores definidos como críticos</t>
        </r>
      </text>
    </comment>
    <comment ref="B22" authorId="0" shapeId="0" xr:uid="{00000000-0006-0000-0000-00000C000000}">
      <text>
        <r>
          <rPr>
            <sz val="10"/>
            <color rgb="FF000000"/>
            <rFont val="Arial"/>
            <scheme val="minor"/>
          </rPr>
          <t xml:space="preserve">Garantir que a Politica de Qualidade, Manual de Qualidade e PSQ's estejam estabelecidos na unidade. 
Ex.: adaptação de algum procedimento corporativo, criação de procedimentos internos, ajustes internos nos processos.
</t>
        </r>
      </text>
    </comment>
    <comment ref="B23" authorId="0" shapeId="0" xr:uid="{00000000-0006-0000-0000-00000D000000}">
      <text>
        <r>
          <rPr>
            <sz val="10"/>
            <color rgb="FF000000"/>
            <rFont val="Arial"/>
            <scheme val="minor"/>
          </rPr>
          <t>Utilização deste item apenas quando deverá ocorrer comunicação as autoridades.
Ex.: registro dos produtos e/ou dispositivos médicos na anvisa 
*Quando não se faz necessário comunicações as autoridades, deixar claro no campo de descrição esta liberação e qual motivo.</t>
        </r>
      </text>
    </comment>
    <comment ref="B24" authorId="0" shapeId="0" xr:uid="{00000000-0006-0000-0000-00000E000000}">
      <text>
        <r>
          <rPr>
            <sz val="10"/>
            <color rgb="FF000000"/>
            <rFont val="Arial"/>
            <scheme val="minor"/>
          </rPr>
          <t xml:space="preserve">Requisitos legais e de funcionamento da unidade como, Licença de Operação (LO)(bombeiros, brigada de emergência, validação de segurança) se estão cumprindo estes requisitos e se as documentações estão vigentes. Certificados Normativos ativos.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00000000-0006-0000-0100-000001000000}">
      <text>
        <r>
          <rPr>
            <sz val="10"/>
            <color rgb="FF000000"/>
            <rFont val="Arial"/>
            <scheme val="minor"/>
          </rPr>
          <t>Se aplicável</t>
        </r>
      </text>
    </comment>
    <comment ref="C8" authorId="0" shapeId="0" xr:uid="{00000000-0006-0000-0100-000002000000}">
      <text>
        <r>
          <rPr>
            <sz val="10"/>
            <color rgb="FF000000"/>
            <rFont val="Arial"/>
            <scheme val="minor"/>
          </rPr>
          <t>De onde veio a ação?
(Dónde viene la acción?)
Techno Club
Assessment
GMR
Local</t>
        </r>
      </text>
    </comment>
    <comment ref="J8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Y = YES, é prioridade (es prioridad)
N = NO, não é prioridade (no es prioridad)
</t>
        </r>
      </text>
    </comment>
    <comment ref="L8" authorId="0" shapeId="0" xr:uid="{00000000-0006-0000-0100-000004000000}">
      <text>
        <r>
          <rPr>
            <sz val="10"/>
            <color rgb="FF000000"/>
            <rFont val="Arial"/>
            <scheme val="minor"/>
          </rPr>
          <t>Primeiro deadline definido
Primer deadline definido</t>
        </r>
      </text>
    </comment>
    <comment ref="M8" authorId="0" shapeId="0" xr:uid="{00000000-0006-0000-0100-000005000000}">
      <text>
        <r>
          <rPr>
            <sz val="10"/>
            <color rgb="FF000000"/>
            <rFont val="Arial"/>
            <scheme val="minor"/>
          </rPr>
          <t>Último deadline definido</t>
        </r>
      </text>
    </comment>
  </commentList>
</comments>
</file>

<file path=xl/sharedStrings.xml><?xml version="1.0" encoding="utf-8"?>
<sst xmlns="http://schemas.openxmlformats.org/spreadsheetml/2006/main" count="202" uniqueCount="130">
  <si>
    <r>
      <rPr>
        <b/>
        <sz val="14"/>
        <color theme="1"/>
        <rFont val="Arial"/>
      </rPr>
      <t xml:space="preserve">RELATÓRIO DE REVISÃO GERENCIAL
</t>
    </r>
    <r>
      <rPr>
        <sz val="12"/>
        <color theme="1"/>
        <rFont val="Arial"/>
      </rPr>
      <t>Análise Crítica</t>
    </r>
  </si>
  <si>
    <t>Laboratório:</t>
  </si>
  <si>
    <t>Tecnolens Laboratório Óptico Ltda</t>
  </si>
  <si>
    <t>Período desta Revisão Gerencial:</t>
  </si>
  <si>
    <t>Agosto/2024 à Julho/2025</t>
  </si>
  <si>
    <t>Nº Registro:</t>
  </si>
  <si>
    <t>RG-TEC-001/2025</t>
  </si>
  <si>
    <t>Data da realização desta reunião:</t>
  </si>
  <si>
    <t>Representante da Direção:</t>
  </si>
  <si>
    <t>Jousival Vilela</t>
  </si>
  <si>
    <t>Responsável pela Unidade:</t>
  </si>
  <si>
    <t xml:space="preserve">Fernando Ribeiro </t>
  </si>
  <si>
    <t>Participantes:</t>
  </si>
  <si>
    <t>Fernando Ribeiro
Silvana Mascarenhas
Jousival Vilela
Vinícius Silva
Breno Santos</t>
  </si>
  <si>
    <t>Entradas:</t>
  </si>
  <si>
    <t>Saídas:</t>
  </si>
  <si>
    <t>1. Ações de acompanhamento de análises críticas anteriores;
2. Resultados de auditorias;
3. Satisfação e reclamações de clientes;
4. Desempenho de processo e conformidade do produto;
5. Situação das ações preventivas e corretivas;
6. Mudanças que possam afetar o sistema da qualidade;
7. Recomendações para melhoria;
8. Recursos para o sistema de gestão da qualidade;
9. Análise de fornecedores;
10. Adequação das políticas e procedimentos;
11. Comunicação as autoridades regulatórias;
12. Requisitos regulatórios aplicáveis, novos ou revisados.</t>
  </si>
  <si>
    <t>1. Melhoria da eficácia do SGQ e de seus processos;
2. Melhoria do produto em relação aos requisitos do cliente;
3. Alterações necessárias para responder aos requisitos regulatórios aplicáveis, novos ou revisados;
4. Necessidades de recursos.</t>
  </si>
  <si>
    <t>Item</t>
  </si>
  <si>
    <t>Descrição do Assunto</t>
  </si>
  <si>
    <t xml:space="preserve">Análise da Diretoria </t>
  </si>
  <si>
    <t>1. Ações de acompanhamento de análises críticas anteriores</t>
  </si>
  <si>
    <t>A RG-TEC-01/2024 alcançou 100% de conclusão de seu plano de ação.</t>
  </si>
  <si>
    <t>RG-TEC-01/2024</t>
  </si>
  <si>
    <t>2. Resultados de auditorias</t>
  </si>
  <si>
    <t>Auditoria de Produto (Qualidade intrínseca):  
  - não realizado desde outubro/2024
Auditoria de Produto (BIG):  
  - não realizado desde outubro/2024
Auditoria de Produto (GIB):  
  - não realizado desde outubro/2024
Auditoria de QMS Interna: Resultado de 87%, tivemos 04 NCs e 09 OMs comparado a meta de 100%
Auditoria 5S implementada, requerendo reunião de tratativa</t>
  </si>
  <si>
    <t>Realizar tratativa referente ás auditorias de produto;
Após implementação da auditoria 5s, necessário criar plano de ação referente aos pontos  identificados.</t>
  </si>
  <si>
    <t>3. Satisfação e reclamações de clientes</t>
  </si>
  <si>
    <t>Relacionamento com os clientes o resultado referente a pesquisa realizada em 2023 tivemos o resultado de 81% comparado com resultado em 2024 de 78%, apresentando uma queda de 3% nos resultados.</t>
  </si>
  <si>
    <t>Pesquisa de satisfação 2025 em fase de elaboração, avaliando especificações para gerar listagem de clientes que atenderão à pesquisa.</t>
  </si>
  <si>
    <t>4. Desempenho de processo e conformidade do produto</t>
  </si>
  <si>
    <t>O laboratório apresentou um resultado de retornos abaixo de 0,60% (meta&lt;=0,60%) e Service Rate acima de 95% (Meta&gt;=95%)</t>
  </si>
  <si>
    <t>Houve uma adequação de volumes dos produtos com mais saída em estoque;
Revisão de processos de fluxos de prioridade;
Treinamento das equipes;
Reuniões de alinhamento com lideranças;
Apresentação de indicadores em abertura de turnos;</t>
  </si>
  <si>
    <t>5. Situação das ações preventivas e corretivas</t>
  </si>
  <si>
    <t xml:space="preserve">4 RNCs foram registradas e 3 finalizadas </t>
  </si>
  <si>
    <t>(Finalizadas) 
RNC-TEC-14-2025 - Apesar da regularização do equipamento espectofotometro com novo flame, ainda apresentam resultados de aprovação abaixo da meta de 90% nos meses de novembro e dezembro de 2024. 
Novembro: 29,01 %
Dezembro: 43,67% 
RNC-TEC-15-2025 - ìndice de Quebra do HMC  acima da meta estipulada.
Novembro: 3,79%
Dezembro: 3,16%
Meta: 1,50% 
RNC-TEC-17-2025 - Valor do resultado Teste Sand Bayer HC referente ao LIMS RIO-25-0669 de abril/2025  foi de 1,85 (Reprovado). Valor para aprovação &gt;= 2,10.  
(Em Andamento) 
RNC-TEC-16-2025 - Descumprimento do KPi de late orders ao longo do ano de 2024.</t>
  </si>
  <si>
    <t>6. Mudanças que possam afetar o sistema da qualidade</t>
  </si>
  <si>
    <t>02 Gestão de Mudança de 2024 aberta e concluída
01 Gestão de Mudança de 2024 aberta e não concluída</t>
  </si>
  <si>
    <t>(não concluída)
GM-TEC-02-2024 - Implementação de um novo setor para centralizar a conferência. - Qualidade dos produtos e reclamação dos clientes; 
(Concluída)
GM-TEC-01-2024 - Alteração do sistema para que incluísse em cada etapa o registro de responsável através de cartão de identificação único e intransferível. - Necessidade de uma melhor rastreabilidade sobre os operadores para fins de resolução de problemas e reciclagem dos operadores.; 
GM-TEC-04-2024 - Oportunidade de melhoria devido ao manuseio excessivo das lentes</t>
  </si>
  <si>
    <t>7. Recomendações para melhoria</t>
  </si>
  <si>
    <t xml:space="preserve">- OM: 4.2.4 - Formulário de reposição de estoque não oficializado no Qualiex;
- OM: 4.2.4 - Não há um procedimento de reposição de estoque de insumos;
- OM: 4.2.4 - Esquema de cores para garras, indicando tamanho de lentes não tabelado em nenhum documento oficializado.
- OM: 4.2.4 - Não há uma tabela identificando as cores de bacia para montagem.
- OM: 4.2.4 - Formulário não oficializado no Qualiex: Controle de PADS e Membranas;
- OM: 4.2.5 - A unidade apresenta registro de auditoria 5s, mas não apresenta tratativa 5s.
- OM: 7.2.1 - Referências do Mostruário não batem com o das Notas de atendimento.
- OM: 7.6 - Instrumentos sem etiqueta de calibração: 
AR: Termometro, 3 Cronometros não relacionados no controle de calibração
Surfaçagem: 1 Termometro e 1 Densimetro;
- OM: 7.6 - Viscosímetro calibrado, mas não atualizado na planilha.
</t>
  </si>
  <si>
    <t>1. Formalizar no qualiex o formulário de reposição de estoque;
2. Criar novo procedimento para reposição de estoque;
3. Formalizar no qualiex tabela de cores para as garras que indicam o seu uso;
4. Formalizar no qualiex a tabela de identificaçã ode cores de bacias para a montagem;
5. Formalizar no qualiex os formulários para controle de pad e membrana;
6. Elaborar uma apresentação mensal a ser incluida nas reuniões de liderança que seja voltado para a tratativa dos itens apontados no 5s;
7. Atualizar mostruário de lentes com coloração com referência igual a da nota de serviço;
8. Criar uma rotina para verificação de instrumentos utilizados nos setores;
9. Verificar o andamento das tratativas de calibração junto aos fornecedores;</t>
  </si>
  <si>
    <t>8. Recursos para o sistema de gestão da qualidade</t>
  </si>
  <si>
    <t>Estrutura de colaboradores definida:
Coordenador de qualidade
Assistente de qualidade
Inspetor de qualidade</t>
  </si>
  <si>
    <t>Colaboradores para auditoria de produto estabelecidos a partir de agosto/2025</t>
  </si>
  <si>
    <t>9. Análise de fornecedores</t>
  </si>
  <si>
    <t>Fornecedores elencados como críticos através do metodo FMEA, foram relacionados como críticos:
Multi optica
EQA
Essilor internacional
Edam manaus
Segment
GBO
Ultra optics
Satisloh do Brasil Ltda
DAC</t>
  </si>
  <si>
    <t>Acompanhamos os seguintes fornecedores: Multi, Edam, GBO, CMSatisloh, Segment, EOA, Ultra Optics.
Até o momento, não tivemos nenhuma ocorrência</t>
  </si>
  <si>
    <t>10. Adequação das políticas e procedimentos</t>
  </si>
  <si>
    <t>Não houveram modificações na política, todos os documentos da Tecnolens são atualizados frequentemente de acordo com a necessidade sem maiores mudanças no processo.</t>
  </si>
  <si>
    <t xml:space="preserve">Garantir as documentações atualizadas no laboratório Tecnolens de acordo coma as últimas revisões atualizadas no Qualiex;
</t>
  </si>
  <si>
    <t>11. Comunicação as autoridades regulatórias</t>
  </si>
  <si>
    <t>No período não tivemos qualquer ocorrência de impacto que houvesse a necessidade da realização de comunicação juntamente a qualquer orgão federal ou regulatório;</t>
  </si>
  <si>
    <t>Mantém as licenças e registros necessários à sua operação, em atendimento às demandas legais das autoridades constituídas.</t>
  </si>
  <si>
    <t>12. Requisitos regulatórios aplicáveis, novos ou revisados.</t>
  </si>
  <si>
    <t>Licença de responsável técnico óptico;
Licenças de funcionamento na validade de operação;
Licença do corpo de bombeiros de acordo e na validade de operação;
Brigada de incêncio validada e treinada para o período vigente;</t>
  </si>
  <si>
    <t>Documentos regulatórios atualizados e no prazo atendendo aos requisitos legais previstos;</t>
  </si>
  <si>
    <t>Gerar plano de ação:</t>
  </si>
  <si>
    <t>Vide aba: Plano de Ação</t>
  </si>
  <si>
    <t>PLANO DE AÇÃO | PLAN DE ACCIÓN</t>
  </si>
  <si>
    <t>Laboratório, Área ou Projeto:
Nombre de proyecto, area o Lab:</t>
  </si>
  <si>
    <t>Percentual de Conclusão:</t>
  </si>
  <si>
    <t>Nº Ação | Acción</t>
  </si>
  <si>
    <t>Input</t>
  </si>
  <si>
    <t>Problema</t>
  </si>
  <si>
    <t>Lab</t>
  </si>
  <si>
    <t>KPI</t>
  </si>
  <si>
    <t>Descrição | Descripción</t>
  </si>
  <si>
    <t>Classificação | Clasificación</t>
  </si>
  <si>
    <t>Status</t>
  </si>
  <si>
    <t>Prioridad</t>
  </si>
  <si>
    <r>
      <rPr>
        <b/>
        <sz val="10"/>
        <color rgb="FFFFFFFF"/>
        <rFont val="Arial"/>
      </rPr>
      <t xml:space="preserve">Quem|Quién?
</t>
    </r>
    <r>
      <rPr>
        <sz val="10"/>
        <color rgb="FFFFFFFF"/>
        <rFont val="Arial"/>
      </rPr>
      <t>Responsavel</t>
    </r>
  </si>
  <si>
    <r>
      <rPr>
        <b/>
        <sz val="10"/>
        <color rgb="FFFFFFFF"/>
        <rFont val="Arial"/>
      </rPr>
      <t xml:space="preserve">Quando| Cuando
</t>
    </r>
    <r>
      <rPr>
        <sz val="10"/>
        <color rgb="FFFFFFFF"/>
        <rFont val="Arial"/>
      </rPr>
      <t>1° Deadline</t>
    </r>
  </si>
  <si>
    <r>
      <rPr>
        <b/>
        <sz val="10"/>
        <color rgb="FFFFFFFF"/>
        <rFont val="Arial"/>
      </rPr>
      <t xml:space="preserve">Quando| Cuando
</t>
    </r>
    <r>
      <rPr>
        <sz val="10"/>
        <color rgb="FFFFFFFF"/>
        <rFont val="Arial"/>
      </rPr>
      <t>Deadline</t>
    </r>
  </si>
  <si>
    <t>COMENTARIOS</t>
  </si>
  <si>
    <t>Ação Eficaz | Acción Eficaz?</t>
  </si>
  <si>
    <t>Qualidade</t>
  </si>
  <si>
    <t>NC: 4.2.5 – Falhas de preenchimento em itens com frequência de semanal para cima nos formulários referentes ao PCP: 
FOR.080.R15 - Formulário Surfaçagem - PCP Latam Português - TEC-2025
FOR.081.R06 - Formulário HMC - PCP Latam Português - TEC-2025
FOR.149.R00 - Formulário SPIN - Português - TEC - 2025</t>
  </si>
  <si>
    <t>TEC</t>
  </si>
  <si>
    <t>Abrir RNC de tratativa de preenchimento de registros de PCP.</t>
  </si>
  <si>
    <t>Corretiva</t>
  </si>
  <si>
    <t>Completa/Concluído</t>
  </si>
  <si>
    <t>Breno / Vinícius / Jousival</t>
  </si>
  <si>
    <t>RNC-TEC-19/2025 aberta para tratativa</t>
  </si>
  <si>
    <t>Eficaz</t>
  </si>
  <si>
    <t xml:space="preserve">NC: 5.4.1 - Quebras Geral fora da meta no mês de Junho/25. 
RNC-TEC-12 de quebra da montagem se mostrou não eficaz para tratativa de quebras. </t>
  </si>
  <si>
    <t>Quebras</t>
  </si>
  <si>
    <t>Abrir RNC de tratativa das quebras da montagem;</t>
  </si>
  <si>
    <t>RNC-TEC-020/2025 Aberta para a tratativa de quebras da Montagem.</t>
  </si>
  <si>
    <t>NC: 5.4.1 - Objetivo Late Orders: 
RNC-TEC-16 aberto para tratativa de late orders, mas sem apresentar evolução"</t>
  </si>
  <si>
    <t>Abrir RNC referente a tratativa de late orders</t>
  </si>
  <si>
    <t>RNC-TEC-019/2025 Aberta para tratativa de Indicador de Late Orders.</t>
  </si>
  <si>
    <t>NC: 7.4 – Não foi identificado o monitoramento do fornecedor LAB RIO;</t>
  </si>
  <si>
    <t>Abrir RNC e considerar a gestão de mudança para tratativa em sistema</t>
  </si>
  <si>
    <t>RNC-TEC-024/2025 Aberta e tratando.</t>
  </si>
  <si>
    <t>NC: 8.2.4 - Auditoria de Produto não está sendo realizada desde Novembro/2024</t>
  </si>
  <si>
    <t>Abrir RNC referente à demanda de Auditoria de produto</t>
  </si>
  <si>
    <t>RNC-TEC-018/2025 Aberta para tratativa referente à Auditoria de produto</t>
  </si>
  <si>
    <t>OM: 4.2.4 - Formulário de reposição de estoque não oficializado no Qualiex;</t>
  </si>
  <si>
    <t>Formalizar formulário no qualiex.</t>
  </si>
  <si>
    <t>Vinícius / Jousival</t>
  </si>
  <si>
    <t>Aguardando aprovação</t>
  </si>
  <si>
    <t>OM: 4.2.4 - Não há um procedimento de reposição de estoque de insumos;</t>
  </si>
  <si>
    <t>Elaborar procedimento e formalizar formulário no qualiex.</t>
  </si>
  <si>
    <t>Vinícius / Tatiana / Jessika Yuja</t>
  </si>
  <si>
    <t>Pop.1162 Elaborado aguardando validação</t>
  </si>
  <si>
    <t>OM: 4.2.4 - Esquema de cores para garras, indicando tamanho de lentes não tabelado em nenhum documento oficializado.</t>
  </si>
  <si>
    <t>Formalizar tabela no qualiex.</t>
  </si>
  <si>
    <t>Retardo/Atrasada</t>
  </si>
  <si>
    <t>Vinícius / Jessika Yuja</t>
  </si>
  <si>
    <t>31/09/2025</t>
  </si>
  <si>
    <t>Usar como referência o documento do HC para tecnolens elaborado por mailson.</t>
  </si>
  <si>
    <t>OM: 4.2.4 - Não há uma tabela identificando as cores de bacia.</t>
  </si>
  <si>
    <t>Tabela de cores de bacias da montagem já criado, aguardando validação, verificação e aprovação</t>
  </si>
  <si>
    <t>OM: 4.2.4 - Formulário não oficializado no Qualiex: Controle de PADS e Membranas;</t>
  </si>
  <si>
    <t>Vinícius / Jousival / Jessika Yuja</t>
  </si>
  <si>
    <t>Em fluxo de aprovação no Qualiex.
Aguardando Aprovação
Os documentos não estavam aparecendo para o Jousival no qualiex.</t>
  </si>
  <si>
    <t>OM: 4.2.5 - A unidade apresenta registro de auditoria 5s, mas não apresenta tratativa 5s.</t>
  </si>
  <si>
    <t>Elaborar uma apresentação mensal a ser incluida nas reuniões de liderança.</t>
  </si>
  <si>
    <t>Vinícius / Kleiton</t>
  </si>
  <si>
    <t>Alinhada a tratativa de apresentação dos pontos encontrados no 5s mensalmente em reunião de liderança
Iniciada em 29/08</t>
  </si>
  <si>
    <t>OM: 7.2.1 - Referências do Mostruário não batem com o das Notas de atendimento.</t>
  </si>
  <si>
    <t>Atualizar mostruário com as referências presentes nas Notas de atendimento;</t>
  </si>
  <si>
    <t>Ramon</t>
  </si>
  <si>
    <t>OM: 7.6 - Instrumentos sem etiqueta de calibração: 
AR: 1 Termometro,
Surfaçagem: 1 Termometro e 1 Densimetro;</t>
  </si>
  <si>
    <t>Criar uma rotina para verificação de instrumentos utilizados nos setores;</t>
  </si>
  <si>
    <t>Breno / Vinícius</t>
  </si>
  <si>
    <t>Rotina estabelecida</t>
  </si>
  <si>
    <t>OM: 7.6 - Viscosímetro calibrado, mas não atualizado na planilha.</t>
  </si>
  <si>
    <t>Verificar o andamento das tratativas de calibração junto aos fornecedores;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</si>
</sst>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4"/>
      <color theme="1"/>
      <name val="Arial"/>
    </font>
    <font>
      <sz val="10"/>
      <name val="Arial"/>
    </font>
    <font>
      <sz val="10"/>
      <color rgb="FF000000"/>
      <name val="Arial"/>
    </font>
    <font>
      <b/>
      <sz val="12"/>
      <color rgb="FFFFFFFF"/>
      <name val="Arial"/>
    </font>
    <font>
      <sz val="12"/>
      <color rgb="FF000000"/>
      <name val="Arial"/>
    </font>
    <font>
      <sz val="10"/>
      <color rgb="FF000000"/>
      <name val="Arial"/>
      <scheme val="minor"/>
    </font>
    <font>
      <b/>
      <sz val="10"/>
      <color rgb="FFFFFFFF"/>
      <name val="Arial"/>
    </font>
    <font>
      <b/>
      <sz val="10"/>
      <color rgb="FFF5B1B1"/>
      <name val="Arial"/>
    </font>
    <font>
      <b/>
      <sz val="14"/>
      <color rgb="FFFFFFFF"/>
      <name val="Arial"/>
    </font>
    <font>
      <sz val="10"/>
      <color rgb="FFFFFFFF"/>
      <name val="Arial"/>
    </font>
    <font>
      <b/>
      <sz val="8"/>
      <color rgb="FFFFFFFF"/>
      <name val="Arial"/>
    </font>
    <font>
      <b/>
      <sz val="8"/>
      <color theme="1"/>
      <name val="Arial"/>
    </font>
    <font>
      <b/>
      <sz val="8"/>
      <color rgb="FFFF0000"/>
      <name val="Arial"/>
    </font>
    <font>
      <b/>
      <sz val="12"/>
      <color theme="1"/>
      <name val="Arial"/>
    </font>
    <font>
      <sz val="12"/>
      <color theme="1"/>
      <name val="Arial"/>
    </font>
    <font>
      <sz val="10"/>
      <color theme="1"/>
      <name val="Arial"/>
      <family val="2"/>
    </font>
    <font>
      <sz val="10"/>
      <name val="Arial"/>
      <scheme val="minor"/>
    </font>
    <font>
      <sz val="10"/>
      <color rgb="FF1D1B10"/>
      <name val="Arial"/>
      <family val="2"/>
    </font>
    <font>
      <u/>
      <sz val="10"/>
      <color theme="10"/>
      <name val="Arial"/>
      <scheme val="minor"/>
    </font>
    <font>
      <u/>
      <sz val="10"/>
      <color theme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3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9" fillId="3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1" fontId="1" fillId="2" borderId="19" xfId="0" applyNumberFormat="1" applyFont="1" applyFill="1" applyBorder="1" applyAlignment="1">
      <alignment horizontal="center" vertical="center" wrapText="1"/>
    </xf>
    <xf numFmtId="1" fontId="1" fillId="2" borderId="23" xfId="0" applyNumberFormat="1" applyFont="1" applyFill="1" applyBorder="1" applyAlignment="1">
      <alignment horizontal="center" vertical="center" wrapText="1"/>
    </xf>
    <xf numFmtId="14" fontId="1" fillId="2" borderId="1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1" fontId="1" fillId="2" borderId="25" xfId="0" applyNumberFormat="1" applyFont="1" applyFill="1" applyBorder="1" applyAlignment="1">
      <alignment horizontal="center" vertical="center" wrapText="1"/>
    </xf>
    <xf numFmtId="14" fontId="1" fillId="2" borderId="25" xfId="0" applyNumberFormat="1" applyFont="1" applyFill="1" applyBorder="1" applyAlignment="1">
      <alignment horizontal="center" vertical="center" wrapText="1"/>
    </xf>
    <xf numFmtId="10" fontId="1" fillId="2" borderId="4" xfId="0" applyNumberFormat="1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14" fontId="8" fillId="0" borderId="25" xfId="0" applyNumberFormat="1" applyFont="1" applyBorder="1" applyAlignment="1">
      <alignment horizontal="left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14" fillId="5" borderId="21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10" fontId="1" fillId="2" borderId="21" xfId="0" applyNumberFormat="1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center"/>
    </xf>
    <xf numFmtId="49" fontId="20" fillId="2" borderId="4" xfId="0" applyNumberFormat="1" applyFont="1" applyFill="1" applyBorder="1" applyAlignment="1">
      <alignment horizontal="left" vertical="center" wrapText="1"/>
    </xf>
    <xf numFmtId="0" fontId="18" fillId="0" borderId="9" xfId="0" quotePrefix="1" applyFont="1" applyBorder="1" applyAlignment="1">
      <alignment horizontal="left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1" fontId="18" fillId="2" borderId="4" xfId="0" applyNumberFormat="1" applyFont="1" applyFill="1" applyBorder="1" applyAlignment="1">
      <alignment horizontal="center" vertical="center" wrapText="1"/>
    </xf>
    <xf numFmtId="1" fontId="18" fillId="2" borderId="23" xfId="0" applyNumberFormat="1" applyFont="1" applyFill="1" applyBorder="1" applyAlignment="1">
      <alignment horizontal="center" vertical="center" wrapText="1"/>
    </xf>
    <xf numFmtId="14" fontId="18" fillId="2" borderId="4" xfId="0" applyNumberFormat="1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18" fillId="2" borderId="24" xfId="0" applyFont="1" applyFill="1" applyBorder="1" applyAlignment="1">
      <alignment horizontal="left" vertical="center" wrapText="1"/>
    </xf>
    <xf numFmtId="0" fontId="18" fillId="2" borderId="13" xfId="0" applyFont="1" applyFill="1" applyBorder="1" applyAlignment="1">
      <alignment horizontal="left" vertical="center" wrapText="1"/>
    </xf>
    <xf numFmtId="0" fontId="18" fillId="2" borderId="13" xfId="0" applyFont="1" applyFill="1" applyBorder="1" applyAlignment="1">
      <alignment horizontal="left" vertical="top" wrapText="1"/>
    </xf>
    <xf numFmtId="0" fontId="0" fillId="0" borderId="21" xfId="0" applyBorder="1"/>
    <xf numFmtId="0" fontId="5" fillId="0" borderId="21" xfId="0" applyFont="1" applyBorder="1"/>
    <xf numFmtId="0" fontId="1" fillId="0" borderId="21" xfId="0" applyFont="1" applyBorder="1"/>
    <xf numFmtId="0" fontId="10" fillId="2" borderId="1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22" fillId="2" borderId="1" xfId="1" applyFont="1" applyFill="1" applyBorder="1" applyAlignment="1">
      <alignment horizontal="left" vertical="center" wrapText="1"/>
    </xf>
    <xf numFmtId="0" fontId="21" fillId="2" borderId="2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9" fontId="16" fillId="2" borderId="12" xfId="0" applyNumberFormat="1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left" vertical="center" wrapText="1"/>
    </xf>
    <xf numFmtId="49" fontId="5" fillId="0" borderId="15" xfId="0" applyNumberFormat="1" applyFont="1" applyBorder="1" applyAlignment="1">
      <alignment horizontal="left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4" fillId="0" borderId="10" xfId="0" applyFont="1" applyBorder="1" applyAlignment="1"/>
    <xf numFmtId="0" fontId="4" fillId="0" borderId="2" xfId="0" applyFont="1" applyBorder="1" applyAlignment="1"/>
    <xf numFmtId="0" fontId="19" fillId="0" borderId="2" xfId="0" applyFont="1" applyBorder="1" applyAlignment="1"/>
    <xf numFmtId="0" fontId="4" fillId="0" borderId="13" xfId="0" applyFont="1" applyBorder="1" applyAlignment="1"/>
    <xf numFmtId="0" fontId="4" fillId="0" borderId="14" xfId="0" applyFont="1" applyBorder="1" applyAlignment="1"/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9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0" fillId="0" borderId="0" xfId="0" applyAlignment="1"/>
    <xf numFmtId="0" fontId="4" fillId="0" borderId="21" xfId="0" applyFont="1" applyBorder="1" applyAlignment="1"/>
  </cellXfs>
  <cellStyles count="2">
    <cellStyle name="Hyperlink" xfId="1" builtinId="8"/>
    <cellStyle name="Normal" xfId="0" builtinId="0"/>
  </cellStyles>
  <dxfs count="5">
    <dxf>
      <font>
        <color rgb="FF000000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028825" cy="3905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" cy="161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luxotticagroup.sharepoint.com/:x:/r/sites/QBR/Documentos%20Compartilhados/Tecnolens/Registros%20Anos%20Anteriores/2024/Revis%C3%A3o%20Gerencial/FOR.135.R3%20-%20Relat%C3%B3rio%20de%20Revis%C3%A3o%20Gerencial.xlsx?d=w07db2eb40f6c4573a8fc84ce181f0722&amp;csf=1&amp;web=1&amp;e=EjzCSL" TargetMode="External"/><Relationship Id="rId1" Type="http://schemas.openxmlformats.org/officeDocument/2006/relationships/hyperlink" Target="https://luxotticagroup.sharepoint.com/:x:/r/sites/QBR/_layouts/15/Doc.aspx?sourcedoc=%7B65336AE5-68D1-43BA-8F4C-8EE07E864BB9%7D&amp;file=FOR.135.R3%20Relat%C3%B3rio%20de%20Revis%C3%A3o%20Gerencial-TEC-001_2023.xlsx&amp;action=default&amp;mobileredirect=tru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 summaryRight="0"/>
  </sheetPr>
  <dimension ref="A1:F27"/>
  <sheetViews>
    <sheetView showGridLines="0" topLeftCell="A18" workbookViewId="0">
      <selection activeCell="C7" sqref="C7:E7"/>
    </sheetView>
  </sheetViews>
  <sheetFormatPr defaultColWidth="12.5703125" defaultRowHeight="15" customHeight="1"/>
  <cols>
    <col min="1" max="1" width="1" customWidth="1"/>
    <col min="2" max="2" width="26.5703125" customWidth="1"/>
    <col min="3" max="3" width="72" customWidth="1"/>
    <col min="4" max="4" width="34.140625" customWidth="1"/>
    <col min="5" max="5" width="43.140625" customWidth="1"/>
    <col min="6" max="6" width="2.28515625" bestFit="1" customWidth="1"/>
  </cols>
  <sheetData>
    <row r="1" spans="1:5" ht="4.5" customHeight="1">
      <c r="A1" s="1"/>
      <c r="B1" s="1"/>
      <c r="C1" s="1"/>
      <c r="D1" s="1"/>
      <c r="E1" s="1"/>
    </row>
    <row r="2" spans="1:5" ht="68.25" customHeight="1">
      <c r="A2" s="1"/>
      <c r="B2" s="2"/>
      <c r="C2" s="78" t="s">
        <v>0</v>
      </c>
      <c r="D2" s="91"/>
      <c r="E2" s="92"/>
    </row>
    <row r="3" spans="1:5" ht="8.25" customHeight="1">
      <c r="A3" s="1"/>
      <c r="B3" s="1"/>
      <c r="C3" s="1"/>
      <c r="D3" s="1"/>
      <c r="E3" s="1"/>
    </row>
    <row r="4" spans="1:5" ht="25.5" customHeight="1">
      <c r="A4" s="3"/>
      <c r="B4" s="4" t="s">
        <v>1</v>
      </c>
      <c r="C4" s="55" t="s">
        <v>2</v>
      </c>
      <c r="D4" s="5" t="s">
        <v>3</v>
      </c>
      <c r="E4" s="6" t="s">
        <v>4</v>
      </c>
    </row>
    <row r="5" spans="1:5" ht="25.5" customHeight="1">
      <c r="A5" s="3"/>
      <c r="B5" s="7" t="s">
        <v>5</v>
      </c>
      <c r="C5" s="8" t="s">
        <v>6</v>
      </c>
      <c r="D5" s="41" t="s">
        <v>7</v>
      </c>
      <c r="E5" s="42">
        <v>45870</v>
      </c>
    </row>
    <row r="6" spans="1:5" ht="25.5" customHeight="1">
      <c r="A6" s="3"/>
      <c r="B6" s="41" t="s">
        <v>8</v>
      </c>
      <c r="C6" s="9" t="s">
        <v>9</v>
      </c>
      <c r="D6" s="41" t="s">
        <v>10</v>
      </c>
      <c r="E6" s="10" t="s">
        <v>11</v>
      </c>
    </row>
    <row r="7" spans="1:5" ht="105" customHeight="1">
      <c r="A7" s="3"/>
      <c r="B7" s="11" t="s">
        <v>12</v>
      </c>
      <c r="C7" s="79" t="s">
        <v>13</v>
      </c>
      <c r="D7" s="91"/>
      <c r="E7" s="92"/>
    </row>
    <row r="8" spans="1:5" ht="5.25" customHeight="1">
      <c r="A8" s="3"/>
      <c r="B8" s="12"/>
      <c r="C8" s="12"/>
      <c r="D8" s="13"/>
      <c r="E8" s="13"/>
    </row>
    <row r="9" spans="1:5" ht="27.2" customHeight="1">
      <c r="A9" s="3"/>
      <c r="B9" s="80" t="s">
        <v>14</v>
      </c>
      <c r="C9" s="92"/>
      <c r="D9" s="14" t="s">
        <v>15</v>
      </c>
      <c r="E9" s="43"/>
    </row>
    <row r="10" spans="1:5" ht="168" customHeight="1">
      <c r="A10" s="3"/>
      <c r="B10" s="81" t="s">
        <v>16</v>
      </c>
      <c r="C10" s="92"/>
      <c r="D10" s="82" t="s">
        <v>17</v>
      </c>
      <c r="E10" s="92"/>
    </row>
    <row r="11" spans="1:5" ht="8.25" customHeight="1">
      <c r="A11" s="3"/>
      <c r="B11" s="3"/>
      <c r="C11" s="3"/>
      <c r="D11" s="3"/>
      <c r="E11" s="3"/>
    </row>
    <row r="12" spans="1:5" ht="27.2" customHeight="1">
      <c r="A12" s="3"/>
      <c r="B12" s="44" t="s">
        <v>18</v>
      </c>
      <c r="C12" s="15" t="s">
        <v>19</v>
      </c>
      <c r="D12" s="74" t="s">
        <v>20</v>
      </c>
      <c r="E12" s="92"/>
    </row>
    <row r="13" spans="1:5" ht="39" customHeight="1">
      <c r="A13" s="3"/>
      <c r="B13" s="10" t="s">
        <v>21</v>
      </c>
      <c r="C13" s="40" t="s">
        <v>22</v>
      </c>
      <c r="D13" s="75" t="s">
        <v>23</v>
      </c>
      <c r="E13" s="76"/>
    </row>
    <row r="14" spans="1:5" ht="210.75" customHeight="1">
      <c r="A14" s="3"/>
      <c r="B14" s="16" t="s">
        <v>24</v>
      </c>
      <c r="C14" s="40" t="s">
        <v>25</v>
      </c>
      <c r="D14" s="73" t="s">
        <v>26</v>
      </c>
      <c r="E14" s="92"/>
    </row>
    <row r="15" spans="1:5" ht="120.75" customHeight="1">
      <c r="A15" s="3"/>
      <c r="B15" s="16" t="s">
        <v>27</v>
      </c>
      <c r="C15" s="17" t="s">
        <v>28</v>
      </c>
      <c r="D15" s="72" t="s">
        <v>29</v>
      </c>
      <c r="E15" s="92"/>
    </row>
    <row r="16" spans="1:5" ht="73.5" customHeight="1">
      <c r="A16" s="3"/>
      <c r="B16" s="16" t="s">
        <v>30</v>
      </c>
      <c r="C16" s="17" t="s">
        <v>31</v>
      </c>
      <c r="D16" s="72" t="s">
        <v>32</v>
      </c>
      <c r="E16" s="92"/>
    </row>
    <row r="17" spans="1:6" ht="271.7" customHeight="1">
      <c r="A17" s="3"/>
      <c r="B17" s="16" t="s">
        <v>33</v>
      </c>
      <c r="C17" s="54" t="s">
        <v>34</v>
      </c>
      <c r="D17" s="73" t="s">
        <v>35</v>
      </c>
      <c r="E17" s="92"/>
    </row>
    <row r="18" spans="1:6" ht="149.25" customHeight="1">
      <c r="A18" s="3"/>
      <c r="B18" s="16" t="s">
        <v>36</v>
      </c>
      <c r="C18" s="40" t="s">
        <v>37</v>
      </c>
      <c r="D18" s="73" t="s">
        <v>38</v>
      </c>
      <c r="E18" s="92"/>
    </row>
    <row r="19" spans="1:6" ht="250.35" customHeight="1">
      <c r="A19" s="3"/>
      <c r="B19" s="16" t="s">
        <v>39</v>
      </c>
      <c r="C19" s="56" t="s">
        <v>40</v>
      </c>
      <c r="D19" s="73" t="s">
        <v>41</v>
      </c>
      <c r="E19" s="92"/>
    </row>
    <row r="20" spans="1:6" ht="78.75" customHeight="1">
      <c r="A20" s="3"/>
      <c r="B20" s="16" t="s">
        <v>42</v>
      </c>
      <c r="C20" s="40" t="s">
        <v>43</v>
      </c>
      <c r="D20" s="72" t="s">
        <v>44</v>
      </c>
      <c r="E20" s="92"/>
    </row>
    <row r="21" spans="1:6" ht="141.75" customHeight="1">
      <c r="A21" s="3"/>
      <c r="B21" s="16" t="s">
        <v>45</v>
      </c>
      <c r="C21" s="17" t="s">
        <v>46</v>
      </c>
      <c r="D21" s="72" t="s">
        <v>47</v>
      </c>
      <c r="E21" s="92"/>
    </row>
    <row r="22" spans="1:6" ht="113.25" customHeight="1">
      <c r="A22" s="3"/>
      <c r="B22" s="16" t="s">
        <v>48</v>
      </c>
      <c r="C22" s="17" t="s">
        <v>49</v>
      </c>
      <c r="D22" s="72" t="s">
        <v>50</v>
      </c>
      <c r="E22" s="92"/>
    </row>
    <row r="23" spans="1:6" ht="39" customHeight="1">
      <c r="A23" s="3"/>
      <c r="B23" s="10" t="s">
        <v>51</v>
      </c>
      <c r="C23" s="17" t="s">
        <v>52</v>
      </c>
      <c r="D23" s="77" t="s">
        <v>53</v>
      </c>
      <c r="E23" s="93"/>
    </row>
    <row r="24" spans="1:6" ht="62.25" customHeight="1">
      <c r="A24" s="3"/>
      <c r="B24" s="10" t="s">
        <v>54</v>
      </c>
      <c r="C24" s="40" t="s">
        <v>55</v>
      </c>
      <c r="D24" s="72" t="s">
        <v>56</v>
      </c>
      <c r="E24" s="92"/>
    </row>
    <row r="25" spans="1:6" ht="8.25" customHeight="1">
      <c r="A25" s="3"/>
      <c r="B25" s="3"/>
      <c r="C25" s="68"/>
      <c r="D25" s="68"/>
      <c r="E25" s="68"/>
    </row>
    <row r="26" spans="1:6" ht="27.2" customHeight="1">
      <c r="A26" s="3"/>
      <c r="B26" s="18" t="s">
        <v>57</v>
      </c>
      <c r="C26" s="70" t="s">
        <v>58</v>
      </c>
      <c r="D26" s="19"/>
      <c r="E26" s="71"/>
      <c r="F26" s="67"/>
    </row>
    <row r="27" spans="1:6" ht="6" customHeight="1">
      <c r="A27" s="1"/>
      <c r="B27" s="1"/>
      <c r="C27" s="69"/>
      <c r="D27" s="69"/>
      <c r="E27" s="69"/>
    </row>
  </sheetData>
  <mergeCells count="18">
    <mergeCell ref="C2:E2"/>
    <mergeCell ref="C7:E7"/>
    <mergeCell ref="B9:C9"/>
    <mergeCell ref="B10:C10"/>
    <mergeCell ref="D10:E10"/>
    <mergeCell ref="D12:E12"/>
    <mergeCell ref="D13:E13"/>
    <mergeCell ref="D21:E21"/>
    <mergeCell ref="D22:E22"/>
    <mergeCell ref="D23:E23"/>
    <mergeCell ref="D24:E24"/>
    <mergeCell ref="D14:E14"/>
    <mergeCell ref="D15:E15"/>
    <mergeCell ref="D16:E16"/>
    <mergeCell ref="D17:E17"/>
    <mergeCell ref="D18:E18"/>
    <mergeCell ref="D19:E19"/>
    <mergeCell ref="D20:E20"/>
  </mergeCells>
  <hyperlinks>
    <hyperlink ref="D13" r:id="rId1" display="https://luxotticagroup.sharepoint.com/:x:/r/sites/QBR/_layouts/15/Doc.aspx?sourcedoc=%7B65336AE5-68D1-43BA-8F4C-8EE07E864BB9%7D&amp;file=FOR.135.R3%20Relat%C3%B3rio%20de%20Revis%C3%A3o%20Gerencial-TEC-001_2023.xlsx&amp;action=default&amp;mobileredirect=true" xr:uid="{3900DCC7-904F-4C68-9ADD-A387DBDC869F}"/>
    <hyperlink ref="D13:E13" r:id="rId2" display="RG-TEC-01/2025" xr:uid="{43196FBE-3EC7-4FEB-91BF-5BF2240E6159}"/>
  </hyperlinks>
  <pageMargins left="0.511811024" right="0.511811024" top="0.78740157499999996" bottom="0.78740157499999996" header="0" footer="0"/>
  <pageSetup paperSize="9" scale="40" orientation="portrait"/>
  <headerFooter>
    <oddHeader>&amp;L         &amp;CFormulário Relatório de Revisão Gerencial&amp;RCódigo: FOR.135  -  Revisão: 1 Elaboração: 11/04/2022 - Aprovação: 07/04/2022 Página:</oddHeader>
    <oddFooter>&amp;LElaborado por: Nathália Brandao Setor: Processos&amp;CVerificado por: Ana Guimarães Setor: Ger. Processos&amp;RAprovado por: José Hamilton Setor: Ger. Qualidade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 filterMode="1">
    <outlinePr summaryRight="0"/>
  </sheetPr>
  <dimension ref="A1:O108"/>
  <sheetViews>
    <sheetView showGridLines="0" tabSelected="1" workbookViewId="0">
      <pane ySplit="8" topLeftCell="B14" activePane="bottomLeft" state="frozen"/>
      <selection pane="bottomLeft" activeCell="I16" sqref="I16"/>
    </sheetView>
  </sheetViews>
  <sheetFormatPr defaultColWidth="12.5703125" defaultRowHeight="15" customHeight="1"/>
  <cols>
    <col min="1" max="1" width="0.7109375" customWidth="1"/>
    <col min="2" max="2" width="11.28515625" customWidth="1"/>
    <col min="3" max="3" width="16.140625" customWidth="1"/>
    <col min="4" max="4" width="40.28515625" customWidth="1"/>
    <col min="5" max="6" width="12.42578125" customWidth="1"/>
    <col min="7" max="7" width="51.85546875" customWidth="1"/>
    <col min="8" max="8" width="15.85546875" customWidth="1"/>
    <col min="9" max="9" width="20.7109375" customWidth="1"/>
    <col min="10" max="10" width="12" customWidth="1"/>
    <col min="11" max="11" width="16" customWidth="1"/>
    <col min="12" max="13" width="15" customWidth="1"/>
    <col min="14" max="14" width="25.42578125" customWidth="1"/>
    <col min="15" max="15" width="18.28515625" customWidth="1"/>
  </cols>
  <sheetData>
    <row r="1" spans="1:15" ht="5.25" customHeight="1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20"/>
      <c r="M1" s="20"/>
      <c r="N1" s="47"/>
      <c r="O1" s="21"/>
    </row>
    <row r="2" spans="1:15" ht="36" customHeight="1">
      <c r="A2" s="45"/>
      <c r="B2" s="86"/>
      <c r="C2" s="94"/>
      <c r="D2" s="87" t="s">
        <v>59</v>
      </c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</row>
    <row r="3" spans="1:15" ht="15" customHeight="1">
      <c r="A3" s="45"/>
      <c r="B3" s="88" t="s">
        <v>60</v>
      </c>
      <c r="C3" s="94"/>
      <c r="D3" s="89" t="str">
        <f>'Relatório de Revisão Gerencial'!C4</f>
        <v>Tecnolens Laboratório Óptico Ltda</v>
      </c>
      <c r="E3" s="96"/>
      <c r="F3" s="12"/>
      <c r="G3" s="48" t="str">
        <f>"AÇÕES PLANEJADAS (ACCIONES PLANEADAS): "&amp;COUNTIF(I9:I108,"Planeada/Planejada")</f>
        <v>AÇÕES PLANEJADAS (ACCIONES PLANEADAS): 0</v>
      </c>
      <c r="H3" s="22"/>
      <c r="I3" s="90" t="s">
        <v>61</v>
      </c>
      <c r="J3" s="96"/>
      <c r="K3" s="45"/>
      <c r="L3" s="23"/>
      <c r="M3" s="23"/>
      <c r="N3" s="47"/>
      <c r="O3" s="47"/>
    </row>
    <row r="4" spans="1:15" ht="15" customHeight="1">
      <c r="A4" s="45"/>
      <c r="B4" s="97"/>
      <c r="C4" s="98"/>
      <c r="D4" s="99"/>
      <c r="E4" s="100"/>
      <c r="F4" s="1"/>
      <c r="G4" s="49" t="str">
        <f>"AÇÕES COMPLETAS (ACCIONES COMPLETAS): "&amp;COUNTIFS(I9:I108,"Completa/Concluído")</f>
        <v>AÇÕES COMPLETAS (ACCIONES COMPLETAS): 13</v>
      </c>
      <c r="H4" s="45"/>
      <c r="I4" s="99"/>
      <c r="J4" s="100"/>
      <c r="K4" s="45"/>
      <c r="L4" s="23"/>
      <c r="M4" s="23"/>
      <c r="N4" s="47"/>
      <c r="O4" s="21"/>
    </row>
    <row r="5" spans="1:15" ht="15" customHeight="1">
      <c r="A5" s="45"/>
      <c r="B5" s="83" t="s">
        <v>5</v>
      </c>
      <c r="C5" s="101"/>
      <c r="D5" s="84" t="str">
        <f>'Relatório de Revisão Gerencial'!C5</f>
        <v>RG-TEC-001/2025</v>
      </c>
      <c r="E5" s="94"/>
      <c r="F5" s="12"/>
      <c r="G5" s="50" t="str">
        <f>"AÇÕES EM ANDAMENTO (ACCIONES EN CURSO): "&amp;COUNTIFS(I9:I108,"En Curso/Andamento")</f>
        <v>AÇÕES EM ANDAMENTO (ACCIONES EN CURSO): 0</v>
      </c>
      <c r="H5" s="51"/>
      <c r="I5" s="85">
        <f>IFERROR(COUNTIF(I9:I898,"Completa/Concluído")/(COUNTIF(I9:I898,"Planeada/Planejada")+(COUNTIF(I9:I898,"En Curso/Andamento")+(COUNTIF(I9:I898,"Completa/Concluído")+(COUNTIF(I9:I898,"Retardo/Atrasada"))))),"-")</f>
        <v>0.9285714285714286</v>
      </c>
      <c r="J5" s="94"/>
      <c r="K5" s="23"/>
      <c r="L5" s="23"/>
      <c r="M5" s="23"/>
      <c r="N5" s="47"/>
      <c r="O5" s="21"/>
    </row>
    <row r="6" spans="1:15" ht="15" customHeight="1">
      <c r="A6" s="45"/>
      <c r="B6" s="102"/>
      <c r="C6" s="103"/>
      <c r="D6" s="99"/>
      <c r="E6" s="100"/>
      <c r="F6" s="45"/>
      <c r="G6" s="52" t="str">
        <f>"AÇÕES PRIORIDADE EM ANDAMENTO (ACCIONES PRIORIDAD EN CURSO): "&amp;COUNTIFS(I9:I108,"En Curso/Andamento",J9:J108,"Y")</f>
        <v>AÇÕES PRIORIDADE EM ANDAMENTO (ACCIONES PRIORIDAD EN CURSO): 0</v>
      </c>
      <c r="H6" s="45"/>
      <c r="I6" s="99"/>
      <c r="J6" s="100"/>
      <c r="K6" s="23"/>
      <c r="L6" s="23"/>
      <c r="M6" s="23"/>
      <c r="N6" s="45"/>
      <c r="O6" s="21"/>
    </row>
    <row r="7" spans="1:15" ht="10.7" customHeight="1">
      <c r="A7" s="53"/>
      <c r="B7" s="12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5"/>
      <c r="O7" s="24"/>
    </row>
    <row r="8" spans="1:15" ht="35.25" customHeight="1">
      <c r="A8" s="45"/>
      <c r="B8" s="26" t="s">
        <v>62</v>
      </c>
      <c r="C8" s="26" t="s">
        <v>63</v>
      </c>
      <c r="D8" s="26" t="s">
        <v>64</v>
      </c>
      <c r="E8" s="26" t="s">
        <v>65</v>
      </c>
      <c r="F8" s="26" t="s">
        <v>66</v>
      </c>
      <c r="G8" s="26" t="s">
        <v>67</v>
      </c>
      <c r="H8" s="26" t="s">
        <v>68</v>
      </c>
      <c r="I8" s="26" t="s">
        <v>69</v>
      </c>
      <c r="J8" s="26" t="s">
        <v>70</v>
      </c>
      <c r="K8" s="26" t="s">
        <v>71</v>
      </c>
      <c r="L8" s="26" t="s">
        <v>72</v>
      </c>
      <c r="M8" s="26" t="s">
        <v>73</v>
      </c>
      <c r="N8" s="26" t="s">
        <v>74</v>
      </c>
      <c r="O8" s="26" t="s">
        <v>75</v>
      </c>
    </row>
    <row r="9" spans="1:15" ht="104.25" hidden="1">
      <c r="A9" s="45"/>
      <c r="B9" s="27">
        <v>1</v>
      </c>
      <c r="C9" s="28" t="s">
        <v>76</v>
      </c>
      <c r="D9" s="63" t="s">
        <v>77</v>
      </c>
      <c r="E9" s="57" t="s">
        <v>78</v>
      </c>
      <c r="F9" s="57"/>
      <c r="G9" s="57" t="s">
        <v>79</v>
      </c>
      <c r="H9" s="29" t="s">
        <v>80</v>
      </c>
      <c r="I9" s="30" t="s">
        <v>81</v>
      </c>
      <c r="J9" s="29"/>
      <c r="K9" s="60" t="s">
        <v>82</v>
      </c>
      <c r="L9" s="34">
        <v>45880</v>
      </c>
      <c r="M9" s="31"/>
      <c r="N9" s="30" t="s">
        <v>83</v>
      </c>
      <c r="O9" s="27" t="s">
        <v>84</v>
      </c>
    </row>
    <row r="10" spans="1:15" ht="68.25" hidden="1" customHeight="1">
      <c r="A10" s="45"/>
      <c r="B10" s="27">
        <v>2</v>
      </c>
      <c r="C10" s="28" t="s">
        <v>76</v>
      </c>
      <c r="D10" s="64" t="s">
        <v>85</v>
      </c>
      <c r="E10" s="57" t="s">
        <v>78</v>
      </c>
      <c r="F10" s="57" t="s">
        <v>86</v>
      </c>
      <c r="G10" s="57" t="s">
        <v>87</v>
      </c>
      <c r="H10" s="29" t="s">
        <v>80</v>
      </c>
      <c r="I10" s="30" t="s">
        <v>81</v>
      </c>
      <c r="J10" s="29"/>
      <c r="K10" s="33" t="s">
        <v>82</v>
      </c>
      <c r="L10" s="34">
        <v>45899</v>
      </c>
      <c r="M10" s="34"/>
      <c r="N10" s="33" t="s">
        <v>88</v>
      </c>
      <c r="O10" s="27" t="s">
        <v>84</v>
      </c>
    </row>
    <row r="11" spans="1:15" ht="51.75" hidden="1" customHeight="1">
      <c r="A11" s="45"/>
      <c r="B11" s="27">
        <v>3</v>
      </c>
      <c r="C11" s="28" t="s">
        <v>76</v>
      </c>
      <c r="D11" s="64" t="s">
        <v>89</v>
      </c>
      <c r="E11" s="57" t="s">
        <v>78</v>
      </c>
      <c r="F11" s="57" t="s">
        <v>86</v>
      </c>
      <c r="G11" s="57" t="s">
        <v>90</v>
      </c>
      <c r="H11" s="29" t="s">
        <v>80</v>
      </c>
      <c r="I11" s="30" t="s">
        <v>81</v>
      </c>
      <c r="J11" s="29"/>
      <c r="K11" s="33" t="s">
        <v>82</v>
      </c>
      <c r="L11" s="34">
        <v>45905</v>
      </c>
      <c r="M11" s="34"/>
      <c r="N11" s="33" t="s">
        <v>91</v>
      </c>
      <c r="O11" s="27" t="s">
        <v>84</v>
      </c>
    </row>
    <row r="12" spans="1:15" ht="23.25" hidden="1">
      <c r="A12" s="45"/>
      <c r="B12" s="27">
        <v>4</v>
      </c>
      <c r="C12" s="28" t="s">
        <v>76</v>
      </c>
      <c r="D12" s="65" t="s">
        <v>92</v>
      </c>
      <c r="E12" s="57" t="s">
        <v>78</v>
      </c>
      <c r="F12" s="36"/>
      <c r="G12" s="58" t="s">
        <v>93</v>
      </c>
      <c r="H12" s="29" t="s">
        <v>80</v>
      </c>
      <c r="I12" s="30" t="s">
        <v>81</v>
      </c>
      <c r="J12" s="29"/>
      <c r="K12" s="33" t="s">
        <v>82</v>
      </c>
      <c r="L12" s="34">
        <v>45899</v>
      </c>
      <c r="M12" s="34"/>
      <c r="N12" s="33" t="s">
        <v>94</v>
      </c>
      <c r="O12" s="27" t="s">
        <v>84</v>
      </c>
    </row>
    <row r="13" spans="1:15" ht="35.25" hidden="1">
      <c r="A13" s="45"/>
      <c r="B13" s="27">
        <v>5</v>
      </c>
      <c r="C13" s="28" t="s">
        <v>76</v>
      </c>
      <c r="D13" s="66" t="s">
        <v>95</v>
      </c>
      <c r="E13" s="57" t="s">
        <v>78</v>
      </c>
      <c r="F13" s="36"/>
      <c r="G13" s="58" t="s">
        <v>96</v>
      </c>
      <c r="H13" s="29" t="s">
        <v>80</v>
      </c>
      <c r="I13" s="30" t="s">
        <v>81</v>
      </c>
      <c r="J13" s="29"/>
      <c r="K13" s="33" t="s">
        <v>82</v>
      </c>
      <c r="L13" s="34">
        <v>45884</v>
      </c>
      <c r="M13" s="34"/>
      <c r="N13" s="33" t="s">
        <v>97</v>
      </c>
      <c r="O13" s="27" t="s">
        <v>84</v>
      </c>
    </row>
    <row r="14" spans="1:15" ht="23.25">
      <c r="A14" s="45"/>
      <c r="B14" s="27">
        <v>6</v>
      </c>
      <c r="C14" s="28" t="s">
        <v>76</v>
      </c>
      <c r="D14" s="66" t="s">
        <v>98</v>
      </c>
      <c r="E14" s="57" t="s">
        <v>78</v>
      </c>
      <c r="F14" s="35"/>
      <c r="G14" s="59" t="s">
        <v>99</v>
      </c>
      <c r="H14" s="29" t="s">
        <v>80</v>
      </c>
      <c r="I14" s="30" t="s">
        <v>81</v>
      </c>
      <c r="J14" s="29"/>
      <c r="K14" s="61" t="s">
        <v>100</v>
      </c>
      <c r="L14" s="31">
        <v>45880</v>
      </c>
      <c r="M14" s="31"/>
      <c r="N14" s="33" t="s">
        <v>101</v>
      </c>
      <c r="O14" s="27" t="s">
        <v>84</v>
      </c>
    </row>
    <row r="15" spans="1:15" ht="23.25">
      <c r="A15" s="45"/>
      <c r="B15" s="27">
        <v>7</v>
      </c>
      <c r="C15" s="28" t="s">
        <v>76</v>
      </c>
      <c r="D15" s="66" t="s">
        <v>102</v>
      </c>
      <c r="E15" s="57" t="s">
        <v>78</v>
      </c>
      <c r="F15" s="35"/>
      <c r="G15" s="59" t="s">
        <v>103</v>
      </c>
      <c r="H15" s="29" t="s">
        <v>80</v>
      </c>
      <c r="I15" s="30" t="s">
        <v>81</v>
      </c>
      <c r="J15" s="29"/>
      <c r="K15" s="61" t="s">
        <v>104</v>
      </c>
      <c r="L15" s="31">
        <v>45891</v>
      </c>
      <c r="M15" s="31"/>
      <c r="N15" s="33" t="s">
        <v>105</v>
      </c>
      <c r="O15" s="27" t="s">
        <v>84</v>
      </c>
    </row>
    <row r="16" spans="1:15" ht="46.5">
      <c r="A16" s="45"/>
      <c r="B16" s="27">
        <v>8</v>
      </c>
      <c r="C16" s="28" t="s">
        <v>76</v>
      </c>
      <c r="D16" s="66" t="s">
        <v>106</v>
      </c>
      <c r="E16" s="57" t="s">
        <v>78</v>
      </c>
      <c r="F16" s="35"/>
      <c r="G16" s="59" t="s">
        <v>107</v>
      </c>
      <c r="H16" s="29" t="s">
        <v>80</v>
      </c>
      <c r="I16" s="30" t="s">
        <v>108</v>
      </c>
      <c r="J16" s="29"/>
      <c r="K16" s="60" t="s">
        <v>109</v>
      </c>
      <c r="L16" s="34">
        <v>45891</v>
      </c>
      <c r="M16" s="34" t="s">
        <v>110</v>
      </c>
      <c r="N16" s="33" t="s">
        <v>111</v>
      </c>
      <c r="O16" s="27"/>
    </row>
    <row r="17" spans="1:15" ht="46.5">
      <c r="A17" s="45"/>
      <c r="B17" s="27">
        <v>9</v>
      </c>
      <c r="C17" s="28" t="s">
        <v>76</v>
      </c>
      <c r="D17" s="65" t="s">
        <v>112</v>
      </c>
      <c r="E17" s="57" t="s">
        <v>78</v>
      </c>
      <c r="F17" s="35"/>
      <c r="G17" s="59" t="s">
        <v>107</v>
      </c>
      <c r="H17" s="29" t="s">
        <v>80</v>
      </c>
      <c r="I17" s="30" t="s">
        <v>81</v>
      </c>
      <c r="J17" s="29"/>
      <c r="K17" s="60" t="s">
        <v>109</v>
      </c>
      <c r="L17" s="62">
        <v>45891</v>
      </c>
      <c r="M17" s="34"/>
      <c r="N17" s="33" t="s">
        <v>113</v>
      </c>
      <c r="O17" s="27" t="s">
        <v>84</v>
      </c>
    </row>
    <row r="18" spans="1:15" ht="69">
      <c r="A18" s="45"/>
      <c r="B18" s="27">
        <v>10</v>
      </c>
      <c r="C18" s="28" t="s">
        <v>76</v>
      </c>
      <c r="D18" s="64" t="s">
        <v>114</v>
      </c>
      <c r="E18" s="57" t="s">
        <v>78</v>
      </c>
      <c r="F18" s="35"/>
      <c r="G18" s="35" t="s">
        <v>99</v>
      </c>
      <c r="H18" s="29" t="s">
        <v>80</v>
      </c>
      <c r="I18" s="30" t="s">
        <v>81</v>
      </c>
      <c r="J18" s="29"/>
      <c r="K18" s="60" t="s">
        <v>115</v>
      </c>
      <c r="L18" s="34">
        <v>45880</v>
      </c>
      <c r="M18" s="34"/>
      <c r="N18" s="33" t="s">
        <v>116</v>
      </c>
      <c r="O18" s="27" t="s">
        <v>84</v>
      </c>
    </row>
    <row r="19" spans="1:15" ht="39.75" hidden="1" customHeight="1">
      <c r="A19" s="45"/>
      <c r="B19" s="27">
        <v>11</v>
      </c>
      <c r="C19" s="28" t="s">
        <v>76</v>
      </c>
      <c r="D19" s="64" t="s">
        <v>117</v>
      </c>
      <c r="E19" s="57" t="s">
        <v>78</v>
      </c>
      <c r="F19" s="35"/>
      <c r="G19" s="59" t="s">
        <v>118</v>
      </c>
      <c r="H19" s="29" t="s">
        <v>80</v>
      </c>
      <c r="I19" s="30" t="s">
        <v>81</v>
      </c>
      <c r="J19" s="29"/>
      <c r="K19" s="33" t="s">
        <v>119</v>
      </c>
      <c r="L19" s="34">
        <v>45899</v>
      </c>
      <c r="M19" s="34"/>
      <c r="N19" s="33" t="s">
        <v>120</v>
      </c>
      <c r="O19" s="27" t="s">
        <v>84</v>
      </c>
    </row>
    <row r="20" spans="1:15" ht="65.25" customHeight="1">
      <c r="A20" s="45"/>
      <c r="B20" s="27">
        <v>12</v>
      </c>
      <c r="C20" s="28" t="s">
        <v>76</v>
      </c>
      <c r="D20" s="64" t="s">
        <v>121</v>
      </c>
      <c r="E20" s="57" t="s">
        <v>78</v>
      </c>
      <c r="F20" s="35"/>
      <c r="G20" s="59" t="s">
        <v>122</v>
      </c>
      <c r="H20" s="29" t="s">
        <v>80</v>
      </c>
      <c r="I20" s="30" t="s">
        <v>81</v>
      </c>
      <c r="J20" s="29"/>
      <c r="K20" s="33" t="s">
        <v>123</v>
      </c>
      <c r="L20" s="34">
        <v>45884</v>
      </c>
      <c r="M20" s="34">
        <v>45930</v>
      </c>
      <c r="N20" s="33"/>
      <c r="O20" s="27"/>
    </row>
    <row r="21" spans="1:15" ht="46.5" hidden="1">
      <c r="A21" s="45"/>
      <c r="B21" s="27">
        <v>13</v>
      </c>
      <c r="C21" s="28" t="s">
        <v>76</v>
      </c>
      <c r="D21" s="64" t="s">
        <v>124</v>
      </c>
      <c r="E21" s="57" t="s">
        <v>78</v>
      </c>
      <c r="F21" s="35"/>
      <c r="G21" s="57" t="s">
        <v>125</v>
      </c>
      <c r="H21" s="29" t="s">
        <v>80</v>
      </c>
      <c r="I21" s="30" t="s">
        <v>81</v>
      </c>
      <c r="J21" s="29"/>
      <c r="K21" s="33" t="s">
        <v>126</v>
      </c>
      <c r="L21" s="34">
        <v>45884</v>
      </c>
      <c r="M21" s="34"/>
      <c r="N21" s="33" t="s">
        <v>127</v>
      </c>
      <c r="O21" s="27" t="s">
        <v>84</v>
      </c>
    </row>
    <row r="22" spans="1:15" ht="23.25" hidden="1">
      <c r="A22" s="45"/>
      <c r="B22" s="27">
        <v>14</v>
      </c>
      <c r="C22" s="28" t="s">
        <v>76</v>
      </c>
      <c r="D22" s="63" t="s">
        <v>128</v>
      </c>
      <c r="E22" s="57" t="s">
        <v>78</v>
      </c>
      <c r="F22" s="36"/>
      <c r="G22" s="58" t="s">
        <v>129</v>
      </c>
      <c r="H22" s="29" t="s">
        <v>80</v>
      </c>
      <c r="I22" s="30" t="s">
        <v>81</v>
      </c>
      <c r="J22" s="29"/>
      <c r="K22" s="33" t="s">
        <v>126</v>
      </c>
      <c r="L22" s="34">
        <v>45877</v>
      </c>
      <c r="M22" s="34"/>
      <c r="N22" s="33"/>
      <c r="O22" s="27" t="s">
        <v>84</v>
      </c>
    </row>
    <row r="23" spans="1:15" ht="12.6">
      <c r="A23" s="45"/>
      <c r="B23" s="27">
        <v>15</v>
      </c>
      <c r="C23" s="28"/>
      <c r="D23" s="32"/>
      <c r="E23" s="36"/>
      <c r="F23" s="36"/>
      <c r="G23" s="36"/>
      <c r="H23" s="29"/>
      <c r="I23" s="30"/>
      <c r="J23" s="29"/>
      <c r="K23" s="33"/>
      <c r="L23" s="34"/>
      <c r="M23" s="34"/>
      <c r="N23" s="33"/>
      <c r="O23" s="27"/>
    </row>
    <row r="24" spans="1:15" ht="24" customHeight="1">
      <c r="A24" s="45"/>
      <c r="B24" s="27">
        <v>16</v>
      </c>
      <c r="C24" s="28"/>
      <c r="D24" s="32"/>
      <c r="E24" s="36"/>
      <c r="F24" s="36"/>
      <c r="G24" s="36"/>
      <c r="H24" s="29"/>
      <c r="I24" s="30"/>
      <c r="J24" s="29"/>
      <c r="K24" s="37"/>
      <c r="L24" s="38"/>
      <c r="M24" s="38"/>
      <c r="N24" s="33"/>
      <c r="O24" s="27"/>
    </row>
    <row r="25" spans="1:15" ht="24" customHeight="1">
      <c r="A25" s="45"/>
      <c r="B25" s="27">
        <v>17</v>
      </c>
      <c r="C25" s="28"/>
      <c r="D25" s="32"/>
      <c r="E25" s="32"/>
      <c r="F25" s="32"/>
      <c r="G25" s="32"/>
      <c r="H25" s="29"/>
      <c r="I25" s="30"/>
      <c r="J25" s="29"/>
      <c r="K25" s="33"/>
      <c r="L25" s="34"/>
      <c r="M25" s="34"/>
      <c r="N25" s="33"/>
      <c r="O25" s="27"/>
    </row>
    <row r="26" spans="1:15" ht="24" customHeight="1">
      <c r="A26" s="45"/>
      <c r="B26" s="27">
        <v>18</v>
      </c>
      <c r="C26" s="28"/>
      <c r="D26" s="32"/>
      <c r="E26" s="32"/>
      <c r="F26" s="32"/>
      <c r="G26" s="32"/>
      <c r="H26" s="29"/>
      <c r="I26" s="30"/>
      <c r="J26" s="29"/>
      <c r="K26" s="33"/>
      <c r="L26" s="34"/>
      <c r="M26" s="34"/>
      <c r="N26" s="33"/>
      <c r="O26" s="27"/>
    </row>
    <row r="27" spans="1:15" ht="24" customHeight="1">
      <c r="A27" s="45"/>
      <c r="B27" s="27">
        <v>19</v>
      </c>
      <c r="C27" s="28"/>
      <c r="D27" s="32"/>
      <c r="E27" s="32"/>
      <c r="F27" s="32"/>
      <c r="G27" s="32"/>
      <c r="H27" s="29"/>
      <c r="I27" s="30"/>
      <c r="J27" s="29"/>
      <c r="K27" s="33"/>
      <c r="L27" s="34"/>
      <c r="M27" s="34"/>
      <c r="N27" s="33"/>
      <c r="O27" s="27"/>
    </row>
    <row r="28" spans="1:15" ht="24" customHeight="1">
      <c r="A28" s="45"/>
      <c r="B28" s="27">
        <v>20</v>
      </c>
      <c r="C28" s="28"/>
      <c r="D28" s="32"/>
      <c r="E28" s="32"/>
      <c r="F28" s="32"/>
      <c r="G28" s="32"/>
      <c r="H28" s="29"/>
      <c r="I28" s="30"/>
      <c r="J28" s="29"/>
      <c r="K28" s="33"/>
      <c r="L28" s="34"/>
      <c r="M28" s="34"/>
      <c r="N28" s="33"/>
      <c r="O28" s="27"/>
    </row>
    <row r="29" spans="1:15" ht="24" customHeight="1">
      <c r="A29" s="45"/>
      <c r="B29" s="27">
        <v>21</v>
      </c>
      <c r="C29" s="28"/>
      <c r="D29" s="32"/>
      <c r="E29" s="32"/>
      <c r="F29" s="32"/>
      <c r="G29" s="32"/>
      <c r="H29" s="29"/>
      <c r="I29" s="30"/>
      <c r="J29" s="29"/>
      <c r="K29" s="33"/>
      <c r="L29" s="34"/>
      <c r="M29" s="34"/>
      <c r="N29" s="33"/>
      <c r="O29" s="27"/>
    </row>
    <row r="30" spans="1:15" ht="24" customHeight="1">
      <c r="A30" s="45"/>
      <c r="B30" s="27">
        <v>22</v>
      </c>
      <c r="C30" s="28"/>
      <c r="D30" s="32"/>
      <c r="E30" s="32"/>
      <c r="F30" s="32"/>
      <c r="G30" s="32"/>
      <c r="H30" s="29"/>
      <c r="I30" s="30"/>
      <c r="J30" s="29"/>
      <c r="K30" s="33"/>
      <c r="L30" s="34"/>
      <c r="M30" s="34"/>
      <c r="N30" s="33"/>
      <c r="O30" s="27"/>
    </row>
    <row r="31" spans="1:15" ht="24" customHeight="1">
      <c r="A31" s="45"/>
      <c r="B31" s="27">
        <v>23</v>
      </c>
      <c r="C31" s="28"/>
      <c r="D31" s="32"/>
      <c r="E31" s="32"/>
      <c r="F31" s="32"/>
      <c r="G31" s="32"/>
      <c r="H31" s="29"/>
      <c r="I31" s="30"/>
      <c r="J31" s="29"/>
      <c r="K31" s="33"/>
      <c r="L31" s="34"/>
      <c r="M31" s="34"/>
      <c r="N31" s="33"/>
      <c r="O31" s="27"/>
    </row>
    <row r="32" spans="1:15" ht="24" customHeight="1">
      <c r="A32" s="45"/>
      <c r="B32" s="27">
        <v>24</v>
      </c>
      <c r="C32" s="28"/>
      <c r="D32" s="32"/>
      <c r="E32" s="32"/>
      <c r="F32" s="32"/>
      <c r="G32" s="32"/>
      <c r="H32" s="29"/>
      <c r="I32" s="30"/>
      <c r="J32" s="29"/>
      <c r="K32" s="33"/>
      <c r="L32" s="34"/>
      <c r="M32" s="34"/>
      <c r="N32" s="33"/>
      <c r="O32" s="27"/>
    </row>
    <row r="33" spans="1:15" ht="24" customHeight="1">
      <c r="A33" s="45"/>
      <c r="B33" s="27">
        <v>25</v>
      </c>
      <c r="C33" s="28"/>
      <c r="D33" s="32"/>
      <c r="E33" s="32"/>
      <c r="F33" s="32"/>
      <c r="G33" s="32"/>
      <c r="H33" s="29"/>
      <c r="I33" s="30"/>
      <c r="J33" s="29"/>
      <c r="K33" s="33"/>
      <c r="L33" s="34"/>
      <c r="M33" s="34"/>
      <c r="N33" s="33"/>
      <c r="O33" s="27"/>
    </row>
    <row r="34" spans="1:15" ht="24" customHeight="1">
      <c r="A34" s="45"/>
      <c r="B34" s="27">
        <v>26</v>
      </c>
      <c r="C34" s="28"/>
      <c r="D34" s="32"/>
      <c r="E34" s="32"/>
      <c r="F34" s="32"/>
      <c r="G34" s="32"/>
      <c r="H34" s="29"/>
      <c r="I34" s="30"/>
      <c r="J34" s="29"/>
      <c r="K34" s="33"/>
      <c r="L34" s="34"/>
      <c r="M34" s="34"/>
      <c r="N34" s="33"/>
      <c r="O34" s="27"/>
    </row>
    <row r="35" spans="1:15" ht="24" customHeight="1">
      <c r="A35" s="45"/>
      <c r="B35" s="27">
        <v>27</v>
      </c>
      <c r="C35" s="28"/>
      <c r="D35" s="32"/>
      <c r="E35" s="32"/>
      <c r="F35" s="32"/>
      <c r="G35" s="32"/>
      <c r="H35" s="29"/>
      <c r="I35" s="30"/>
      <c r="J35" s="29"/>
      <c r="K35" s="33"/>
      <c r="L35" s="34"/>
      <c r="M35" s="34"/>
      <c r="N35" s="33"/>
      <c r="O35" s="27"/>
    </row>
    <row r="36" spans="1:15" ht="24" customHeight="1">
      <c r="A36" s="45"/>
      <c r="B36" s="27">
        <v>28</v>
      </c>
      <c r="C36" s="28"/>
      <c r="D36" s="32"/>
      <c r="E36" s="32"/>
      <c r="F36" s="32"/>
      <c r="G36" s="32"/>
      <c r="H36" s="29"/>
      <c r="I36" s="30"/>
      <c r="J36" s="29"/>
      <c r="K36" s="33"/>
      <c r="L36" s="34"/>
      <c r="M36" s="34"/>
      <c r="N36" s="33"/>
      <c r="O36" s="27"/>
    </row>
    <row r="37" spans="1:15" ht="24" customHeight="1">
      <c r="A37" s="45"/>
      <c r="B37" s="27">
        <v>29</v>
      </c>
      <c r="C37" s="28"/>
      <c r="D37" s="32"/>
      <c r="E37" s="32"/>
      <c r="F37" s="32"/>
      <c r="G37" s="32"/>
      <c r="H37" s="29"/>
      <c r="I37" s="30"/>
      <c r="J37" s="29"/>
      <c r="K37" s="33"/>
      <c r="L37" s="34"/>
      <c r="M37" s="34"/>
      <c r="N37" s="33"/>
      <c r="O37" s="27"/>
    </row>
    <row r="38" spans="1:15" ht="24" customHeight="1">
      <c r="A38" s="45"/>
      <c r="B38" s="27">
        <v>30</v>
      </c>
      <c r="C38" s="28"/>
      <c r="D38" s="32"/>
      <c r="E38" s="32"/>
      <c r="F38" s="32"/>
      <c r="G38" s="32"/>
      <c r="H38" s="29"/>
      <c r="I38" s="30"/>
      <c r="J38" s="29"/>
      <c r="K38" s="33"/>
      <c r="L38" s="34"/>
      <c r="M38" s="34"/>
      <c r="N38" s="33"/>
      <c r="O38" s="27"/>
    </row>
    <row r="39" spans="1:15" ht="24" customHeight="1">
      <c r="A39" s="45"/>
      <c r="B39" s="27">
        <v>31</v>
      </c>
      <c r="C39" s="28"/>
      <c r="D39" s="32"/>
      <c r="E39" s="32"/>
      <c r="F39" s="32"/>
      <c r="G39" s="32"/>
      <c r="H39" s="29"/>
      <c r="I39" s="30"/>
      <c r="J39" s="29"/>
      <c r="K39" s="33"/>
      <c r="L39" s="34"/>
      <c r="M39" s="34"/>
      <c r="N39" s="33"/>
      <c r="O39" s="27"/>
    </row>
    <row r="40" spans="1:15" ht="24" customHeight="1">
      <c r="A40" s="45"/>
      <c r="B40" s="27">
        <v>32</v>
      </c>
      <c r="C40" s="28"/>
      <c r="D40" s="32"/>
      <c r="E40" s="39"/>
      <c r="F40" s="39"/>
      <c r="G40" s="32"/>
      <c r="H40" s="29"/>
      <c r="I40" s="30"/>
      <c r="J40" s="29"/>
      <c r="K40" s="33"/>
      <c r="L40" s="34"/>
      <c r="M40" s="34"/>
      <c r="N40" s="33"/>
      <c r="O40" s="27"/>
    </row>
    <row r="41" spans="1:15" ht="24" customHeight="1">
      <c r="A41" s="45"/>
      <c r="B41" s="27">
        <v>33</v>
      </c>
      <c r="C41" s="28"/>
      <c r="D41" s="32"/>
      <c r="E41" s="39"/>
      <c r="F41" s="39"/>
      <c r="G41" s="32"/>
      <c r="H41" s="29"/>
      <c r="I41" s="30"/>
      <c r="J41" s="29"/>
      <c r="K41" s="33"/>
      <c r="L41" s="34"/>
      <c r="M41" s="34"/>
      <c r="N41" s="33"/>
      <c r="O41" s="27"/>
    </row>
    <row r="42" spans="1:15" ht="24" customHeight="1">
      <c r="A42" s="45"/>
      <c r="B42" s="27">
        <v>34</v>
      </c>
      <c r="C42" s="28"/>
      <c r="D42" s="32"/>
      <c r="E42" s="39"/>
      <c r="F42" s="39"/>
      <c r="G42" s="32"/>
      <c r="H42" s="29"/>
      <c r="I42" s="30"/>
      <c r="J42" s="29"/>
      <c r="K42" s="33"/>
      <c r="L42" s="34"/>
      <c r="M42" s="34"/>
      <c r="N42" s="33"/>
      <c r="O42" s="27"/>
    </row>
    <row r="43" spans="1:15" ht="24" customHeight="1">
      <c r="A43" s="45"/>
      <c r="B43" s="27">
        <v>35</v>
      </c>
      <c r="C43" s="28"/>
      <c r="D43" s="32"/>
      <c r="E43" s="39"/>
      <c r="F43" s="39"/>
      <c r="G43" s="32"/>
      <c r="H43" s="29"/>
      <c r="I43" s="30"/>
      <c r="J43" s="29"/>
      <c r="K43" s="33"/>
      <c r="L43" s="34"/>
      <c r="M43" s="34"/>
      <c r="N43" s="33"/>
      <c r="O43" s="27"/>
    </row>
    <row r="44" spans="1:15" ht="24" customHeight="1">
      <c r="A44" s="45"/>
      <c r="B44" s="27">
        <v>36</v>
      </c>
      <c r="C44" s="28"/>
      <c r="D44" s="32"/>
      <c r="E44" s="39"/>
      <c r="F44" s="39"/>
      <c r="G44" s="32"/>
      <c r="H44" s="29"/>
      <c r="I44" s="30"/>
      <c r="J44" s="29"/>
      <c r="K44" s="33"/>
      <c r="L44" s="34"/>
      <c r="M44" s="34"/>
      <c r="N44" s="33"/>
      <c r="O44" s="27"/>
    </row>
    <row r="45" spans="1:15" ht="24" customHeight="1">
      <c r="A45" s="45"/>
      <c r="B45" s="27">
        <v>37</v>
      </c>
      <c r="C45" s="28"/>
      <c r="D45" s="32"/>
      <c r="E45" s="39"/>
      <c r="F45" s="39"/>
      <c r="G45" s="32"/>
      <c r="H45" s="29"/>
      <c r="I45" s="30"/>
      <c r="J45" s="29"/>
      <c r="K45" s="33"/>
      <c r="L45" s="34"/>
      <c r="M45" s="34"/>
      <c r="N45" s="33"/>
      <c r="O45" s="27"/>
    </row>
    <row r="46" spans="1:15" ht="24" customHeight="1">
      <c r="A46" s="45"/>
      <c r="B46" s="27">
        <v>38</v>
      </c>
      <c r="C46" s="28"/>
      <c r="D46" s="32"/>
      <c r="E46" s="39"/>
      <c r="F46" s="39"/>
      <c r="G46" s="32"/>
      <c r="H46" s="29"/>
      <c r="I46" s="30"/>
      <c r="J46" s="29"/>
      <c r="K46" s="33"/>
      <c r="L46" s="34"/>
      <c r="M46" s="34"/>
      <c r="N46" s="33"/>
      <c r="O46" s="27"/>
    </row>
    <row r="47" spans="1:15" ht="24" customHeight="1">
      <c r="A47" s="45"/>
      <c r="B47" s="27">
        <v>39</v>
      </c>
      <c r="C47" s="28"/>
      <c r="D47" s="32"/>
      <c r="E47" s="39"/>
      <c r="F47" s="39"/>
      <c r="G47" s="32"/>
      <c r="H47" s="29"/>
      <c r="I47" s="30"/>
      <c r="J47" s="29"/>
      <c r="K47" s="33"/>
      <c r="L47" s="34"/>
      <c r="M47" s="34"/>
      <c r="N47" s="33"/>
      <c r="O47" s="27"/>
    </row>
    <row r="48" spans="1:15" ht="24" customHeight="1">
      <c r="A48" s="45"/>
      <c r="B48" s="27">
        <v>40</v>
      </c>
      <c r="C48" s="28"/>
      <c r="D48" s="32"/>
      <c r="E48" s="39"/>
      <c r="F48" s="39"/>
      <c r="G48" s="32"/>
      <c r="H48" s="29"/>
      <c r="I48" s="30"/>
      <c r="J48" s="29"/>
      <c r="K48" s="33"/>
      <c r="L48" s="34"/>
      <c r="M48" s="34"/>
      <c r="N48" s="33"/>
      <c r="O48" s="27"/>
    </row>
    <row r="49" spans="1:15" ht="24" customHeight="1">
      <c r="A49" s="45"/>
      <c r="B49" s="27">
        <v>41</v>
      </c>
      <c r="C49" s="28"/>
      <c r="D49" s="32"/>
      <c r="E49" s="39"/>
      <c r="F49" s="39"/>
      <c r="G49" s="32"/>
      <c r="H49" s="29"/>
      <c r="I49" s="30"/>
      <c r="J49" s="29"/>
      <c r="K49" s="33"/>
      <c r="L49" s="34"/>
      <c r="M49" s="34"/>
      <c r="N49" s="33"/>
      <c r="O49" s="27"/>
    </row>
    <row r="50" spans="1:15" ht="24" customHeight="1">
      <c r="A50" s="45"/>
      <c r="B50" s="27">
        <v>42</v>
      </c>
      <c r="C50" s="28"/>
      <c r="D50" s="32"/>
      <c r="E50" s="39"/>
      <c r="F50" s="39"/>
      <c r="G50" s="32"/>
      <c r="H50" s="29"/>
      <c r="I50" s="30"/>
      <c r="J50" s="29"/>
      <c r="K50" s="33"/>
      <c r="L50" s="34"/>
      <c r="M50" s="34"/>
      <c r="N50" s="33"/>
      <c r="O50" s="27"/>
    </row>
    <row r="51" spans="1:15" ht="24" customHeight="1">
      <c r="A51" s="45"/>
      <c r="B51" s="27">
        <v>43</v>
      </c>
      <c r="C51" s="28"/>
      <c r="D51" s="32"/>
      <c r="E51" s="39"/>
      <c r="F51" s="39"/>
      <c r="G51" s="32"/>
      <c r="H51" s="29"/>
      <c r="I51" s="30"/>
      <c r="J51" s="29"/>
      <c r="K51" s="33"/>
      <c r="L51" s="34"/>
      <c r="M51" s="34"/>
      <c r="N51" s="33"/>
      <c r="O51" s="27"/>
    </row>
    <row r="52" spans="1:15" ht="24" customHeight="1">
      <c r="A52" s="45"/>
      <c r="B52" s="27">
        <v>44</v>
      </c>
      <c r="C52" s="28"/>
      <c r="D52" s="32"/>
      <c r="E52" s="39"/>
      <c r="F52" s="39"/>
      <c r="G52" s="32"/>
      <c r="H52" s="29"/>
      <c r="I52" s="30"/>
      <c r="J52" s="29"/>
      <c r="K52" s="33"/>
      <c r="L52" s="34"/>
      <c r="M52" s="34"/>
      <c r="N52" s="33"/>
      <c r="O52" s="27"/>
    </row>
    <row r="53" spans="1:15" ht="24" customHeight="1">
      <c r="A53" s="45"/>
      <c r="B53" s="27">
        <v>45</v>
      </c>
      <c r="C53" s="28"/>
      <c r="D53" s="32"/>
      <c r="E53" s="39"/>
      <c r="F53" s="39"/>
      <c r="G53" s="32"/>
      <c r="H53" s="29"/>
      <c r="I53" s="30"/>
      <c r="J53" s="29"/>
      <c r="K53" s="33"/>
      <c r="L53" s="34"/>
      <c r="M53" s="34"/>
      <c r="N53" s="33"/>
      <c r="O53" s="27"/>
    </row>
    <row r="54" spans="1:15" ht="24" customHeight="1">
      <c r="A54" s="45"/>
      <c r="B54" s="27">
        <v>46</v>
      </c>
      <c r="C54" s="28"/>
      <c r="D54" s="32"/>
      <c r="E54" s="39"/>
      <c r="F54" s="39"/>
      <c r="G54" s="32"/>
      <c r="H54" s="29"/>
      <c r="I54" s="30"/>
      <c r="J54" s="29"/>
      <c r="K54" s="33"/>
      <c r="L54" s="34"/>
      <c r="M54" s="34"/>
      <c r="N54" s="33"/>
      <c r="O54" s="27"/>
    </row>
    <row r="55" spans="1:15" ht="24" customHeight="1">
      <c r="A55" s="45"/>
      <c r="B55" s="27">
        <v>47</v>
      </c>
      <c r="C55" s="28"/>
      <c r="D55" s="32"/>
      <c r="E55" s="39"/>
      <c r="F55" s="39"/>
      <c r="G55" s="32"/>
      <c r="H55" s="29"/>
      <c r="I55" s="30"/>
      <c r="J55" s="29"/>
      <c r="K55" s="33"/>
      <c r="L55" s="34"/>
      <c r="M55" s="34"/>
      <c r="N55" s="33"/>
      <c r="O55" s="27"/>
    </row>
    <row r="56" spans="1:15" ht="24" customHeight="1">
      <c r="A56" s="45"/>
      <c r="B56" s="27">
        <v>48</v>
      </c>
      <c r="C56" s="28"/>
      <c r="D56" s="32"/>
      <c r="E56" s="39"/>
      <c r="F56" s="39"/>
      <c r="G56" s="32"/>
      <c r="H56" s="29"/>
      <c r="I56" s="30"/>
      <c r="J56" s="29"/>
      <c r="K56" s="33"/>
      <c r="L56" s="34"/>
      <c r="M56" s="34"/>
      <c r="N56" s="33"/>
      <c r="O56" s="27"/>
    </row>
    <row r="57" spans="1:15" ht="24" customHeight="1">
      <c r="A57" s="45"/>
      <c r="B57" s="27">
        <v>49</v>
      </c>
      <c r="C57" s="28"/>
      <c r="D57" s="32"/>
      <c r="E57" s="39"/>
      <c r="F57" s="39"/>
      <c r="G57" s="32"/>
      <c r="H57" s="29"/>
      <c r="I57" s="30"/>
      <c r="J57" s="29"/>
      <c r="K57" s="33"/>
      <c r="L57" s="34"/>
      <c r="M57" s="34"/>
      <c r="N57" s="33"/>
      <c r="O57" s="27"/>
    </row>
    <row r="58" spans="1:15" ht="24" customHeight="1">
      <c r="A58" s="45"/>
      <c r="B58" s="27">
        <v>50</v>
      </c>
      <c r="C58" s="28"/>
      <c r="D58" s="32"/>
      <c r="E58" s="39"/>
      <c r="F58" s="39"/>
      <c r="G58" s="32"/>
      <c r="H58" s="29"/>
      <c r="I58" s="30"/>
      <c r="J58" s="29"/>
      <c r="K58" s="33"/>
      <c r="L58" s="34"/>
      <c r="M58" s="34"/>
      <c r="N58" s="33"/>
      <c r="O58" s="27"/>
    </row>
    <row r="59" spans="1:15" ht="24" customHeight="1">
      <c r="A59" s="45"/>
      <c r="B59" s="27">
        <v>51</v>
      </c>
      <c r="C59" s="28"/>
      <c r="D59" s="32"/>
      <c r="E59" s="39"/>
      <c r="F59" s="39"/>
      <c r="G59" s="32"/>
      <c r="H59" s="29"/>
      <c r="I59" s="30"/>
      <c r="J59" s="29"/>
      <c r="K59" s="33"/>
      <c r="L59" s="34"/>
      <c r="M59" s="34"/>
      <c r="N59" s="33"/>
      <c r="O59" s="27"/>
    </row>
    <row r="60" spans="1:15" ht="24" customHeight="1">
      <c r="A60" s="45"/>
      <c r="B60" s="27">
        <v>52</v>
      </c>
      <c r="C60" s="28"/>
      <c r="D60" s="32"/>
      <c r="E60" s="39"/>
      <c r="F60" s="39"/>
      <c r="G60" s="32"/>
      <c r="H60" s="29"/>
      <c r="I60" s="30"/>
      <c r="J60" s="29"/>
      <c r="K60" s="33"/>
      <c r="L60" s="34"/>
      <c r="M60" s="34"/>
      <c r="N60" s="33"/>
      <c r="O60" s="27"/>
    </row>
    <row r="61" spans="1:15" ht="24" customHeight="1">
      <c r="A61" s="45"/>
      <c r="B61" s="27">
        <v>53</v>
      </c>
      <c r="C61" s="28"/>
      <c r="D61" s="32"/>
      <c r="E61" s="39"/>
      <c r="F61" s="39"/>
      <c r="G61" s="32"/>
      <c r="H61" s="29"/>
      <c r="I61" s="30"/>
      <c r="J61" s="29"/>
      <c r="K61" s="33"/>
      <c r="L61" s="34"/>
      <c r="M61" s="34"/>
      <c r="N61" s="33"/>
      <c r="O61" s="27"/>
    </row>
    <row r="62" spans="1:15" ht="24" customHeight="1">
      <c r="A62" s="45"/>
      <c r="B62" s="27">
        <v>54</v>
      </c>
      <c r="C62" s="28"/>
      <c r="D62" s="32"/>
      <c r="E62" s="39"/>
      <c r="F62" s="39"/>
      <c r="G62" s="32"/>
      <c r="H62" s="29"/>
      <c r="I62" s="30"/>
      <c r="J62" s="29"/>
      <c r="K62" s="33"/>
      <c r="L62" s="34"/>
      <c r="M62" s="34"/>
      <c r="N62" s="33"/>
      <c r="O62" s="27"/>
    </row>
    <row r="63" spans="1:15" ht="24" customHeight="1">
      <c r="A63" s="45"/>
      <c r="B63" s="27">
        <v>55</v>
      </c>
      <c r="C63" s="28"/>
      <c r="D63" s="32"/>
      <c r="E63" s="39"/>
      <c r="F63" s="39"/>
      <c r="G63" s="32"/>
      <c r="H63" s="29"/>
      <c r="I63" s="30"/>
      <c r="J63" s="29"/>
      <c r="K63" s="33"/>
      <c r="L63" s="34"/>
      <c r="M63" s="34"/>
      <c r="N63" s="33"/>
      <c r="O63" s="27"/>
    </row>
    <row r="64" spans="1:15" ht="24" customHeight="1">
      <c r="A64" s="45"/>
      <c r="B64" s="27">
        <v>56</v>
      </c>
      <c r="C64" s="28"/>
      <c r="D64" s="32"/>
      <c r="E64" s="39"/>
      <c r="F64" s="39"/>
      <c r="G64" s="32"/>
      <c r="H64" s="29"/>
      <c r="I64" s="30"/>
      <c r="J64" s="29"/>
      <c r="K64" s="33"/>
      <c r="L64" s="34"/>
      <c r="M64" s="34"/>
      <c r="N64" s="33"/>
      <c r="O64" s="27"/>
    </row>
    <row r="65" spans="1:15" ht="24" customHeight="1">
      <c r="A65" s="45"/>
      <c r="B65" s="27">
        <v>57</v>
      </c>
      <c r="C65" s="28"/>
      <c r="D65" s="32"/>
      <c r="E65" s="39"/>
      <c r="F65" s="39"/>
      <c r="G65" s="32"/>
      <c r="H65" s="29"/>
      <c r="I65" s="30"/>
      <c r="J65" s="29"/>
      <c r="K65" s="33"/>
      <c r="L65" s="34"/>
      <c r="M65" s="34"/>
      <c r="N65" s="33"/>
      <c r="O65" s="27"/>
    </row>
    <row r="66" spans="1:15" ht="24" customHeight="1">
      <c r="A66" s="45"/>
      <c r="B66" s="27">
        <v>58</v>
      </c>
      <c r="C66" s="28"/>
      <c r="D66" s="32"/>
      <c r="E66" s="39"/>
      <c r="F66" s="39"/>
      <c r="G66" s="32"/>
      <c r="H66" s="29"/>
      <c r="I66" s="30"/>
      <c r="J66" s="29"/>
      <c r="K66" s="33"/>
      <c r="L66" s="34"/>
      <c r="M66" s="34"/>
      <c r="N66" s="33"/>
      <c r="O66" s="27"/>
    </row>
    <row r="67" spans="1:15" ht="24" customHeight="1">
      <c r="A67" s="45"/>
      <c r="B67" s="27">
        <v>59</v>
      </c>
      <c r="C67" s="28"/>
      <c r="D67" s="32"/>
      <c r="E67" s="39"/>
      <c r="F67" s="39"/>
      <c r="G67" s="32"/>
      <c r="H67" s="29"/>
      <c r="I67" s="30"/>
      <c r="J67" s="29"/>
      <c r="K67" s="33"/>
      <c r="L67" s="34"/>
      <c r="M67" s="34"/>
      <c r="N67" s="33"/>
      <c r="O67" s="27"/>
    </row>
    <row r="68" spans="1:15" ht="24" customHeight="1">
      <c r="A68" s="45"/>
      <c r="B68" s="27">
        <v>60</v>
      </c>
      <c r="C68" s="28"/>
      <c r="D68" s="32"/>
      <c r="E68" s="39"/>
      <c r="F68" s="39"/>
      <c r="G68" s="32"/>
      <c r="H68" s="29"/>
      <c r="I68" s="30"/>
      <c r="J68" s="29"/>
      <c r="K68" s="33"/>
      <c r="L68" s="34"/>
      <c r="M68" s="34"/>
      <c r="N68" s="33"/>
      <c r="O68" s="27"/>
    </row>
    <row r="69" spans="1:15" ht="24" customHeight="1">
      <c r="A69" s="45"/>
      <c r="B69" s="27">
        <v>61</v>
      </c>
      <c r="C69" s="28"/>
      <c r="D69" s="32"/>
      <c r="E69" s="39"/>
      <c r="F69" s="39"/>
      <c r="G69" s="32"/>
      <c r="H69" s="29"/>
      <c r="I69" s="30"/>
      <c r="J69" s="29"/>
      <c r="K69" s="33"/>
      <c r="L69" s="34"/>
      <c r="M69" s="34"/>
      <c r="N69" s="33"/>
      <c r="O69" s="27"/>
    </row>
    <row r="70" spans="1:15" ht="24" customHeight="1">
      <c r="A70" s="45"/>
      <c r="B70" s="27">
        <v>62</v>
      </c>
      <c r="C70" s="28"/>
      <c r="D70" s="32"/>
      <c r="E70" s="39"/>
      <c r="F70" s="39"/>
      <c r="G70" s="32"/>
      <c r="H70" s="29"/>
      <c r="I70" s="30"/>
      <c r="J70" s="29"/>
      <c r="K70" s="33"/>
      <c r="L70" s="34"/>
      <c r="M70" s="34"/>
      <c r="N70" s="33"/>
      <c r="O70" s="27"/>
    </row>
    <row r="71" spans="1:15" ht="24" customHeight="1">
      <c r="A71" s="45"/>
      <c r="B71" s="27">
        <v>63</v>
      </c>
      <c r="C71" s="28"/>
      <c r="D71" s="32"/>
      <c r="E71" s="39"/>
      <c r="F71" s="39"/>
      <c r="G71" s="32"/>
      <c r="H71" s="29"/>
      <c r="I71" s="30"/>
      <c r="J71" s="29"/>
      <c r="K71" s="33"/>
      <c r="L71" s="34"/>
      <c r="M71" s="34"/>
      <c r="N71" s="33"/>
      <c r="O71" s="27"/>
    </row>
    <row r="72" spans="1:15" ht="24" customHeight="1">
      <c r="A72" s="45"/>
      <c r="B72" s="27">
        <v>64</v>
      </c>
      <c r="C72" s="28"/>
      <c r="D72" s="32"/>
      <c r="E72" s="39"/>
      <c r="F72" s="39"/>
      <c r="G72" s="32"/>
      <c r="H72" s="29"/>
      <c r="I72" s="30"/>
      <c r="J72" s="29"/>
      <c r="K72" s="33"/>
      <c r="L72" s="34"/>
      <c r="M72" s="34"/>
      <c r="N72" s="33"/>
      <c r="O72" s="27"/>
    </row>
    <row r="73" spans="1:15" ht="24" customHeight="1">
      <c r="A73" s="45"/>
      <c r="B73" s="27">
        <v>65</v>
      </c>
      <c r="C73" s="28"/>
      <c r="D73" s="32"/>
      <c r="E73" s="39"/>
      <c r="F73" s="39"/>
      <c r="G73" s="32"/>
      <c r="H73" s="29"/>
      <c r="I73" s="30"/>
      <c r="J73" s="29"/>
      <c r="K73" s="33"/>
      <c r="L73" s="34"/>
      <c r="M73" s="34"/>
      <c r="N73" s="33"/>
      <c r="O73" s="27"/>
    </row>
    <row r="74" spans="1:15" ht="24" customHeight="1">
      <c r="A74" s="45"/>
      <c r="B74" s="27">
        <v>66</v>
      </c>
      <c r="C74" s="28"/>
      <c r="D74" s="32"/>
      <c r="E74" s="39"/>
      <c r="F74" s="39"/>
      <c r="G74" s="32"/>
      <c r="H74" s="29"/>
      <c r="I74" s="30"/>
      <c r="J74" s="29"/>
      <c r="K74" s="33"/>
      <c r="L74" s="34"/>
      <c r="M74" s="34"/>
      <c r="N74" s="33"/>
      <c r="O74" s="27"/>
    </row>
    <row r="75" spans="1:15" ht="24" customHeight="1">
      <c r="A75" s="45"/>
      <c r="B75" s="27">
        <v>67</v>
      </c>
      <c r="C75" s="28"/>
      <c r="D75" s="32"/>
      <c r="E75" s="39"/>
      <c r="F75" s="39"/>
      <c r="G75" s="32"/>
      <c r="H75" s="29"/>
      <c r="I75" s="30"/>
      <c r="J75" s="29"/>
      <c r="K75" s="33"/>
      <c r="L75" s="34"/>
      <c r="M75" s="34"/>
      <c r="N75" s="33"/>
      <c r="O75" s="27"/>
    </row>
    <row r="76" spans="1:15" ht="24" customHeight="1">
      <c r="A76" s="45"/>
      <c r="B76" s="27">
        <v>68</v>
      </c>
      <c r="C76" s="28"/>
      <c r="D76" s="32"/>
      <c r="E76" s="39"/>
      <c r="F76" s="39"/>
      <c r="G76" s="32"/>
      <c r="H76" s="29"/>
      <c r="I76" s="30"/>
      <c r="J76" s="29"/>
      <c r="K76" s="33"/>
      <c r="L76" s="34"/>
      <c r="M76" s="34"/>
      <c r="N76" s="33"/>
      <c r="O76" s="27"/>
    </row>
    <row r="77" spans="1:15" ht="24" customHeight="1">
      <c r="A77" s="45"/>
      <c r="B77" s="27">
        <v>69</v>
      </c>
      <c r="C77" s="28"/>
      <c r="D77" s="32"/>
      <c r="E77" s="39"/>
      <c r="F77" s="39"/>
      <c r="G77" s="32"/>
      <c r="H77" s="29"/>
      <c r="I77" s="30"/>
      <c r="J77" s="29"/>
      <c r="K77" s="33"/>
      <c r="L77" s="34"/>
      <c r="M77" s="34"/>
      <c r="N77" s="33"/>
      <c r="O77" s="27"/>
    </row>
    <row r="78" spans="1:15" ht="24" customHeight="1">
      <c r="A78" s="45"/>
      <c r="B78" s="27">
        <v>70</v>
      </c>
      <c r="C78" s="28"/>
      <c r="D78" s="32"/>
      <c r="E78" s="39"/>
      <c r="F78" s="39"/>
      <c r="G78" s="32"/>
      <c r="H78" s="29"/>
      <c r="I78" s="30"/>
      <c r="J78" s="29"/>
      <c r="K78" s="33"/>
      <c r="L78" s="34"/>
      <c r="M78" s="34"/>
      <c r="N78" s="33"/>
      <c r="O78" s="27"/>
    </row>
    <row r="79" spans="1:15" ht="24" customHeight="1">
      <c r="A79" s="45"/>
      <c r="B79" s="27">
        <v>71</v>
      </c>
      <c r="C79" s="28"/>
      <c r="D79" s="32"/>
      <c r="E79" s="39"/>
      <c r="F79" s="39"/>
      <c r="G79" s="32"/>
      <c r="H79" s="29"/>
      <c r="I79" s="30"/>
      <c r="J79" s="29"/>
      <c r="K79" s="33"/>
      <c r="L79" s="34"/>
      <c r="M79" s="34"/>
      <c r="N79" s="33"/>
      <c r="O79" s="27"/>
    </row>
    <row r="80" spans="1:15" ht="24" customHeight="1">
      <c r="A80" s="45"/>
      <c r="B80" s="27">
        <v>72</v>
      </c>
      <c r="C80" s="28"/>
      <c r="D80" s="32"/>
      <c r="E80" s="39"/>
      <c r="F80" s="39"/>
      <c r="G80" s="32"/>
      <c r="H80" s="29"/>
      <c r="I80" s="30"/>
      <c r="J80" s="29"/>
      <c r="K80" s="33"/>
      <c r="L80" s="34"/>
      <c r="M80" s="34"/>
      <c r="N80" s="33"/>
      <c r="O80" s="27"/>
    </row>
    <row r="81" spans="1:15" ht="24" customHeight="1">
      <c r="A81" s="45"/>
      <c r="B81" s="27">
        <v>73</v>
      </c>
      <c r="C81" s="28"/>
      <c r="D81" s="32"/>
      <c r="E81" s="39"/>
      <c r="F81" s="39"/>
      <c r="G81" s="32"/>
      <c r="H81" s="29"/>
      <c r="I81" s="30"/>
      <c r="J81" s="29"/>
      <c r="K81" s="33"/>
      <c r="L81" s="34"/>
      <c r="M81" s="34"/>
      <c r="N81" s="33"/>
      <c r="O81" s="27"/>
    </row>
    <row r="82" spans="1:15" ht="24" customHeight="1">
      <c r="A82" s="45"/>
      <c r="B82" s="27">
        <v>74</v>
      </c>
      <c r="C82" s="28"/>
      <c r="D82" s="32"/>
      <c r="E82" s="39"/>
      <c r="F82" s="39"/>
      <c r="G82" s="32"/>
      <c r="H82" s="29"/>
      <c r="I82" s="30"/>
      <c r="J82" s="29"/>
      <c r="K82" s="33"/>
      <c r="L82" s="34"/>
      <c r="M82" s="34"/>
      <c r="N82" s="33"/>
      <c r="O82" s="27"/>
    </row>
    <row r="83" spans="1:15" ht="24" customHeight="1">
      <c r="A83" s="45"/>
      <c r="B83" s="27">
        <v>75</v>
      </c>
      <c r="C83" s="28"/>
      <c r="D83" s="32"/>
      <c r="E83" s="39"/>
      <c r="F83" s="39"/>
      <c r="G83" s="32"/>
      <c r="H83" s="29"/>
      <c r="I83" s="30"/>
      <c r="J83" s="29"/>
      <c r="K83" s="33"/>
      <c r="L83" s="34"/>
      <c r="M83" s="34"/>
      <c r="N83" s="33"/>
      <c r="O83" s="27"/>
    </row>
    <row r="84" spans="1:15" ht="24" customHeight="1">
      <c r="A84" s="45"/>
      <c r="B84" s="27">
        <v>76</v>
      </c>
      <c r="C84" s="28"/>
      <c r="D84" s="32"/>
      <c r="E84" s="39"/>
      <c r="F84" s="39"/>
      <c r="G84" s="32"/>
      <c r="H84" s="29"/>
      <c r="I84" s="30"/>
      <c r="J84" s="29"/>
      <c r="K84" s="33"/>
      <c r="L84" s="34"/>
      <c r="M84" s="34"/>
      <c r="N84" s="33"/>
      <c r="O84" s="27"/>
    </row>
    <row r="85" spans="1:15" ht="24" customHeight="1">
      <c r="A85" s="45"/>
      <c r="B85" s="27">
        <v>77</v>
      </c>
      <c r="C85" s="28"/>
      <c r="D85" s="32"/>
      <c r="E85" s="39"/>
      <c r="F85" s="39"/>
      <c r="G85" s="32"/>
      <c r="H85" s="29"/>
      <c r="I85" s="30"/>
      <c r="J85" s="29"/>
      <c r="K85" s="33"/>
      <c r="L85" s="34"/>
      <c r="M85" s="34"/>
      <c r="N85" s="33"/>
      <c r="O85" s="27"/>
    </row>
    <row r="86" spans="1:15" ht="24" customHeight="1">
      <c r="A86" s="45"/>
      <c r="B86" s="27">
        <v>78</v>
      </c>
      <c r="C86" s="28"/>
      <c r="D86" s="32"/>
      <c r="E86" s="39"/>
      <c r="F86" s="39"/>
      <c r="G86" s="32"/>
      <c r="H86" s="29"/>
      <c r="I86" s="30"/>
      <c r="J86" s="29"/>
      <c r="K86" s="33"/>
      <c r="L86" s="34"/>
      <c r="M86" s="34"/>
      <c r="N86" s="33"/>
      <c r="O86" s="27"/>
    </row>
    <row r="87" spans="1:15" ht="24" customHeight="1">
      <c r="A87" s="45"/>
      <c r="B87" s="27">
        <v>79</v>
      </c>
      <c r="C87" s="28"/>
      <c r="D87" s="32"/>
      <c r="E87" s="39"/>
      <c r="F87" s="39"/>
      <c r="G87" s="32"/>
      <c r="H87" s="29"/>
      <c r="I87" s="30"/>
      <c r="J87" s="29"/>
      <c r="K87" s="33"/>
      <c r="L87" s="34"/>
      <c r="M87" s="34"/>
      <c r="N87" s="33"/>
      <c r="O87" s="27"/>
    </row>
    <row r="88" spans="1:15" ht="24" customHeight="1">
      <c r="A88" s="45"/>
      <c r="B88" s="27">
        <v>80</v>
      </c>
      <c r="C88" s="28"/>
      <c r="D88" s="32"/>
      <c r="E88" s="39"/>
      <c r="F88" s="39"/>
      <c r="G88" s="32"/>
      <c r="H88" s="29"/>
      <c r="I88" s="30"/>
      <c r="J88" s="29"/>
      <c r="K88" s="33"/>
      <c r="L88" s="34"/>
      <c r="M88" s="34"/>
      <c r="N88" s="33"/>
      <c r="O88" s="27"/>
    </row>
    <row r="89" spans="1:15" ht="24" customHeight="1">
      <c r="A89" s="45"/>
      <c r="B89" s="27">
        <v>81</v>
      </c>
      <c r="C89" s="28"/>
      <c r="D89" s="32"/>
      <c r="E89" s="39"/>
      <c r="F89" s="39"/>
      <c r="G89" s="32"/>
      <c r="H89" s="29"/>
      <c r="I89" s="30"/>
      <c r="J89" s="29"/>
      <c r="K89" s="33"/>
      <c r="L89" s="34"/>
      <c r="M89" s="34"/>
      <c r="N89" s="33"/>
      <c r="O89" s="27"/>
    </row>
    <row r="90" spans="1:15" ht="24" customHeight="1">
      <c r="A90" s="45"/>
      <c r="B90" s="27">
        <v>82</v>
      </c>
      <c r="C90" s="28"/>
      <c r="D90" s="32"/>
      <c r="E90" s="39"/>
      <c r="F90" s="39"/>
      <c r="G90" s="32"/>
      <c r="H90" s="29"/>
      <c r="I90" s="30"/>
      <c r="J90" s="29"/>
      <c r="K90" s="33"/>
      <c r="L90" s="34"/>
      <c r="M90" s="34"/>
      <c r="N90" s="33"/>
      <c r="O90" s="27"/>
    </row>
    <row r="91" spans="1:15" ht="24" customHeight="1">
      <c r="A91" s="45"/>
      <c r="B91" s="27">
        <v>83</v>
      </c>
      <c r="C91" s="28"/>
      <c r="D91" s="32"/>
      <c r="E91" s="39"/>
      <c r="F91" s="39"/>
      <c r="G91" s="32"/>
      <c r="H91" s="29"/>
      <c r="I91" s="30"/>
      <c r="J91" s="29"/>
      <c r="K91" s="33"/>
      <c r="L91" s="34"/>
      <c r="M91" s="34"/>
      <c r="N91" s="33"/>
      <c r="O91" s="27"/>
    </row>
    <row r="92" spans="1:15" ht="24" customHeight="1">
      <c r="A92" s="45"/>
      <c r="B92" s="27">
        <v>84</v>
      </c>
      <c r="C92" s="28"/>
      <c r="D92" s="32"/>
      <c r="E92" s="39"/>
      <c r="F92" s="39"/>
      <c r="G92" s="32"/>
      <c r="H92" s="29"/>
      <c r="I92" s="30"/>
      <c r="J92" s="29"/>
      <c r="K92" s="33"/>
      <c r="L92" s="34"/>
      <c r="M92" s="34"/>
      <c r="N92" s="33"/>
      <c r="O92" s="27"/>
    </row>
    <row r="93" spans="1:15" ht="24" customHeight="1">
      <c r="A93" s="45"/>
      <c r="B93" s="27">
        <v>85</v>
      </c>
      <c r="C93" s="28"/>
      <c r="D93" s="32"/>
      <c r="E93" s="39"/>
      <c r="F93" s="39"/>
      <c r="G93" s="32"/>
      <c r="H93" s="29"/>
      <c r="I93" s="30"/>
      <c r="J93" s="29"/>
      <c r="K93" s="33"/>
      <c r="L93" s="34"/>
      <c r="M93" s="34"/>
      <c r="N93" s="33"/>
      <c r="O93" s="27"/>
    </row>
    <row r="94" spans="1:15" ht="24" customHeight="1">
      <c r="A94" s="45"/>
      <c r="B94" s="27">
        <v>86</v>
      </c>
      <c r="C94" s="28"/>
      <c r="D94" s="32"/>
      <c r="E94" s="39"/>
      <c r="F94" s="39"/>
      <c r="G94" s="32"/>
      <c r="H94" s="29"/>
      <c r="I94" s="30"/>
      <c r="J94" s="29"/>
      <c r="K94" s="33"/>
      <c r="L94" s="34"/>
      <c r="M94" s="34"/>
      <c r="N94" s="33"/>
      <c r="O94" s="27"/>
    </row>
    <row r="95" spans="1:15" ht="24" customHeight="1">
      <c r="A95" s="45"/>
      <c r="B95" s="27">
        <v>87</v>
      </c>
      <c r="C95" s="28"/>
      <c r="D95" s="32"/>
      <c r="E95" s="39"/>
      <c r="F95" s="39"/>
      <c r="G95" s="32"/>
      <c r="H95" s="29"/>
      <c r="I95" s="30"/>
      <c r="J95" s="29"/>
      <c r="K95" s="33"/>
      <c r="L95" s="34"/>
      <c r="M95" s="34"/>
      <c r="N95" s="33"/>
      <c r="O95" s="27"/>
    </row>
    <row r="96" spans="1:15" ht="24" customHeight="1">
      <c r="A96" s="45"/>
      <c r="B96" s="27">
        <v>88</v>
      </c>
      <c r="C96" s="28"/>
      <c r="D96" s="32"/>
      <c r="E96" s="39"/>
      <c r="F96" s="39"/>
      <c r="G96" s="32"/>
      <c r="H96" s="29"/>
      <c r="I96" s="30"/>
      <c r="J96" s="29"/>
      <c r="K96" s="33"/>
      <c r="L96" s="34"/>
      <c r="M96" s="34"/>
      <c r="N96" s="33"/>
      <c r="O96" s="27"/>
    </row>
    <row r="97" spans="1:15" ht="24" customHeight="1">
      <c r="A97" s="45"/>
      <c r="B97" s="27">
        <v>89</v>
      </c>
      <c r="C97" s="28"/>
      <c r="D97" s="32"/>
      <c r="E97" s="39"/>
      <c r="F97" s="39"/>
      <c r="G97" s="32"/>
      <c r="H97" s="29"/>
      <c r="I97" s="30"/>
      <c r="J97" s="29"/>
      <c r="K97" s="33"/>
      <c r="L97" s="34"/>
      <c r="M97" s="34"/>
      <c r="N97" s="33"/>
      <c r="O97" s="27"/>
    </row>
    <row r="98" spans="1:15" ht="24" customHeight="1">
      <c r="A98" s="45"/>
      <c r="B98" s="27">
        <v>90</v>
      </c>
      <c r="C98" s="28"/>
      <c r="D98" s="32"/>
      <c r="E98" s="39"/>
      <c r="F98" s="39"/>
      <c r="G98" s="32"/>
      <c r="H98" s="29"/>
      <c r="I98" s="30"/>
      <c r="J98" s="29"/>
      <c r="K98" s="33"/>
      <c r="L98" s="34"/>
      <c r="M98" s="34"/>
      <c r="N98" s="33"/>
      <c r="O98" s="27"/>
    </row>
    <row r="99" spans="1:15" ht="24" customHeight="1">
      <c r="A99" s="45"/>
      <c r="B99" s="27">
        <v>91</v>
      </c>
      <c r="C99" s="28"/>
      <c r="D99" s="32"/>
      <c r="E99" s="39"/>
      <c r="F99" s="39"/>
      <c r="G99" s="32"/>
      <c r="H99" s="29"/>
      <c r="I99" s="30"/>
      <c r="J99" s="29"/>
      <c r="K99" s="33"/>
      <c r="L99" s="34"/>
      <c r="M99" s="34"/>
      <c r="N99" s="33"/>
      <c r="O99" s="27"/>
    </row>
    <row r="100" spans="1:15" ht="24" customHeight="1">
      <c r="A100" s="45"/>
      <c r="B100" s="27">
        <v>92</v>
      </c>
      <c r="C100" s="28"/>
      <c r="D100" s="32"/>
      <c r="E100" s="39"/>
      <c r="F100" s="39"/>
      <c r="G100" s="32"/>
      <c r="H100" s="29"/>
      <c r="I100" s="30"/>
      <c r="J100" s="29"/>
      <c r="K100" s="33"/>
      <c r="L100" s="34"/>
      <c r="M100" s="34"/>
      <c r="N100" s="33"/>
      <c r="O100" s="27"/>
    </row>
    <row r="101" spans="1:15" ht="24" customHeight="1">
      <c r="A101" s="45"/>
      <c r="B101" s="27">
        <v>93</v>
      </c>
      <c r="C101" s="28"/>
      <c r="D101" s="32"/>
      <c r="E101" s="39"/>
      <c r="F101" s="39"/>
      <c r="G101" s="32"/>
      <c r="H101" s="29"/>
      <c r="I101" s="30"/>
      <c r="J101" s="29"/>
      <c r="K101" s="33"/>
      <c r="L101" s="34"/>
      <c r="M101" s="34"/>
      <c r="N101" s="33"/>
      <c r="O101" s="27"/>
    </row>
    <row r="102" spans="1:15" ht="24" customHeight="1">
      <c r="A102" s="45"/>
      <c r="B102" s="27">
        <v>94</v>
      </c>
      <c r="C102" s="28"/>
      <c r="D102" s="32"/>
      <c r="E102" s="39"/>
      <c r="F102" s="39"/>
      <c r="G102" s="32"/>
      <c r="H102" s="29"/>
      <c r="I102" s="30"/>
      <c r="J102" s="29"/>
      <c r="K102" s="33"/>
      <c r="L102" s="34"/>
      <c r="M102" s="34"/>
      <c r="N102" s="33"/>
      <c r="O102" s="27"/>
    </row>
    <row r="103" spans="1:15" ht="24" customHeight="1">
      <c r="A103" s="45"/>
      <c r="B103" s="27">
        <v>95</v>
      </c>
      <c r="C103" s="28"/>
      <c r="D103" s="32"/>
      <c r="E103" s="39"/>
      <c r="F103" s="47"/>
      <c r="G103" s="32"/>
      <c r="H103" s="29"/>
      <c r="I103" s="30"/>
      <c r="J103" s="29"/>
      <c r="K103" s="33"/>
      <c r="L103" s="34"/>
      <c r="M103" s="34"/>
      <c r="N103" s="33"/>
      <c r="O103" s="27"/>
    </row>
    <row r="104" spans="1:15" ht="24" customHeight="1">
      <c r="A104" s="45"/>
      <c r="B104" s="27">
        <v>96</v>
      </c>
      <c r="C104" s="28"/>
      <c r="D104" s="32"/>
      <c r="E104" s="39"/>
      <c r="F104" s="39"/>
      <c r="G104" s="32"/>
      <c r="H104" s="29"/>
      <c r="I104" s="30"/>
      <c r="J104" s="29"/>
      <c r="K104" s="33"/>
      <c r="L104" s="34"/>
      <c r="M104" s="34"/>
      <c r="N104" s="33"/>
      <c r="O104" s="27"/>
    </row>
    <row r="105" spans="1:15" ht="24" customHeight="1">
      <c r="A105" s="45"/>
      <c r="B105" s="27">
        <v>97</v>
      </c>
      <c r="C105" s="28"/>
      <c r="D105" s="32"/>
      <c r="E105" s="39"/>
      <c r="F105" s="39"/>
      <c r="G105" s="32"/>
      <c r="H105" s="29"/>
      <c r="I105" s="30"/>
      <c r="J105" s="29"/>
      <c r="K105" s="33"/>
      <c r="L105" s="34"/>
      <c r="M105" s="34"/>
      <c r="N105" s="33"/>
      <c r="O105" s="27"/>
    </row>
    <row r="106" spans="1:15" ht="24" customHeight="1">
      <c r="A106" s="45"/>
      <c r="B106" s="27">
        <v>98</v>
      </c>
      <c r="C106" s="28"/>
      <c r="D106" s="32"/>
      <c r="E106" s="39"/>
      <c r="F106" s="39"/>
      <c r="G106" s="32"/>
      <c r="H106" s="29"/>
      <c r="I106" s="30"/>
      <c r="J106" s="29"/>
      <c r="K106" s="33"/>
      <c r="L106" s="34"/>
      <c r="M106" s="34"/>
      <c r="N106" s="33"/>
      <c r="O106" s="27"/>
    </row>
    <row r="107" spans="1:15" ht="24" customHeight="1">
      <c r="A107" s="45"/>
      <c r="B107" s="27">
        <v>99</v>
      </c>
      <c r="C107" s="28"/>
      <c r="D107" s="32"/>
      <c r="E107" s="39"/>
      <c r="F107" s="39"/>
      <c r="G107" s="32"/>
      <c r="H107" s="29"/>
      <c r="I107" s="30"/>
      <c r="J107" s="29"/>
      <c r="K107" s="33"/>
      <c r="L107" s="34"/>
      <c r="M107" s="34"/>
      <c r="N107" s="33"/>
      <c r="O107" s="27"/>
    </row>
    <row r="108" spans="1:15" ht="24" customHeight="1">
      <c r="A108" s="45"/>
      <c r="B108" s="27">
        <v>100</v>
      </c>
      <c r="C108" s="28"/>
      <c r="D108" s="32"/>
      <c r="E108" s="39"/>
      <c r="F108" s="39"/>
      <c r="G108" s="32"/>
      <c r="H108" s="29"/>
      <c r="I108" s="30"/>
      <c r="J108" s="29"/>
      <c r="K108" s="33"/>
      <c r="L108" s="34"/>
      <c r="M108" s="34"/>
      <c r="N108" s="33"/>
      <c r="O108" s="27"/>
    </row>
  </sheetData>
  <autoFilter ref="B8:O108" xr:uid="{00000000-0009-0000-0000-000001000000}">
    <filterColumn colId="13">
      <filters blank="1"/>
    </filterColumn>
  </autoFilter>
  <mergeCells count="8">
    <mergeCell ref="B5:C6"/>
    <mergeCell ref="D5:E6"/>
    <mergeCell ref="I5:J6"/>
    <mergeCell ref="B2:C2"/>
    <mergeCell ref="D2:O2"/>
    <mergeCell ref="B3:C4"/>
    <mergeCell ref="D3:E4"/>
    <mergeCell ref="I3:J4"/>
  </mergeCells>
  <conditionalFormatting sqref="H9:I108">
    <cfRule type="cellIs" dxfId="4" priority="1" operator="equal">
      <formula>"Completa/Concluído"</formula>
    </cfRule>
    <cfRule type="cellIs" dxfId="3" priority="2" operator="equal">
      <formula>"Planeada/Planejada"</formula>
    </cfRule>
    <cfRule type="cellIs" dxfId="2" priority="3" operator="equal">
      <formula>"En Curso/Andamento"</formula>
    </cfRule>
    <cfRule type="cellIs" dxfId="1" priority="4" operator="equal">
      <formula>"Retardo/Atrasada"</formula>
    </cfRule>
    <cfRule type="cellIs" dxfId="0" priority="5" operator="equal">
      <formula>"Cancelada"</formula>
    </cfRule>
  </conditionalFormatting>
  <dataValidations disablePrompts="1" count="5">
    <dataValidation type="list" allowBlank="1" sqref="I9:I108" xr:uid="{00000000-0002-0000-0100-000000000000}">
      <formula1>"Planeada/Planejada,En Curso/Andamento,Retardo/Atrasada,Completa/Concluído,Cancelada"</formula1>
    </dataValidation>
    <dataValidation type="list" allowBlank="1" showErrorMessage="1" sqref="O9:O108" xr:uid="{00000000-0002-0000-0100-000001000000}">
      <formula1>"Eficaz,Não Eficaz,Parcialmente Eficaz"</formula1>
    </dataValidation>
    <dataValidation type="list" allowBlank="1" showErrorMessage="1" sqref="H9:H108" xr:uid="{00000000-0002-0000-0100-000002000000}">
      <formula1>"Preventiva,Corretiva"</formula1>
    </dataValidation>
    <dataValidation type="list" allowBlank="1" sqref="J9:J108" xr:uid="{00000000-0002-0000-0100-000003000000}">
      <formula1>"Y,N"</formula1>
    </dataValidation>
    <dataValidation type="list" allowBlank="1" showErrorMessage="1" sqref="C9:C108" xr:uid="{00000000-0002-0000-0100-000004000000}">
      <formula1>"GMR,Techno Club,Assessment,PCP,Outros,QMS,Melhoria,Qualidade,Atendimento"</formula1>
    </dataValidation>
  </dataValidations>
  <pageMargins left="0.7" right="0.7" top="0.75" bottom="0.75" header="0" footer="0"/>
  <pageSetup orientation="landscape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56bdc-396d-4620-999e-f0bc34c60f92" xsi:nil="true"/>
    <lcf76f155ced4ddcb4097134ff3c332f xmlns="786710cf-db93-43eb-8436-a18dae16cd0e">
      <Terms xmlns="http://schemas.microsoft.com/office/infopath/2007/PartnerControls"/>
    </lcf76f155ced4ddcb4097134ff3c332f>
    <SharedWithUsers xmlns="c7b56bdc-396d-4620-999e-f0bc34c60f9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2497F9E1AC8A4EAC92ECBC176BFE35" ma:contentTypeVersion="25" ma:contentTypeDescription="Create a new document." ma:contentTypeScope="" ma:versionID="b3b455ab15f74affea7e0fc750ac0ea5">
  <xsd:schema xmlns:xsd="http://www.w3.org/2001/XMLSchema" xmlns:xs="http://www.w3.org/2001/XMLSchema" xmlns:p="http://schemas.microsoft.com/office/2006/metadata/properties" xmlns:ns2="786710cf-db93-43eb-8436-a18dae16cd0e" xmlns:ns3="c7b56bdc-396d-4620-999e-f0bc34c60f92" targetNamespace="http://schemas.microsoft.com/office/2006/metadata/properties" ma:root="true" ma:fieldsID="4665d01c2c7f3d0170356c041b4cc515" ns2:_="" ns3:_="">
    <xsd:import namespace="786710cf-db93-43eb-8436-a18dae16cd0e"/>
    <xsd:import namespace="c7b56bdc-396d-4620-999e-f0bc34c60f92"/>
    <xsd:element name="properties">
      <xsd:complexType>
        <xsd:sequence>
          <xsd:element name="documentManagement">
            <xsd:complexType>
              <xsd:all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2:MediaService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710cf-db93-43eb-8436-a18dae16cd0e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7" nillable="true" ma:taxonomy="true" ma:internalName="lcf76f155ced4ddcb4097134ff3c332f" ma:taxonomyFieldName="MediaServiceImageTags" ma:displayName="Image Tags" ma:readOnly="false" ma:fieldId="{5cf76f15-5ced-4ddc-b409-7134ff3c332f}" ma:taxonomyMulti="true" ma:sspId="029e37f2-6469-464b-a75a-0b705c5d6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9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hidden="true" ma:indexed="true" ma:internalName="MediaServiceLocatio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56bdc-396d-4620-999e-f0bc34c60f92" elementFormDefault="qualified">
    <xsd:import namespace="http://schemas.microsoft.com/office/2006/documentManagement/types"/>
    <xsd:import namespace="http://schemas.microsoft.com/office/infopath/2007/PartnerControls"/>
    <xsd:element name="SharedWithUsers" ma:index="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8" nillable="true" ma:displayName="Taxonomy Catch All Column" ma:hidden="true" ma:list="{fb1d0b8f-f0b0-4617-9fb7-1ac6a4b17de9}" ma:internalName="TaxCatchAll" ma:readOnly="false" ma:showField="CatchAllData" ma:web="c7b56bdc-396d-4620-999e-f0bc34c60f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B68944-4261-4491-819C-30EE2E9D8FF7}"/>
</file>

<file path=customXml/itemProps2.xml><?xml version="1.0" encoding="utf-8"?>
<ds:datastoreItem xmlns:ds="http://schemas.openxmlformats.org/officeDocument/2006/customXml" ds:itemID="{A8BBE809-FE2F-4DA3-A268-3CEC9D8D9E0B}"/>
</file>

<file path=customXml/itemProps3.xml><?xml version="1.0" encoding="utf-8"?>
<ds:datastoreItem xmlns:ds="http://schemas.openxmlformats.org/officeDocument/2006/customXml" ds:itemID="{718C0EB7-A4F0-4B7C-AD6D-665898AD7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SILVA Vinicius</cp:lastModifiedBy>
  <cp:revision/>
  <dcterms:created xsi:type="dcterms:W3CDTF">2024-04-23T15:20:09Z</dcterms:created>
  <dcterms:modified xsi:type="dcterms:W3CDTF">2026-01-21T11:59:11Z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0x0101004E2497F9E1AC8A4EAC92ECBC176BFE35</vt:lpwstr>
  </property>
  <property fmtid="{D5CDD505-2E9C-101B-9397-08002B2CF9AE}" pid="3" name="Order">
    <vt:r8>771200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  <property fmtid="{D5CDD505-2E9C-101B-9397-08002B2CF9AE}" pid="13" name="MSIP_Label_2e9a4386-74b9-4603-ae20-950a659f9b6e_Enabled">
    <vt:lpwstr>true</vt:lpwstr>
  </property>
  <property fmtid="{D5CDD505-2E9C-101B-9397-08002B2CF9AE}" pid="14" name="MSIP_Label_2e9a4386-74b9-4603-ae20-950a659f9b6e_SetDate">
    <vt:lpwstr>2024-06-27T13:44:16Z</vt:lpwstr>
  </property>
  <property fmtid="{D5CDD505-2E9C-101B-9397-08002B2CF9AE}" pid="15" name="MSIP_Label_2e9a4386-74b9-4603-ae20-950a659f9b6e_Method">
    <vt:lpwstr>Standard</vt:lpwstr>
  </property>
  <property fmtid="{D5CDD505-2E9C-101B-9397-08002B2CF9AE}" pid="16" name="MSIP_Label_2e9a4386-74b9-4603-ae20-950a659f9b6e_Name">
    <vt:lpwstr>Internal Use Only</vt:lpwstr>
  </property>
  <property fmtid="{D5CDD505-2E9C-101B-9397-08002B2CF9AE}" pid="17" name="MSIP_Label_2e9a4386-74b9-4603-ae20-950a659f9b6e_SiteId">
    <vt:lpwstr>c7d1a8f7-0546-4a0c-8cf5-3ddaebf97d51</vt:lpwstr>
  </property>
  <property fmtid="{D5CDD505-2E9C-101B-9397-08002B2CF9AE}" pid="18" name="MSIP_Label_2e9a4386-74b9-4603-ae20-950a659f9b6e_ActionId">
    <vt:lpwstr>81e0de97-b739-4f1b-a8be-4379c169e412</vt:lpwstr>
  </property>
  <property fmtid="{D5CDD505-2E9C-101B-9397-08002B2CF9AE}" pid="19" name="MSIP_Label_2e9a4386-74b9-4603-ae20-950a659f9b6e_ContentBits">
    <vt:lpwstr>0</vt:lpwstr>
  </property>
</Properties>
</file>