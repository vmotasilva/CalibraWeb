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dia/image4.bin" ContentType="image/png"/>
  <Override PartName="/xl/media/image5.bin" ContentType="image/png"/>
  <Override PartName="/xl/media/image6.bin" ContentType="image/png"/>
  <Override PartName="/xl/media/image7.bin" ContentType="image/png"/>
  <Override PartName="/xl/media/image8.bin" ContentType="image/png"/>
  <Override PartName="/xl/media/image9.bin" ContentType="image/png"/>
  <Override PartName="/xl/media/image10.bin" ContentType="image/png"/>
  <Override PartName="/xl/media/image11.bin" ContentType="image/png"/>
  <Override PartName="/xl/media/image12.bin" ContentType="image/png"/>
  <Override PartName="/xl/media/image13.bin" ContentType="image/png"/>
  <Override PartName="/xl/media/image14.bin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yujamenj\Downloads\"/>
    </mc:Choice>
  </mc:AlternateContent>
  <xr:revisionPtr revIDLastSave="314" documentId="8_{6B089931-2F6E-4B1B-A1D7-10F67631C23A}" xr6:coauthVersionLast="47" xr6:coauthVersionMax="47" xr10:uidLastSave="{D7A46F34-D1BA-467A-AB69-40F9E8AE30CC}"/>
  <bookViews>
    <workbookView xWindow="0" yWindow="0" windowWidth="17256" windowHeight="5640" firstSheet="4" xr2:uid="{00000000-000D-0000-FFFF-FFFF00000000}"/>
  </bookViews>
  <sheets>
    <sheet name="A3" sheetId="1" r:id="rId1"/>
    <sheet name="Config N° A3" sheetId="2" r:id="rId2"/>
    <sheet name="Fluxograma" sheetId="3" r:id="rId3"/>
    <sheet name="Brainstorming" sheetId="4" r:id="rId4"/>
    <sheet name="Diagrama de Ishikawa (Espinha d" sheetId="5" r:id="rId5"/>
    <sheet name="5 Porquês" sheetId="6" r:id="rId6"/>
    <sheet name="Gráfico de Pareto" sheetId="7" r:id="rId7"/>
    <sheet name="Check List (Folha de Verificaçã" sheetId="8" r:id="rId8"/>
    <sheet name="Gráfico Geral" sheetId="9" r:id="rId9"/>
    <sheet name="Carta de Tendência" sheetId="10" r:id="rId10"/>
    <sheet name="Antes x Depois" sheetId="11" r:id="rId11"/>
  </sheets>
  <externalReferences>
    <externalReference r:id="rId12"/>
    <externalReference r:id="rId13"/>
  </externalReferences>
  <definedNames>
    <definedName name="a">#REF!</definedName>
    <definedName name="_xlnm.Print_Area" localSheetId="0">'A3'!$A$1:$P$49</definedName>
    <definedName name="_xlnm.Print_Area" localSheetId="3">Brainstorming!$A$1:$Z$47</definedName>
    <definedName name="_xlnm.Print_Area" localSheetId="9">'Carta de Tendência'!$A$1:$V$23</definedName>
    <definedName name="_xlnm.Print_Area" localSheetId="1">'Config N° A3'!$A$1:$H$30</definedName>
    <definedName name="_xlnm.Print_Area" localSheetId="4">'Diagrama de Ishikawa (Espinha d'!$B$1:$AY$35</definedName>
    <definedName name="_xlnm.Print_Area" localSheetId="2">Fluxograma!$A$1:$S$36</definedName>
    <definedName name="_xlnm.Print_Area" localSheetId="8">'Gráfico Geral'!$A$1:$K$16</definedName>
    <definedName name="b">#REF!</definedName>
    <definedName name="Home_CE1">#REF!</definedName>
    <definedName name="Order">#REF!</definedName>
    <definedName name="Order1">#REF!</definedName>
    <definedName name="Order2">#REF!</definedName>
    <definedName name="Wayout_CE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D7" i="7"/>
  <c r="D8" i="7"/>
  <c r="D9" i="7"/>
  <c r="D10" i="7"/>
  <c r="D11" i="7"/>
  <c r="D12" i="7"/>
  <c r="D13" i="7"/>
  <c r="D14" i="7"/>
  <c r="D6" i="7"/>
  <c r="F23" i="1"/>
  <c r="F22" i="1"/>
  <c r="F21" i="1"/>
  <c r="F20" i="1"/>
  <c r="E7" i="7" l="1"/>
  <c r="E8" i="7"/>
  <c r="E9" i="7"/>
  <c r="E10" i="7"/>
  <c r="E11" i="7"/>
  <c r="E12" i="7"/>
  <c r="E13" i="7"/>
  <c r="E14" i="7"/>
  <c r="E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5" authorId="0" shapeId="0" xr:uid="{00000000-0006-0000-0000-000001000000}">
      <text>
        <r>
          <rPr>
            <sz val="11"/>
            <color theme="1"/>
            <rFont val="Calibri"/>
            <scheme val="minor"/>
          </rPr>
          <t>Primeiro deadline definido
Primer deadline definido</t>
        </r>
      </text>
    </comment>
    <comment ref="K25" authorId="0" shapeId="0" xr:uid="{00000000-0006-0000-0000-000002000000}">
      <text>
        <r>
          <rPr>
            <sz val="11"/>
            <color theme="1"/>
            <rFont val="Calibri"/>
            <scheme val="minor"/>
          </rPr>
          <t xml:space="preserve">Último deadline definido
</t>
        </r>
      </text>
    </comment>
    <comment ref="H27" authorId="0" shapeId="0" xr:uid="{00000000-0006-0000-0000-000003000000}">
      <text>
        <r>
          <rPr>
            <sz val="11"/>
            <color theme="1"/>
            <rFont val="Calibri"/>
            <scheme val="minor"/>
          </rPr>
          <t xml:space="preserve">Y = YES, é prioridade (es prioridad)
N = NO, não é prioridade (no es prioridad)
</t>
        </r>
      </text>
    </comment>
  </commentList>
</comments>
</file>

<file path=xl/sharedStrings.xml><?xml version="1.0" encoding="utf-8"?>
<sst xmlns="http://schemas.openxmlformats.org/spreadsheetml/2006/main" count="288" uniqueCount="214">
  <si>
    <t>A3</t>
  </si>
  <si>
    <t>Problema:</t>
  </si>
  <si>
    <t>Ponto de HC</t>
  </si>
  <si>
    <t>A3 Nº:</t>
  </si>
  <si>
    <t>Laboratório:</t>
  </si>
  <si>
    <t>LabRio</t>
  </si>
  <si>
    <t>A.ANALISAR (Utilize pelo menos 01 Ferramenta da Qualidade)</t>
  </si>
  <si>
    <t>Data:</t>
  </si>
  <si>
    <t>Líder do Projeto:</t>
  </si>
  <si>
    <t>Mariana Carreiras</t>
  </si>
  <si>
    <t>Ferramentas de Qualidade utilizadas:</t>
  </si>
  <si>
    <t>Fluxograma</t>
  </si>
  <si>
    <t>5 Porquês</t>
  </si>
  <si>
    <t>Gráfico Geral</t>
  </si>
  <si>
    <t>Participantes:</t>
  </si>
  <si>
    <t>Mariana Carreiras / Renan Pequeno / Adriana Bandeira / Deyved da Silva/ Felipe Peixoto</t>
  </si>
  <si>
    <t>Brainstorming</t>
  </si>
  <si>
    <t>Gráfico de Pareto</t>
  </si>
  <si>
    <t>Carta de Tendência</t>
  </si>
  <si>
    <t xml:space="preserve"> HISTÓRICO / IMPORTÂNCIA</t>
  </si>
  <si>
    <t>Diagrama de Ishikawa</t>
  </si>
  <si>
    <t>Check List</t>
  </si>
  <si>
    <t>Antez x Depois</t>
  </si>
  <si>
    <t xml:space="preserve">Retrabalho no processos de HC, é algo que acontece na rotina do laboratório. Conforme itens de Fundamentals validado pelo time do STL, é permitido que seja realizado um retrabalho em lentes com defeitos que podem ser reparados com o retrabalho. 
O que acontece na prático do dia a dia, é que uma mesma lente acaba por retrabalhar mais de uma vez, logo, não complaince com o padrão definido. 
Dessa forma, foi criado um cronograma de ações, de forma a eliminar o segundo retrabalho do HC, atendendo a data prevista de 15/fev. 
Como parte deste cronomograma, esse A3 foi construído, para eliminar a causa raiz do principal motivo de retrabalho, garantindo uma primeira passagem mais eficiente. </t>
  </si>
  <si>
    <t>Observações Importantes:</t>
  </si>
  <si>
    <t>PONTO DE HC representa em 70% o motivo para o primeiro retrabalho. Não é possível, pelos dados , entender o principal motivo para o seguno retrabalho. Entendendo que a lente precisa sair certa de primeira vez, este modo de falha será investigado.</t>
  </si>
  <si>
    <t>D. DEFINIR</t>
  </si>
  <si>
    <t>I. IMPLEMENTAR (Plano de Ação)</t>
  </si>
  <si>
    <t>Objetivo deste A3, é definir ação corretivas e preventivas para o problema de PONTO DE HC, que representa em média 70% dos motivos de retrabalho sendo ele o maior ofensor do retrabalho dentro do HC.</t>
  </si>
  <si>
    <t>AÇÃO | ACCIÓN</t>
  </si>
  <si>
    <t>RESPONSÁVEL</t>
  </si>
  <si>
    <r>
      <rPr>
        <b/>
        <sz val="8"/>
        <color theme="1"/>
        <rFont val="Verdana"/>
        <family val="2"/>
      </rPr>
      <t xml:space="preserve">1° Deadline
</t>
    </r>
    <r>
      <rPr>
        <b/>
        <sz val="8"/>
        <color theme="1"/>
        <rFont val="Verdana"/>
        <family val="2"/>
      </rPr>
      <t>Atualizado (Actualizado)</t>
    </r>
  </si>
  <si>
    <r>
      <rPr>
        <b/>
        <sz val="8"/>
        <color theme="1"/>
        <rFont val="Verdana"/>
        <family val="2"/>
      </rPr>
      <t xml:space="preserve">Deadline
</t>
    </r>
    <r>
      <rPr>
        <b/>
        <sz val="8"/>
        <color theme="1"/>
        <rFont val="Verdana"/>
        <family val="2"/>
      </rPr>
      <t>Atualizado (Actualizado)</t>
    </r>
  </si>
  <si>
    <t>COMENTÁRIOS</t>
  </si>
  <si>
    <t>Ação Eficaz | Acción Eficaz?</t>
  </si>
  <si>
    <t>Descrição | Descripción</t>
  </si>
  <si>
    <t>Status</t>
  </si>
  <si>
    <t>Prioridad</t>
  </si>
  <si>
    <t>Quem|Quién?</t>
  </si>
  <si>
    <t>Quando| Cuando</t>
  </si>
  <si>
    <t>Sim</t>
  </si>
  <si>
    <t>Não</t>
  </si>
  <si>
    <t>Parcialmente</t>
  </si>
  <si>
    <t>Segregar lentes com pontos para classificação. Identificar caracteristicas e entender origem dos mesmos. 
14/jan , 09h-10h, lentes com pontos pós D20.</t>
  </si>
  <si>
    <t>Completa / Concluído</t>
  </si>
  <si>
    <t>Y</t>
  </si>
  <si>
    <t>Mariana / Jéssica</t>
  </si>
  <si>
    <t xml:space="preserve">Obejtivo é coletar as lentes fisicamente </t>
  </si>
  <si>
    <t>M. MEDIR (Estado Atual / "Anterior")</t>
  </si>
  <si>
    <t xml:space="preserve">Avaliar as cubas da D20, procurando por furos nas cubas que podem gerar ar no processo. </t>
  </si>
  <si>
    <t>Planeada / Planejada</t>
  </si>
  <si>
    <t xml:space="preserve">Felipe </t>
  </si>
  <si>
    <t>D9 - ok</t>
  </si>
  <si>
    <t> </t>
  </si>
  <si>
    <t>Avaliar eficiência das bombas das máquinas D's.</t>
  </si>
  <si>
    <t>D9 -ok</t>
  </si>
  <si>
    <t xml:space="preserve">Foi enviada para análise uma amostra da água abrandada (coletada na caixa de água) para analise de qualidade, procurando saber a eficiência do abrandador. </t>
  </si>
  <si>
    <t>En Curso / Andamento</t>
  </si>
  <si>
    <t>N</t>
  </si>
  <si>
    <t xml:space="preserve">Fazer uma nova coleta e amostra da água abrandada para comparar com resultado da ánálise da água da caixa de água. </t>
  </si>
  <si>
    <t>Avaliar com qualidade o motivo da não calibração do sensor de resina. O mesmo escontra-se vencido.
Recalibrar o sensor.</t>
  </si>
  <si>
    <t>Retardo / Atrasada</t>
  </si>
  <si>
    <t>Mariana</t>
  </si>
  <si>
    <t>Fluxo das cubas de químicos deve estar no nominal, sendo 10L/Min.
Fluxo das cubas da água DI, 7,5L/min e no painel da DI deve ser 450L/hora.</t>
  </si>
  <si>
    <t>y</t>
  </si>
  <si>
    <t>Jéssica</t>
  </si>
  <si>
    <t xml:space="preserve">Avaliação das lentes com padrão cosmético. </t>
  </si>
  <si>
    <t>Comprar timer para complemento do J2L9</t>
  </si>
  <si>
    <t>Realizar a troca do filtro do verniz mensalmente como definido no PCP</t>
  </si>
  <si>
    <t>Retirar verniz da máquina para domingo, aproveitar para limpar cubas e filtro.</t>
  </si>
  <si>
    <t>C. CONTROLE (Resutados)</t>
  </si>
  <si>
    <t>Configuração do N° do A3</t>
  </si>
  <si>
    <t>Laboratório</t>
  </si>
  <si>
    <t xml:space="preserve">Sigla </t>
  </si>
  <si>
    <t xml:space="preserve">Númeração Sequêncial </t>
  </si>
  <si>
    <t>Ceditop</t>
  </si>
  <si>
    <t>CED</t>
  </si>
  <si>
    <t>001 a 999</t>
  </si>
  <si>
    <t>Coating CE</t>
  </si>
  <si>
    <t>MCE</t>
  </si>
  <si>
    <t>Coating DF</t>
  </si>
  <si>
    <t>MDF</t>
  </si>
  <si>
    <t>Coating MG</t>
  </si>
  <si>
    <t>MMG</t>
  </si>
  <si>
    <t>Número do A3</t>
  </si>
  <si>
    <t>Coating PR</t>
  </si>
  <si>
    <t>MPR</t>
  </si>
  <si>
    <r>
      <t xml:space="preserve">FOR.114.R1: Formulário A3 - Método para Solução de Problemas - </t>
    </r>
    <r>
      <rPr>
        <b/>
        <sz val="12"/>
        <color rgb="FF0000CC"/>
        <rFont val="Calibri"/>
        <family val="2"/>
      </rPr>
      <t>Sigla Laboratório</t>
    </r>
    <r>
      <rPr>
        <b/>
        <sz val="12"/>
        <color theme="1"/>
        <rFont val="Calibri"/>
        <family val="2"/>
      </rPr>
      <t xml:space="preserve">. </t>
    </r>
    <r>
      <rPr>
        <b/>
        <sz val="12"/>
        <color rgb="FF00B050"/>
        <rFont val="Calibri"/>
        <family val="2"/>
      </rPr>
      <t>Numeração Sequencial</t>
    </r>
  </si>
  <si>
    <t>Coating RS</t>
  </si>
  <si>
    <t>MRS</t>
  </si>
  <si>
    <t>Coating SP</t>
  </si>
  <si>
    <t>MSP</t>
  </si>
  <si>
    <t>Comópticos</t>
  </si>
  <si>
    <t>COM</t>
  </si>
  <si>
    <t>Comprol</t>
  </si>
  <si>
    <t>COP</t>
  </si>
  <si>
    <t>Exemplo:</t>
  </si>
  <si>
    <t>Digitop</t>
  </si>
  <si>
    <t>DIG</t>
  </si>
  <si>
    <t>FOR.114.R1: Formulário A3 - Método para Solução de Problemas - QBR.001</t>
  </si>
  <si>
    <t>Embrapol Sul PR</t>
  </si>
  <si>
    <t>EPR</t>
  </si>
  <si>
    <t>Embrapol Sul RS</t>
  </si>
  <si>
    <t>ERS</t>
  </si>
  <si>
    <t>Farol</t>
  </si>
  <si>
    <t>FAR</t>
  </si>
  <si>
    <t>Grown</t>
  </si>
  <si>
    <t>YTT</t>
  </si>
  <si>
    <t>Lab Rio</t>
  </si>
  <si>
    <t>RIO</t>
  </si>
  <si>
    <t>Qualidade Brasil</t>
  </si>
  <si>
    <t>QBR</t>
  </si>
  <si>
    <t>Optiminas</t>
  </si>
  <si>
    <t>OPT</t>
  </si>
  <si>
    <t>PSA Nilo</t>
  </si>
  <si>
    <t>PSA</t>
  </si>
  <si>
    <t>Repro</t>
  </si>
  <si>
    <t>REP</t>
  </si>
  <si>
    <t>Riachuelo</t>
  </si>
  <si>
    <t>RIA</t>
  </si>
  <si>
    <t>RX Recife</t>
  </si>
  <si>
    <t>RXR</t>
  </si>
  <si>
    <t>Technopark</t>
  </si>
  <si>
    <t>TKP</t>
  </si>
  <si>
    <t>Tecnolens</t>
  </si>
  <si>
    <t>TEC</t>
  </si>
  <si>
    <t>Unilab</t>
  </si>
  <si>
    <t>UNI</t>
  </si>
  <si>
    <t>Visolab</t>
  </si>
  <si>
    <t>VIS</t>
  </si>
  <si>
    <t>FLUXOGRAMA</t>
  </si>
  <si>
    <r>
      <rPr>
        <b/>
        <sz val="10"/>
        <color theme="1"/>
        <rFont val="Verdana"/>
        <family val="2"/>
      </rPr>
      <t xml:space="preserve">Utilizar o aplicativo: </t>
    </r>
    <r>
      <rPr>
        <b/>
        <sz val="10"/>
        <color rgb="FFFF0000"/>
        <rFont val="Verdana"/>
        <family val="2"/>
      </rPr>
      <t xml:space="preserve">Diagram.drawio </t>
    </r>
    <r>
      <rPr>
        <b/>
        <sz val="10"/>
        <color theme="1"/>
        <rFont val="Verdana"/>
        <family val="2"/>
      </rPr>
      <t>para criar seu fluxograma</t>
    </r>
  </si>
  <si>
    <t>BRAINSTORMING</t>
  </si>
  <si>
    <t>PARTICIPANTES</t>
  </si>
  <si>
    <t>Renan</t>
  </si>
  <si>
    <t>Marcio</t>
  </si>
  <si>
    <t>Rogério</t>
  </si>
  <si>
    <t>Adriana</t>
  </si>
  <si>
    <t>Deyved</t>
  </si>
  <si>
    <t>Claudio</t>
  </si>
  <si>
    <t xml:space="preserve">PROBLEMA </t>
  </si>
  <si>
    <t>IDEIAS</t>
  </si>
  <si>
    <t>Chiller de processo acima do padrão estipulado de temperatura, chegando a 15°C. Faixa recomendada 0°C+2. Normalmente, a faixa de operação já é acima do especificado trabalhando com 8°C. (chiller de processo é único para HMC e Surfaçagem, dessa forma se atender a especificação de 0°C impacta na produção da surfa)</t>
  </si>
  <si>
    <t xml:space="preserve">Altura do nível de complemento. Hoje a régua existente é de dificil visialização pelo operador. Altura da cuba, é responsável pelo fluxo do produto, que garante a limpeza. Se essa altura não for respeitada, o fluxo de limpeza não a contece e lentes saem com ponto de sujeira. </t>
  </si>
  <si>
    <t>Sujeira na máquina e na lente que podem ficar aderidas causando ponto.</t>
  </si>
  <si>
    <t xml:space="preserve">Saturação do J2L9, reduzindo eficiência de limpeza, não removendo a marcação amarelo sujando e saturando todo restando do processo. </t>
  </si>
  <si>
    <t>A sujeira da água não dá ponto. O que dá ponto é bolha na água por ar na linha. O ar da linha vem pela troca do filtro ou resina.</t>
  </si>
  <si>
    <t>Setup não é feito com água quente.</t>
  </si>
  <si>
    <t xml:space="preserve">Conferentes do HC, podem ter duvidas sobre classificação de defeito. Parte das lentes reprovadas, estavam dentro do padrão cosmético. </t>
  </si>
  <si>
    <t>Estação de trabalho não é padronizado, o que pode causar variação análise do problema. FlowBox fora da ISO5 e sem ar comprimido para limpeza das lentes.</t>
  </si>
  <si>
    <t xml:space="preserve">Ponto de verniz: Bolha. Algo que levou a uma bolha no verniz. </t>
  </si>
  <si>
    <t>Bolha pode ser ar no produto verniz ou ar na água que deixa a bolha presa na lente, e o verniz cobre. o defeito ponto de verniz indica sempre ar no processo.</t>
  </si>
  <si>
    <t>Troca do filtro e resina podem ocasionar ar no processo. Problemas na bomba podem gerar ar no processo. Vazamento na cuba pode causar ar no processo.</t>
  </si>
  <si>
    <t>Aquecimento do Chiller, piora o ponto de orvalho que pode gerar bolhas no verniz.</t>
  </si>
  <si>
    <t>Para o tema de sujeira, a vedação dos fornos da pré cura, caso não esteja conforme, pode permitir entrada de ar com sujeira.</t>
  </si>
  <si>
    <t>Sensor de resistividade da resina está descalibrado e vencido gerando incerteza na medição de resistividade.</t>
  </si>
  <si>
    <t xml:space="preserve">Operador pode não saber o impacto e não fazer um pcp de forma correta e completa. Dessa forma, esse tema pode ficar neglicenciado em algum pontos importantes para o processo. </t>
  </si>
  <si>
    <t xml:space="preserve">Não complemento no tempo (de hora em hora) certo do J2L9, saturando o mesmo, levando sujeira para toda a linha. </t>
  </si>
  <si>
    <t>DIAGRAMA DE ISHIKAWA (ESPINHA DE PEIXE)</t>
  </si>
  <si>
    <t>Máquina</t>
  </si>
  <si>
    <t>Método</t>
  </si>
  <si>
    <t>Mão-de-obra</t>
  </si>
  <si>
    <t>Nivel dos líquidos abaixo do padrão definido</t>
  </si>
  <si>
    <t>Sensor de resistividade da resina descalibrado</t>
  </si>
  <si>
    <t>Método de limpeza não atende ao PCP</t>
  </si>
  <si>
    <t>Problema</t>
  </si>
  <si>
    <t>Presença de bolhas no processo</t>
  </si>
  <si>
    <t>Saturação L2J9</t>
  </si>
  <si>
    <t>Lentes boas sendo retrabalhadas</t>
  </si>
  <si>
    <t>Temperatura elevada para sala do HMC</t>
  </si>
  <si>
    <t>Temperatura do verniz acima do padrão PCP</t>
  </si>
  <si>
    <t>Matéria-prima</t>
  </si>
  <si>
    <t>Meio ambiente</t>
  </si>
  <si>
    <t>Medida</t>
  </si>
  <si>
    <t>Bolhas no processo</t>
  </si>
  <si>
    <t>Pergunta</t>
  </si>
  <si>
    <t>Resposta</t>
  </si>
  <si>
    <t>1° Por quê?</t>
  </si>
  <si>
    <t xml:space="preserve">Porque tem bolhas no processo? </t>
  </si>
  <si>
    <t>2° Por quê?</t>
  </si>
  <si>
    <t>3° Por quê?</t>
  </si>
  <si>
    <t>4° Por quê?</t>
  </si>
  <si>
    <t>5° Por quê?</t>
  </si>
  <si>
    <t xml:space="preserve">Causa Raiz Identificada?    </t>
  </si>
  <si>
    <t xml:space="preserve">Porque o operador estava retrabalhando lentes boas? </t>
  </si>
  <si>
    <t xml:space="preserve">Por que foram encontradas lentes dentro do padrão cosmético que haviam sido classificadas pela operação como lentes com defeitos. </t>
  </si>
  <si>
    <t>Por que foram encontradas lentes dentro do padrão cosmético que haviam sido classificadas pela operação como lentes com defeitos?</t>
  </si>
  <si>
    <t>Porque a falha de avaliação do padrão cosmético</t>
  </si>
  <si>
    <t>Porque não houve desmembramento de vias de forma a só se retrabalhar lentes com defeitos</t>
  </si>
  <si>
    <t xml:space="preserve">Porque não houve desmembramento de vias de forma a só se retrabalhar lentes com defeitos? </t>
  </si>
  <si>
    <t>Porque a operação não respeito o fluxo de processo.</t>
  </si>
  <si>
    <t>Operador não respeitando o fluxo de processo para quebras e retrabalhos, logo não houve desmenbramento de vias de forma a só se retrabalhar lentes com defeito. Adicionado a isso, temos a falha na avaliação do padrão cosmético. Somando esses dois fatores, foram encontradas lentes dentro do padrão cosmético que haviam sido classificado pela operação como lentes com defeitos e lentes boas estavam sendo retrabalhadas.</t>
  </si>
  <si>
    <t xml:space="preserve">Porque a temperatura do verniz está acima do processo? </t>
  </si>
  <si>
    <t>Porque o equipamento estava configurado para alarmar com temperatura de 12°C sendo o requerido de 8°C+/-2.</t>
  </si>
  <si>
    <t>GRÁFICO DE PARETO</t>
  </si>
  <si>
    <t>Descrição</t>
  </si>
  <si>
    <t>Incidência</t>
  </si>
  <si>
    <t>% Percentual</t>
  </si>
  <si>
    <t>% Acumulada</t>
  </si>
  <si>
    <t>CHECK LIST (FOLHA DE VERIFICAÇÃO)</t>
  </si>
  <si>
    <t>Descrição:</t>
  </si>
  <si>
    <t>Inspeção</t>
  </si>
  <si>
    <t>Observações</t>
  </si>
  <si>
    <t>GRÁFICO GERAL</t>
  </si>
  <si>
    <t>Título: Motivos de Retrabalho</t>
  </si>
  <si>
    <t>Item</t>
  </si>
  <si>
    <t>Quant.</t>
  </si>
  <si>
    <t>%</t>
  </si>
  <si>
    <t>CARTA DE TENDÊNCIA</t>
  </si>
  <si>
    <t>Semanas</t>
  </si>
  <si>
    <t>ANTES E DEPOIS</t>
  </si>
  <si>
    <t>Antes</t>
  </si>
  <si>
    <t>Depois</t>
  </si>
  <si>
    <t>Foto / Evidência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</si>
</sst>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theme="1"/>
      <name val="Calibri"/>
      <scheme val="minor"/>
    </font>
    <font>
      <sz val="12"/>
      <color theme="1"/>
      <name val="Verdana"/>
      <family val="2"/>
    </font>
    <font>
      <b/>
      <sz val="23"/>
      <color theme="1"/>
      <name val="Verdana"/>
      <family val="2"/>
    </font>
    <font>
      <b/>
      <sz val="9"/>
      <color rgb="FFFFFFFF"/>
      <name val="Verdana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  <font>
      <b/>
      <sz val="23"/>
      <color theme="0"/>
      <name val="Verdana"/>
      <family val="2"/>
    </font>
    <font>
      <b/>
      <sz val="12"/>
      <color theme="1"/>
      <name val="Verdana"/>
      <family val="2"/>
    </font>
    <font>
      <sz val="11"/>
      <name val="Calibri"/>
      <family val="2"/>
    </font>
    <font>
      <b/>
      <sz val="10"/>
      <color theme="1"/>
      <name val="Verdana"/>
      <family val="2"/>
    </font>
    <font>
      <b/>
      <sz val="11"/>
      <color rgb="FF666666"/>
      <name val="Verdana"/>
      <family val="2"/>
    </font>
    <font>
      <sz val="11"/>
      <color theme="1"/>
      <name val="Calibri"/>
      <family val="2"/>
      <scheme val="minor"/>
    </font>
    <font>
      <b/>
      <sz val="10"/>
      <color rgb="FF666666"/>
      <name val="Verdana"/>
      <family val="2"/>
    </font>
    <font>
      <b/>
      <sz val="8"/>
      <color rgb="FFFFFFFF"/>
      <name val="Verdana"/>
      <family val="2"/>
    </font>
    <font>
      <b/>
      <sz val="8"/>
      <color theme="1"/>
      <name val="Verdana"/>
      <family val="2"/>
    </font>
    <font>
      <b/>
      <sz val="8"/>
      <color rgb="FFFF0000"/>
      <name val="Verdana"/>
      <family val="2"/>
    </font>
    <font>
      <b/>
      <sz val="10"/>
      <color rgb="FF000000"/>
      <name val="Verdana"/>
      <family val="2"/>
    </font>
    <font>
      <b/>
      <sz val="6"/>
      <color rgb="FFFF0000"/>
      <name val="Verdana"/>
      <family val="2"/>
    </font>
    <font>
      <sz val="11"/>
      <color theme="1"/>
      <name val="Verdana"/>
      <family val="2"/>
    </font>
    <font>
      <sz val="7"/>
      <color theme="1"/>
      <name val="Verdan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Quattrocento Sans"/>
    </font>
    <font>
      <sz val="11"/>
      <color rgb="FF000000"/>
      <name val="&quot;Quattrocento Sans&quot;"/>
    </font>
    <font>
      <b/>
      <sz val="36"/>
      <color rgb="FFB7B7B7"/>
      <name val="Noto Sans Symbols"/>
    </font>
    <font>
      <sz val="11"/>
      <color theme="1"/>
      <name val="Quattrocento Sans"/>
    </font>
    <font>
      <sz val="10"/>
      <color theme="1"/>
      <name val="Arial"/>
      <family val="2"/>
    </font>
    <font>
      <b/>
      <sz val="14"/>
      <color theme="0"/>
      <name val="Verdana"/>
      <family val="2"/>
    </font>
    <font>
      <b/>
      <sz val="14"/>
      <color theme="0"/>
      <name val="Quattrocento Sans"/>
    </font>
    <font>
      <sz val="10"/>
      <color theme="1"/>
      <name val="Verdana"/>
      <family val="2"/>
    </font>
    <font>
      <b/>
      <sz val="14"/>
      <color rgb="FFFFFFFF"/>
      <name val="Verdana"/>
      <family val="2"/>
    </font>
    <font>
      <b/>
      <sz val="14"/>
      <color rgb="FF434343"/>
      <name val="Verdana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Verdana"/>
      <family val="2"/>
    </font>
    <font>
      <sz val="10"/>
      <color theme="1"/>
      <name val="Calibri"/>
      <family val="2"/>
    </font>
    <font>
      <sz val="18"/>
      <color rgb="FF1F497D"/>
      <name val="Calibri"/>
      <family val="2"/>
    </font>
    <font>
      <b/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rgb="FF525066"/>
      <name val="Verdana"/>
      <family val="2"/>
    </font>
    <font>
      <sz val="11"/>
      <color rgb="FF666666"/>
      <name val="Calibri"/>
      <family val="2"/>
      <scheme val="minor"/>
    </font>
    <font>
      <b/>
      <sz val="7"/>
      <color rgb="FF666666"/>
      <name val="Quattrocento Sans"/>
    </font>
    <font>
      <sz val="10"/>
      <color rgb="FF666666"/>
      <name val="Verdana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0"/>
      <color rgb="FFFF0000"/>
      <name val="Verdana"/>
      <family val="2"/>
    </font>
    <font>
      <b/>
      <sz val="12"/>
      <color theme="1"/>
      <name val="Calibri"/>
      <family val="2"/>
      <scheme val="minor"/>
    </font>
    <font>
      <b/>
      <sz val="12"/>
      <color rgb="FF0000CC"/>
      <name val="Calibri"/>
      <family val="2"/>
    </font>
    <font>
      <b/>
      <sz val="12"/>
      <color rgb="FF00B050"/>
      <name val="Calibri"/>
      <family val="2"/>
    </font>
    <font>
      <sz val="10"/>
      <color rgb="FF000000"/>
      <name val="Quattrocento Sans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scheme val="minor"/>
    </font>
    <font>
      <sz val="13.5"/>
      <color rgb="FF000000"/>
      <name val="Times New Roman"/>
      <charset val="1"/>
    </font>
    <font>
      <sz val="18"/>
      <color theme="1"/>
      <name val="Verdana"/>
      <family val="2"/>
    </font>
    <font>
      <sz val="18"/>
      <name val="Calibri"/>
      <family val="2"/>
    </font>
    <font>
      <sz val="18"/>
      <color theme="1"/>
      <name val="Calibri"/>
      <scheme val="minor"/>
    </font>
    <font>
      <b/>
      <sz val="18"/>
      <color theme="1"/>
      <name val="Calibri"/>
      <scheme val="minor"/>
    </font>
    <font>
      <b/>
      <sz val="14"/>
      <color theme="1"/>
      <name val="Verdana"/>
      <family val="2"/>
    </font>
    <font>
      <b/>
      <sz val="18"/>
      <color theme="1"/>
      <name val="Verdana"/>
      <family val="2"/>
    </font>
    <font>
      <sz val="10"/>
      <name val="Calibri"/>
      <family val="2"/>
    </font>
    <font>
      <sz val="10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5A5A5"/>
      </left>
      <right style="thin">
        <color rgb="FF999999"/>
      </right>
      <top style="thin">
        <color rgb="FFA5A5A5"/>
      </top>
      <bottom style="thin">
        <color rgb="FF969696"/>
      </bottom>
      <diagonal/>
    </border>
    <border>
      <left/>
      <right/>
      <top style="thin">
        <color rgb="FFA5A5A5"/>
      </top>
      <bottom style="thin">
        <color rgb="FF969696"/>
      </bottom>
      <diagonal/>
    </border>
    <border>
      <left style="thin">
        <color rgb="FFA5A5A5"/>
      </left>
      <right style="thin">
        <color rgb="FF999999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A5A5A5"/>
      </left>
      <right style="thin">
        <color rgb="FF999999"/>
      </right>
      <top style="thin">
        <color rgb="FF969696"/>
      </top>
      <bottom/>
      <diagonal/>
    </border>
    <border>
      <left/>
      <right/>
      <top style="thin">
        <color rgb="FF969696"/>
      </top>
      <bottom/>
      <diagonal/>
    </border>
    <border>
      <left/>
      <right style="thin">
        <color rgb="FF999999"/>
      </right>
      <top style="thin">
        <color rgb="FF969696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999999"/>
      </right>
      <top/>
      <bottom style="thin">
        <color rgb="FF666666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A5A5A5"/>
      </left>
      <right/>
      <top style="dotted">
        <color rgb="FFA5A5A5"/>
      </top>
      <bottom/>
      <diagonal/>
    </border>
    <border>
      <left/>
      <right/>
      <top style="dotted">
        <color rgb="FFA5A5A5"/>
      </top>
      <bottom/>
      <diagonal/>
    </border>
    <border>
      <left/>
      <right style="dotted">
        <color rgb="FFA5A5A5"/>
      </right>
      <top style="dotted">
        <color rgb="FFA5A5A5"/>
      </top>
      <bottom/>
      <diagonal/>
    </border>
    <border>
      <left/>
      <right/>
      <top/>
      <bottom style="dotted">
        <color rgb="FFA5A5A5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  <diagonal/>
    </border>
    <border>
      <left style="hair">
        <color rgb="FF7F7F7F"/>
      </left>
      <right/>
      <top style="thin">
        <color rgb="FF7F7F7F"/>
      </top>
      <bottom style="hair">
        <color rgb="FF7F7F7F"/>
      </bottom>
      <diagonal/>
    </border>
    <border>
      <left/>
      <right/>
      <top style="thin">
        <color rgb="FF7F7F7F"/>
      </top>
      <bottom style="hair">
        <color rgb="FF7F7F7F"/>
      </bottom>
      <diagonal/>
    </border>
    <border>
      <left/>
      <right style="hair">
        <color rgb="FF7F7F7F"/>
      </right>
      <top style="thin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thin">
        <color rgb="FF7F7F7F"/>
      </top>
      <bottom style="hair">
        <color rgb="FF7F7F7F"/>
      </bottom>
      <diagonal/>
    </border>
    <border>
      <left/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  <diagonal/>
    </border>
    <border>
      <left style="hair">
        <color rgb="FF7F7F7F"/>
      </left>
      <right/>
      <top style="hair">
        <color rgb="FF7F7F7F"/>
      </top>
      <bottom style="thin">
        <color rgb="FF7F7F7F"/>
      </bottom>
      <diagonal/>
    </border>
    <border>
      <left/>
      <right/>
      <top style="hair">
        <color rgb="FF7F7F7F"/>
      </top>
      <bottom style="thin">
        <color rgb="FF7F7F7F"/>
      </bottom>
      <diagonal/>
    </border>
    <border>
      <left/>
      <right style="hair">
        <color rgb="FF7F7F7F"/>
      </right>
      <top style="hair">
        <color rgb="FF7F7F7F"/>
      </top>
      <bottom style="thin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7F7F7F"/>
      </bottom>
      <diagonal/>
    </border>
    <border>
      <left/>
      <right style="thin">
        <color rgb="FF7F7F7F"/>
      </right>
      <top style="hair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/>
      <top/>
      <bottom/>
      <diagonal/>
    </border>
    <border>
      <left style="dotted">
        <color rgb="FFA5A5A5"/>
      </left>
      <right/>
      <top/>
      <bottom/>
      <diagonal/>
    </border>
    <border>
      <left/>
      <right style="dotted">
        <color rgb="FFA5A5A5"/>
      </right>
      <top/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15" xfId="0" applyFont="1" applyBorder="1"/>
    <xf numFmtId="0" fontId="11" fillId="0" borderId="1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5" borderId="0" xfId="0" applyFont="1" applyFill="1" applyAlignment="1">
      <alignment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" fontId="19" fillId="5" borderId="1" xfId="0" applyNumberFormat="1" applyFont="1" applyFill="1" applyBorder="1" applyAlignment="1">
      <alignment horizontal="center" vertical="center" wrapText="1"/>
    </xf>
    <xf numFmtId="14" fontId="19" fillId="5" borderId="1" xfId="0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0" borderId="0" xfId="0" applyFont="1"/>
    <xf numFmtId="0" fontId="22" fillId="11" borderId="29" xfId="0" applyFont="1" applyFill="1" applyBorder="1" applyAlignment="1">
      <alignment horizontal="left" vertical="center" wrapText="1"/>
    </xf>
    <xf numFmtId="0" fontId="22" fillId="11" borderId="30" xfId="0" applyFont="1" applyFill="1" applyBorder="1" applyAlignment="1">
      <alignment horizontal="left" vertical="center" wrapText="1"/>
    </xf>
    <xf numFmtId="0" fontId="23" fillId="0" borderId="30" xfId="0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29" fillId="0" borderId="0" xfId="0" applyFont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2" fillId="0" borderId="0" xfId="0" applyFont="1"/>
    <xf numFmtId="0" fontId="1" fillId="0" borderId="0" xfId="0" applyFont="1"/>
    <xf numFmtId="0" fontId="33" fillId="0" borderId="0" xfId="0" applyFont="1"/>
    <xf numFmtId="0" fontId="34" fillId="0" borderId="0" xfId="0" applyFont="1"/>
    <xf numFmtId="0" fontId="29" fillId="0" borderId="0" xfId="0" applyFont="1"/>
    <xf numFmtId="0" fontId="34" fillId="0" borderId="0" xfId="0" applyFont="1" applyAlignment="1">
      <alignment horizont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/>
    <xf numFmtId="0" fontId="34" fillId="0" borderId="0" xfId="0" applyFont="1" applyAlignment="1">
      <alignment vertical="center" wrapText="1"/>
    </xf>
    <xf numFmtId="0" fontId="36" fillId="0" borderId="0" xfId="0" applyFont="1"/>
    <xf numFmtId="0" fontId="28" fillId="2" borderId="75" xfId="0" applyFont="1" applyFill="1" applyBorder="1" applyAlignment="1">
      <alignment horizontal="center" vertical="center" wrapText="1"/>
    </xf>
    <xf numFmtId="0" fontId="0" fillId="2" borderId="76" xfId="0" applyFill="1" applyBorder="1"/>
    <xf numFmtId="0" fontId="9" fillId="4" borderId="77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18" xfId="0" applyBorder="1"/>
    <xf numFmtId="0" fontId="25" fillId="2" borderId="0" xfId="0" applyFont="1" applyFill="1" applyAlignment="1">
      <alignment vertical="center"/>
    </xf>
    <xf numFmtId="0" fontId="38" fillId="2" borderId="0" xfId="0" applyFont="1" applyFill="1"/>
    <xf numFmtId="0" fontId="11" fillId="2" borderId="0" xfId="0" applyFont="1" applyFill="1"/>
    <xf numFmtId="0" fontId="29" fillId="2" borderId="0" xfId="0" applyFont="1" applyFill="1"/>
    <xf numFmtId="0" fontId="0" fillId="0" borderId="36" xfId="0" applyBorder="1"/>
    <xf numFmtId="0" fontId="0" fillId="0" borderId="37" xfId="0" applyBorder="1"/>
    <xf numFmtId="0" fontId="9" fillId="2" borderId="78" xfId="0" applyFont="1" applyFill="1" applyBorder="1" applyAlignment="1">
      <alignment horizontal="center" vertical="center" wrapText="1"/>
    </xf>
    <xf numFmtId="0" fontId="0" fillId="0" borderId="79" xfId="0" applyBorder="1"/>
    <xf numFmtId="0" fontId="0" fillId="0" borderId="78" xfId="0" applyBorder="1"/>
    <xf numFmtId="0" fontId="40" fillId="0" borderId="77" xfId="0" applyFont="1" applyBorder="1"/>
    <xf numFmtId="0" fontId="0" fillId="0" borderId="38" xfId="0" applyBorder="1"/>
    <xf numFmtId="0" fontId="0" fillId="0" borderId="39" xfId="0" applyBorder="1"/>
    <xf numFmtId="0" fontId="25" fillId="0" borderId="0" xfId="0" applyFont="1"/>
    <xf numFmtId="0" fontId="11" fillId="0" borderId="0" xfId="0" applyFont="1" applyAlignment="1">
      <alignment horizontal="center"/>
    </xf>
    <xf numFmtId="0" fontId="9" fillId="12" borderId="77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1" fillId="2" borderId="0" xfId="0" applyFont="1" applyFill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42" fillId="0" borderId="77" xfId="0" applyFont="1" applyBorder="1" applyAlignment="1">
      <alignment horizontal="center" vertical="center" wrapText="1"/>
    </xf>
    <xf numFmtId="0" fontId="25" fillId="2" borderId="80" xfId="0" applyFont="1" applyFill="1" applyBorder="1" applyAlignment="1">
      <alignment vertical="center"/>
    </xf>
    <xf numFmtId="0" fontId="26" fillId="2" borderId="0" xfId="0" applyFont="1" applyFill="1"/>
    <xf numFmtId="0" fontId="43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24" fillId="0" borderId="83" xfId="0" applyFont="1" applyBorder="1" applyAlignment="1">
      <alignment horizontal="center" vertical="center"/>
    </xf>
    <xf numFmtId="0" fontId="0" fillId="0" borderId="83" xfId="0" applyBorder="1"/>
    <xf numFmtId="0" fontId="1" fillId="5" borderId="80" xfId="0" applyFont="1" applyFill="1" applyBorder="1" applyAlignment="1">
      <alignment horizontal="center" vertical="center" wrapText="1"/>
    </xf>
    <xf numFmtId="0" fontId="18" fillId="5" borderId="80" xfId="0" applyFont="1" applyFill="1" applyBorder="1" applyAlignment="1">
      <alignment horizontal="center" vertical="center" wrapText="1"/>
    </xf>
    <xf numFmtId="0" fontId="19" fillId="5" borderId="80" xfId="0" applyFont="1" applyFill="1" applyBorder="1" applyAlignment="1">
      <alignment horizontal="center" vertical="center" wrapText="1"/>
    </xf>
    <xf numFmtId="0" fontId="28" fillId="2" borderId="80" xfId="0" applyFont="1" applyFill="1" applyBorder="1" applyAlignment="1">
      <alignment horizontal="center" vertical="center" wrapText="1"/>
    </xf>
    <xf numFmtId="0" fontId="0" fillId="2" borderId="80" xfId="0" applyFill="1" applyBorder="1" applyAlignment="1">
      <alignment vertical="center"/>
    </xf>
    <xf numFmtId="0" fontId="0" fillId="2" borderId="80" xfId="0" applyFill="1" applyBorder="1"/>
    <xf numFmtId="0" fontId="0" fillId="0" borderId="75" xfId="0" applyBorder="1"/>
    <xf numFmtId="0" fontId="0" fillId="0" borderId="76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5" fontId="50" fillId="0" borderId="8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75" xfId="0" applyBorder="1" applyAlignment="1">
      <alignment wrapText="1"/>
    </xf>
    <xf numFmtId="0" fontId="52" fillId="0" borderId="15" xfId="0" applyFont="1" applyBorder="1" applyAlignment="1">
      <alignment vertical="top" indent="1"/>
    </xf>
    <xf numFmtId="0" fontId="53" fillId="0" borderId="0" xfId="0" applyFont="1" applyAlignment="1">
      <alignment vertical="top" indent="1"/>
    </xf>
    <xf numFmtId="0" fontId="52" fillId="0" borderId="11" xfId="0" applyFont="1" applyBorder="1" applyAlignment="1">
      <alignment vertical="top" indent="1"/>
    </xf>
    <xf numFmtId="0" fontId="54" fillId="0" borderId="0" xfId="0" applyFont="1"/>
    <xf numFmtId="10" fontId="29" fillId="0" borderId="94" xfId="0" applyNumberFormat="1" applyFont="1" applyBorder="1" applyAlignment="1">
      <alignment horizontal="center" vertical="center"/>
    </xf>
    <xf numFmtId="10" fontId="39" fillId="5" borderId="94" xfId="0" applyNumberFormat="1" applyFont="1" applyFill="1" applyBorder="1" applyAlignment="1">
      <alignment horizontal="center" vertical="center"/>
    </xf>
    <xf numFmtId="0" fontId="29" fillId="2" borderId="80" xfId="0" applyFont="1" applyFill="1" applyBorder="1"/>
    <xf numFmtId="0" fontId="11" fillId="2" borderId="80" xfId="0" applyFont="1" applyFill="1" applyBorder="1"/>
    <xf numFmtId="0" fontId="29" fillId="0" borderId="80" xfId="0" applyFont="1" applyBorder="1"/>
    <xf numFmtId="0" fontId="0" fillId="0" borderId="80" xfId="0" applyBorder="1"/>
    <xf numFmtId="0" fontId="9" fillId="4" borderId="95" xfId="0" applyFont="1" applyFill="1" applyBorder="1" applyAlignment="1">
      <alignment horizontal="center" vertical="center" wrapText="1"/>
    </xf>
    <xf numFmtId="0" fontId="0" fillId="0" borderId="94" xfId="0" applyBorder="1" applyAlignment="1">
      <alignment horizontal="center" vertical="center"/>
    </xf>
    <xf numFmtId="0" fontId="9" fillId="14" borderId="72" xfId="0" applyFont="1" applyFill="1" applyBorder="1" applyAlignment="1">
      <alignment vertical="center"/>
    </xf>
    <xf numFmtId="0" fontId="8" fillId="14" borderId="74" xfId="0" applyFont="1" applyFill="1" applyBorder="1"/>
    <xf numFmtId="0" fontId="8" fillId="14" borderId="73" xfId="0" applyFont="1" applyFill="1" applyBorder="1"/>
    <xf numFmtId="0" fontId="9" fillId="4" borderId="94" xfId="0" applyFont="1" applyFill="1" applyBorder="1" applyAlignment="1">
      <alignment horizontal="center" vertical="center" wrapText="1"/>
    </xf>
    <xf numFmtId="0" fontId="9" fillId="2" borderId="94" xfId="0" applyFont="1" applyFill="1" applyBorder="1" applyAlignment="1">
      <alignment horizontal="center" vertical="center" wrapText="1"/>
    </xf>
    <xf numFmtId="0" fontId="7" fillId="4" borderId="94" xfId="0" applyFont="1" applyFill="1" applyBorder="1" applyAlignment="1">
      <alignment horizontal="center" vertical="center" wrapText="1"/>
    </xf>
    <xf numFmtId="0" fontId="37" fillId="2" borderId="94" xfId="0" applyFont="1" applyFill="1" applyBorder="1" applyAlignment="1">
      <alignment horizontal="center" vertical="center" wrapText="1"/>
    </xf>
    <xf numFmtId="0" fontId="25" fillId="0" borderId="80" xfId="0" applyFont="1" applyBorder="1" applyAlignment="1">
      <alignment vertical="center"/>
    </xf>
    <xf numFmtId="0" fontId="25" fillId="0" borderId="80" xfId="0" applyFont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37" fillId="2" borderId="28" xfId="0" applyFont="1" applyFill="1" applyBorder="1" applyAlignment="1">
      <alignment horizontal="center" vertical="center" wrapText="1"/>
    </xf>
    <xf numFmtId="0" fontId="9" fillId="2" borderId="96" xfId="0" applyFont="1" applyFill="1" applyBorder="1" applyAlignment="1">
      <alignment horizontal="center" vertical="center" wrapText="1"/>
    </xf>
    <xf numFmtId="0" fontId="0" fillId="0" borderId="80" xfId="0" applyBorder="1" applyAlignment="1">
      <alignment horizontal="left" wrapText="1"/>
    </xf>
    <xf numFmtId="0" fontId="7" fillId="4" borderId="97" xfId="0" applyFont="1" applyFill="1" applyBorder="1" applyAlignment="1">
      <alignment horizontal="center" vertical="center" wrapText="1"/>
    </xf>
    <xf numFmtId="0" fontId="9" fillId="4" borderId="96" xfId="0" applyFont="1" applyFill="1" applyBorder="1" applyAlignment="1">
      <alignment vertical="center" wrapText="1"/>
    </xf>
    <xf numFmtId="0" fontId="9" fillId="4" borderId="98" xfId="0" applyFont="1" applyFill="1" applyBorder="1" applyAlignment="1">
      <alignment vertical="center" wrapText="1"/>
    </xf>
    <xf numFmtId="0" fontId="9" fillId="4" borderId="97" xfId="0" applyFont="1" applyFill="1" applyBorder="1" applyAlignment="1">
      <alignment vertical="center" wrapText="1"/>
    </xf>
    <xf numFmtId="0" fontId="0" fillId="18" borderId="0" xfId="0" applyFill="1" applyAlignment="1">
      <alignment horizontal="center"/>
    </xf>
    <xf numFmtId="0" fontId="51" fillId="0" borderId="0" xfId="0" applyFont="1"/>
    <xf numFmtId="0" fontId="12" fillId="0" borderId="0" xfId="0" applyFont="1" applyAlignment="1">
      <alignment vertical="center"/>
    </xf>
    <xf numFmtId="0" fontId="11" fillId="0" borderId="0" xfId="0" applyFont="1"/>
    <xf numFmtId="0" fontId="9" fillId="4" borderId="96" xfId="0" applyFont="1" applyFill="1" applyBorder="1" applyAlignment="1">
      <alignment horizontal="center" vertical="center" wrapText="1"/>
    </xf>
    <xf numFmtId="0" fontId="9" fillId="4" borderId="98" xfId="0" applyFont="1" applyFill="1" applyBorder="1" applyAlignment="1">
      <alignment horizontal="center" vertical="center" wrapText="1"/>
    </xf>
    <xf numFmtId="0" fontId="9" fillId="4" borderId="97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vertical="center"/>
    </xf>
    <xf numFmtId="17" fontId="50" fillId="0" borderId="6" xfId="0" applyNumberFormat="1" applyFont="1" applyBorder="1" applyAlignment="1">
      <alignment horizontal="left" vertical="center"/>
    </xf>
    <xf numFmtId="0" fontId="11" fillId="13" borderId="0" xfId="0" applyFont="1" applyFill="1"/>
    <xf numFmtId="0" fontId="0" fillId="13" borderId="0" xfId="0" applyFill="1"/>
    <xf numFmtId="0" fontId="37" fillId="2" borderId="96" xfId="0" applyFont="1" applyFill="1" applyBorder="1" applyAlignment="1">
      <alignment horizontal="center" vertical="center" wrapText="1"/>
    </xf>
    <xf numFmtId="0" fontId="9" fillId="2" borderId="97" xfId="0" applyFont="1" applyFill="1" applyBorder="1" applyAlignment="1">
      <alignment vertical="center" wrapText="1"/>
    </xf>
    <xf numFmtId="0" fontId="37" fillId="2" borderId="6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13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50" fillId="0" borderId="13" xfId="0" applyFont="1" applyBorder="1" applyAlignment="1">
      <alignment horizontal="left" vertical="center"/>
    </xf>
    <xf numFmtId="0" fontId="29" fillId="2" borderId="9" xfId="0" applyFont="1" applyFill="1" applyBorder="1" applyAlignment="1">
      <alignment horizontal="left" vertical="top" wrapText="1" indent="1"/>
    </xf>
    <xf numFmtId="0" fontId="61" fillId="0" borderId="10" xfId="0" applyFont="1" applyBorder="1" applyAlignment="1">
      <alignment horizontal="left" vertical="top" indent="1"/>
    </xf>
    <xf numFmtId="0" fontId="61" fillId="0" borderId="16" xfId="0" applyFont="1" applyBorder="1" applyAlignment="1">
      <alignment horizontal="left" vertical="top" indent="1"/>
    </xf>
    <xf numFmtId="0" fontId="61" fillId="0" borderId="15" xfId="0" applyFont="1" applyBorder="1" applyAlignment="1">
      <alignment horizontal="left" vertical="top" indent="1"/>
    </xf>
    <xf numFmtId="0" fontId="62" fillId="0" borderId="0" xfId="0" applyFont="1" applyAlignment="1">
      <alignment horizontal="left" vertical="top" indent="1"/>
    </xf>
    <xf numFmtId="0" fontId="61" fillId="0" borderId="11" xfId="0" applyFont="1" applyBorder="1" applyAlignment="1">
      <alignment horizontal="left" vertical="top" inden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9" fillId="2" borderId="9" xfId="0" applyFont="1" applyFill="1" applyBorder="1" applyAlignment="1">
      <alignment horizontal="center" vertical="top" wrapText="1" indent="1"/>
    </xf>
    <xf numFmtId="0" fontId="29" fillId="2" borderId="10" xfId="0" applyFont="1" applyFill="1" applyBorder="1" applyAlignment="1">
      <alignment horizontal="center" vertical="top" wrapText="1" indent="1"/>
    </xf>
    <xf numFmtId="0" fontId="29" fillId="2" borderId="15" xfId="0" applyFont="1" applyFill="1" applyBorder="1" applyAlignment="1">
      <alignment horizontal="center" vertical="top" wrapText="1" indent="1"/>
    </xf>
    <xf numFmtId="0" fontId="29" fillId="2" borderId="80" xfId="0" applyFont="1" applyFill="1" applyBorder="1" applyAlignment="1">
      <alignment horizontal="center" vertical="top" wrapText="1" indent="1"/>
    </xf>
    <xf numFmtId="0" fontId="29" fillId="2" borderId="23" xfId="0" applyFont="1" applyFill="1" applyBorder="1" applyAlignment="1">
      <alignment horizontal="center" vertical="top" wrapText="1" indent="1"/>
    </xf>
    <xf numFmtId="0" fontId="29" fillId="2" borderId="20" xfId="0" applyFont="1" applyFill="1" applyBorder="1" applyAlignment="1">
      <alignment horizontal="center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10" xfId="0" applyFont="1" applyFill="1" applyBorder="1" applyAlignment="1">
      <alignment horizontal="left" vertical="top" wrapText="1" indent="1"/>
    </xf>
    <xf numFmtId="0" fontId="1" fillId="2" borderId="16" xfId="0" applyFont="1" applyFill="1" applyBorder="1" applyAlignment="1">
      <alignment horizontal="left" vertical="top" wrapText="1" indent="1"/>
    </xf>
    <xf numFmtId="0" fontId="1" fillId="2" borderId="15" xfId="0" applyFont="1" applyFill="1" applyBorder="1" applyAlignment="1">
      <alignment horizontal="left" vertical="top" wrapText="1" indent="1"/>
    </xf>
    <xf numFmtId="0" fontId="1" fillId="2" borderId="80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left" vertical="top" wrapText="1" indent="1"/>
    </xf>
    <xf numFmtId="10" fontId="19" fillId="5" borderId="9" xfId="0" applyNumberFormat="1" applyFont="1" applyFill="1" applyBorder="1" applyAlignment="1">
      <alignment horizontal="center" vertical="center" wrapText="1"/>
    </xf>
    <xf numFmtId="0" fontId="54" fillId="5" borderId="9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/>
    </xf>
    <xf numFmtId="0" fontId="22" fillId="11" borderId="31" xfId="0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0" fontId="22" fillId="11" borderId="84" xfId="0" applyFont="1" applyFill="1" applyBorder="1" applyAlignment="1">
      <alignment horizontal="center" vertical="center" wrapText="1"/>
    </xf>
    <xf numFmtId="0" fontId="22" fillId="11" borderId="85" xfId="0" applyFont="1" applyFill="1" applyBorder="1" applyAlignment="1">
      <alignment horizontal="center" vertical="center" wrapText="1"/>
    </xf>
    <xf numFmtId="0" fontId="22" fillId="11" borderId="86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47" fillId="0" borderId="87" xfId="0" applyFont="1" applyBorder="1" applyAlignment="1">
      <alignment horizontal="center" vertical="center" wrapText="1"/>
    </xf>
    <xf numFmtId="0" fontId="47" fillId="0" borderId="83" xfId="0" applyFont="1" applyBorder="1" applyAlignment="1">
      <alignment horizontal="center" vertical="center" wrapText="1"/>
    </xf>
    <xf numFmtId="0" fontId="47" fillId="0" borderId="88" xfId="0" applyFont="1" applyBorder="1" applyAlignment="1">
      <alignment horizontal="center" vertical="center" wrapText="1"/>
    </xf>
    <xf numFmtId="0" fontId="47" fillId="0" borderId="89" xfId="0" applyFont="1" applyBorder="1" applyAlignment="1">
      <alignment horizontal="center" vertical="center" wrapText="1"/>
    </xf>
    <xf numFmtId="0" fontId="47" fillId="0" borderId="80" xfId="0" applyFont="1" applyBorder="1" applyAlignment="1">
      <alignment horizontal="center" vertical="center" wrapText="1"/>
    </xf>
    <xf numFmtId="0" fontId="47" fillId="0" borderId="90" xfId="0" applyFont="1" applyBorder="1" applyAlignment="1">
      <alignment horizontal="center" vertical="center" wrapText="1"/>
    </xf>
    <xf numFmtId="0" fontId="47" fillId="0" borderId="91" xfId="0" applyFont="1" applyBorder="1" applyAlignment="1">
      <alignment horizontal="center" vertical="center" wrapText="1"/>
    </xf>
    <xf numFmtId="0" fontId="47" fillId="0" borderId="92" xfId="0" applyFont="1" applyBorder="1" applyAlignment="1">
      <alignment horizontal="center" vertical="center" wrapText="1"/>
    </xf>
    <xf numFmtId="0" fontId="47" fillId="0" borderId="93" xfId="0" applyFont="1" applyBorder="1" applyAlignment="1">
      <alignment horizontal="center" vertical="center" wrapText="1"/>
    </xf>
    <xf numFmtId="0" fontId="22" fillId="11" borderId="34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/>
    </xf>
    <xf numFmtId="0" fontId="9" fillId="4" borderId="75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9" fillId="4" borderId="58" xfId="0" applyFont="1" applyFill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/>
    </xf>
    <xf numFmtId="0" fontId="8" fillId="0" borderId="45" xfId="0" applyFont="1" applyBorder="1" applyAlignment="1">
      <alignment horizontal="left"/>
    </xf>
    <xf numFmtId="0" fontId="29" fillId="0" borderId="47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/>
    </xf>
    <xf numFmtId="0" fontId="8" fillId="0" borderId="51" xfId="0" applyFont="1" applyBorder="1" applyAlignment="1">
      <alignment horizontal="left"/>
    </xf>
    <xf numFmtId="0" fontId="29" fillId="0" borderId="47" xfId="0" applyFont="1" applyBorder="1" applyAlignment="1">
      <alignment vertical="center" wrapText="1"/>
    </xf>
    <xf numFmtId="0" fontId="29" fillId="19" borderId="47" xfId="0" applyFont="1" applyFill="1" applyBorder="1" applyAlignment="1">
      <alignment vertical="center" wrapText="1"/>
    </xf>
    <xf numFmtId="0" fontId="58" fillId="2" borderId="71" xfId="0" applyFont="1" applyFill="1" applyBorder="1" applyAlignment="1">
      <alignment horizontal="center" vertical="center"/>
    </xf>
    <xf numFmtId="0" fontId="29" fillId="10" borderId="64" xfId="0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16" borderId="64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29" fillId="15" borderId="64" xfId="0" applyFont="1" applyFill="1" applyBorder="1" applyAlignment="1">
      <alignment horizontal="center" vertical="center" wrapText="1"/>
    </xf>
    <xf numFmtId="0" fontId="29" fillId="17" borderId="64" xfId="0" applyFont="1" applyFill="1" applyBorder="1" applyAlignment="1">
      <alignment horizontal="center" vertical="center" wrapText="1"/>
    </xf>
    <xf numFmtId="0" fontId="31" fillId="2" borderId="80" xfId="0" applyFont="1" applyFill="1" applyBorder="1" applyAlignment="1">
      <alignment horizontal="center" vertical="center" wrapText="1"/>
    </xf>
    <xf numFmtId="0" fontId="55" fillId="10" borderId="64" xfId="0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 wrapText="1"/>
    </xf>
    <xf numFmtId="0" fontId="60" fillId="0" borderId="71" xfId="0" applyFont="1" applyBorder="1" applyAlignment="1">
      <alignment horizontal="center" vertical="center"/>
    </xf>
    <xf numFmtId="0" fontId="59" fillId="0" borderId="71" xfId="0" applyFont="1" applyBorder="1" applyAlignment="1">
      <alignment horizontal="center" vertical="center"/>
    </xf>
    <xf numFmtId="0" fontId="9" fillId="2" borderId="64" xfId="0" applyFont="1" applyFill="1" applyBorder="1" applyAlignment="1">
      <alignment horizontal="center" vertical="center" wrapText="1"/>
    </xf>
    <xf numFmtId="0" fontId="9" fillId="2" borderId="65" xfId="0" applyFont="1" applyFill="1" applyBorder="1" applyAlignment="1">
      <alignment horizontal="center" vertical="center" wrapText="1"/>
    </xf>
    <xf numFmtId="0" fontId="9" fillId="2" borderId="66" xfId="0" applyFont="1" applyFill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9" fillId="2" borderId="71" xfId="0" applyFont="1" applyFill="1" applyBorder="1" applyAlignment="1">
      <alignment horizontal="center" vertical="center" wrapText="1"/>
    </xf>
    <xf numFmtId="0" fontId="9" fillId="2" borderId="67" xfId="0" applyFont="1" applyFill="1" applyBorder="1" applyAlignment="1">
      <alignment horizontal="center" vertical="center" wrapText="1"/>
    </xf>
    <xf numFmtId="0" fontId="9" fillId="2" borderId="68" xfId="0" applyFont="1" applyFill="1" applyBorder="1" applyAlignment="1">
      <alignment horizontal="center" vertical="center" wrapText="1"/>
    </xf>
    <xf numFmtId="0" fontId="9" fillId="2" borderId="69" xfId="0" applyFont="1" applyFill="1" applyBorder="1" applyAlignment="1">
      <alignment horizontal="center" vertical="center" wrapText="1"/>
    </xf>
    <xf numFmtId="0" fontId="59" fillId="2" borderId="94" xfId="0" applyFont="1" applyFill="1" applyBorder="1" applyAlignment="1">
      <alignment horizontal="left" vertical="center" wrapText="1"/>
    </xf>
    <xf numFmtId="0" fontId="9" fillId="4" borderId="94" xfId="0" applyFont="1" applyFill="1" applyBorder="1" applyAlignment="1">
      <alignment horizontal="center" vertical="center" wrapText="1"/>
    </xf>
    <xf numFmtId="0" fontId="9" fillId="2" borderId="94" xfId="0" applyFont="1" applyFill="1" applyBorder="1" applyAlignment="1">
      <alignment horizontal="center" vertical="center" wrapText="1"/>
    </xf>
    <xf numFmtId="0" fontId="59" fillId="2" borderId="64" xfId="0" applyFont="1" applyFill="1" applyBorder="1" applyAlignment="1">
      <alignment horizontal="center" vertical="center" wrapText="1"/>
    </xf>
    <xf numFmtId="0" fontId="59" fillId="2" borderId="66" xfId="0" applyFont="1" applyFill="1" applyBorder="1" applyAlignment="1">
      <alignment horizontal="center" vertical="center" wrapText="1"/>
    </xf>
    <xf numFmtId="0" fontId="59" fillId="2" borderId="67" xfId="0" applyFont="1" applyFill="1" applyBorder="1" applyAlignment="1">
      <alignment horizontal="center" vertical="center" wrapText="1"/>
    </xf>
    <xf numFmtId="0" fontId="59" fillId="2" borderId="69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29" fillId="2" borderId="72" xfId="0" applyFont="1" applyFill="1" applyBorder="1" applyAlignment="1">
      <alignment horizontal="left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29" fillId="0" borderId="72" xfId="0" applyFont="1" applyBorder="1" applyAlignment="1">
      <alignment vertical="center" wrapText="1"/>
    </xf>
    <xf numFmtId="0" fontId="45" fillId="0" borderId="35" xfId="0" applyFont="1" applyBorder="1" applyAlignment="1">
      <alignment horizontal="center" vertical="center" wrapText="1"/>
    </xf>
    <xf numFmtId="0" fontId="45" fillId="0" borderId="36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0" fontId="45" fillId="0" borderId="78" xfId="0" applyFont="1" applyBorder="1" applyAlignment="1">
      <alignment horizontal="center" vertical="center" wrapText="1"/>
    </xf>
    <xf numFmtId="0" fontId="45" fillId="0" borderId="80" xfId="0" applyFont="1" applyBorder="1" applyAlignment="1">
      <alignment horizontal="center" vertical="center" wrapText="1"/>
    </xf>
    <xf numFmtId="0" fontId="45" fillId="0" borderId="79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 wrapText="1"/>
    </xf>
    <xf numFmtId="0" fontId="45" fillId="0" borderId="39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/>
    </xf>
    <xf numFmtId="0" fontId="9" fillId="12" borderId="72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/>
    </xf>
    <xf numFmtId="0" fontId="29" fillId="0" borderId="64" xfId="0" applyFont="1" applyFill="1" applyBorder="1" applyAlignment="1">
      <alignment horizontal="center" vertical="center" wrapText="1"/>
    </xf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11" xfId="0" applyFont="1" applyBorder="1" applyAlignment="1"/>
    <xf numFmtId="0" fontId="51" fillId="0" borderId="13" xfId="0" applyFont="1" applyBorder="1" applyAlignment="1"/>
    <xf numFmtId="0" fontId="51" fillId="0" borderId="14" xfId="0" applyFont="1" applyBorder="1" applyAlignment="1"/>
    <xf numFmtId="0" fontId="8" fillId="0" borderId="15" xfId="0" applyFont="1" applyBorder="1" applyAlignment="1"/>
    <xf numFmtId="0" fontId="0" fillId="13" borderId="0" xfId="0" applyFill="1" applyAlignment="1"/>
    <xf numFmtId="0" fontId="8" fillId="18" borderId="11" xfId="0" applyFont="1" applyFill="1" applyBorder="1" applyAlignment="1"/>
    <xf numFmtId="0" fontId="0" fillId="0" borderId="0" xfId="0" applyAlignment="1"/>
    <xf numFmtId="0" fontId="8" fillId="0" borderId="10" xfId="0" applyFont="1" applyBorder="1" applyAlignment="1"/>
    <xf numFmtId="0" fontId="8" fillId="0" borderId="16" xfId="0" applyFont="1" applyBorder="1" applyAlignment="1"/>
    <xf numFmtId="0" fontId="8" fillId="0" borderId="24" xfId="0" applyFont="1" applyBorder="1" applyAlignment="1"/>
    <xf numFmtId="0" fontId="8" fillId="0" borderId="25" xfId="0" applyFont="1" applyBorder="1" applyAlignment="1"/>
    <xf numFmtId="0" fontId="8" fillId="0" borderId="23" xfId="0" applyFont="1" applyBorder="1" applyAlignment="1"/>
    <xf numFmtId="0" fontId="8" fillId="0" borderId="20" xfId="0" applyFont="1" applyBorder="1" applyAlignment="1"/>
    <xf numFmtId="0" fontId="8" fillId="0" borderId="21" xfId="0" applyFont="1" applyBorder="1" applyAlignment="1"/>
    <xf numFmtId="0" fontId="8" fillId="0" borderId="27" xfId="0" applyFont="1" applyBorder="1" applyAlignment="1"/>
    <xf numFmtId="0" fontId="8" fillId="0" borderId="28" xfId="0" applyFont="1" applyBorder="1" applyAlignment="1"/>
    <xf numFmtId="0" fontId="8" fillId="0" borderId="32" xfId="0" applyFont="1" applyBorder="1" applyAlignment="1"/>
    <xf numFmtId="0" fontId="8" fillId="0" borderId="33" xfId="0" applyFont="1" applyBorder="1" applyAlignment="1"/>
    <xf numFmtId="0" fontId="8" fillId="0" borderId="36" xfId="0" applyFont="1" applyBorder="1" applyAlignment="1"/>
    <xf numFmtId="0" fontId="8" fillId="0" borderId="37" xfId="0" applyFont="1" applyBorder="1" applyAlignment="1"/>
    <xf numFmtId="0" fontId="8" fillId="0" borderId="38" xfId="0" applyFont="1" applyBorder="1" applyAlignment="1"/>
    <xf numFmtId="0" fontId="8" fillId="0" borderId="18" xfId="0" applyFont="1" applyBorder="1" applyAlignment="1"/>
    <xf numFmtId="0" fontId="8" fillId="0" borderId="39" xfId="0" applyFont="1" applyBorder="1" applyAlignment="1"/>
    <xf numFmtId="0" fontId="8" fillId="0" borderId="80" xfId="0" applyFont="1" applyBorder="1" applyAlignment="1"/>
    <xf numFmtId="0" fontId="8" fillId="0" borderId="76" xfId="0" applyFont="1" applyBorder="1" applyAlignment="1"/>
    <xf numFmtId="0" fontId="8" fillId="0" borderId="59" xfId="0" applyFont="1" applyBorder="1" applyAlignment="1"/>
    <xf numFmtId="0" fontId="8" fillId="0" borderId="60" xfId="0" applyFont="1" applyBorder="1" applyAlignment="1"/>
    <xf numFmtId="0" fontId="8" fillId="0" borderId="42" xfId="0" applyFont="1" applyBorder="1" applyAlignment="1"/>
    <xf numFmtId="0" fontId="8" fillId="0" borderId="43" xfId="0" applyFont="1" applyBorder="1" applyAlignment="1"/>
    <xf numFmtId="0" fontId="8" fillId="0" borderId="45" xfId="0" applyFont="1" applyBorder="1" applyAlignment="1"/>
    <xf numFmtId="0" fontId="8" fillId="0" borderId="48" xfId="0" applyFont="1" applyBorder="1" applyAlignment="1"/>
    <xf numFmtId="0" fontId="8" fillId="0" borderId="49" xfId="0" applyFont="1" applyBorder="1" applyAlignment="1"/>
    <xf numFmtId="0" fontId="8" fillId="0" borderId="51" xfId="0" applyFont="1" applyBorder="1" applyAlignment="1"/>
    <xf numFmtId="0" fontId="8" fillId="0" borderId="54" xfId="0" applyFont="1" applyBorder="1" applyAlignment="1"/>
    <xf numFmtId="0" fontId="8" fillId="0" borderId="55" xfId="0" applyFont="1" applyBorder="1" applyAlignment="1"/>
    <xf numFmtId="0" fontId="8" fillId="0" borderId="57" xfId="0" applyFont="1" applyBorder="1" applyAlignment="1"/>
    <xf numFmtId="0" fontId="8" fillId="0" borderId="62" xfId="0" applyFont="1" applyBorder="1" applyAlignment="1"/>
    <xf numFmtId="0" fontId="8" fillId="0" borderId="63" xfId="0" applyFont="1" applyBorder="1" applyAlignment="1"/>
    <xf numFmtId="0" fontId="8" fillId="0" borderId="75" xfId="0" applyFont="1" applyBorder="1" applyAlignment="1"/>
    <xf numFmtId="0" fontId="8" fillId="0" borderId="58" xfId="0" applyFont="1" applyBorder="1" applyAlignment="1"/>
    <xf numFmtId="0" fontId="8" fillId="19" borderId="48" xfId="0" applyFont="1" applyFill="1" applyBorder="1" applyAlignment="1"/>
    <xf numFmtId="0" fontId="8" fillId="19" borderId="51" xfId="0" applyFont="1" applyFill="1" applyBorder="1" applyAlignment="1"/>
    <xf numFmtId="0" fontId="8" fillId="15" borderId="65" xfId="0" applyFont="1" applyFill="1" applyBorder="1" applyAlignment="1"/>
    <xf numFmtId="0" fontId="8" fillId="15" borderId="66" xfId="0" applyFont="1" applyFill="1" applyBorder="1" applyAlignment="1"/>
    <xf numFmtId="0" fontId="8" fillId="0" borderId="65" xfId="0" applyFont="1" applyBorder="1" applyAlignment="1"/>
    <xf numFmtId="0" fontId="8" fillId="0" borderId="66" xfId="0" applyFont="1" applyBorder="1" applyAlignment="1"/>
    <xf numFmtId="0" fontId="8" fillId="15" borderId="67" xfId="0" applyFont="1" applyFill="1" applyBorder="1" applyAlignment="1"/>
    <xf numFmtId="0" fontId="8" fillId="15" borderId="68" xfId="0" applyFont="1" applyFill="1" applyBorder="1" applyAlignment="1"/>
    <xf numFmtId="0" fontId="8" fillId="15" borderId="69" xfId="0" applyFont="1" applyFill="1" applyBorder="1" applyAlignment="1"/>
    <xf numFmtId="0" fontId="8" fillId="0" borderId="67" xfId="0" applyFont="1" applyBorder="1" applyAlignment="1"/>
    <xf numFmtId="0" fontId="8" fillId="0" borderId="68" xfId="0" applyFont="1" applyBorder="1" applyAlignment="1"/>
    <xf numFmtId="0" fontId="8" fillId="0" borderId="69" xfId="0" applyFont="1" applyBorder="1" applyAlignment="1"/>
    <xf numFmtId="0" fontId="8" fillId="0" borderId="65" xfId="0" applyFont="1" applyFill="1" applyBorder="1" applyAlignment="1"/>
    <xf numFmtId="0" fontId="8" fillId="0" borderId="66" xfId="0" applyFont="1" applyFill="1" applyBorder="1" applyAlignment="1"/>
    <xf numFmtId="0" fontId="8" fillId="17" borderId="65" xfId="0" applyFont="1" applyFill="1" applyBorder="1" applyAlignment="1"/>
    <xf numFmtId="0" fontId="8" fillId="17" borderId="66" xfId="0" applyFont="1" applyFill="1" applyBorder="1" applyAlignment="1"/>
    <xf numFmtId="0" fontId="8" fillId="0" borderId="67" xfId="0" applyFont="1" applyFill="1" applyBorder="1" applyAlignment="1"/>
    <xf numFmtId="0" fontId="8" fillId="0" borderId="68" xfId="0" applyFont="1" applyFill="1" applyBorder="1" applyAlignment="1"/>
    <xf numFmtId="0" fontId="8" fillId="0" borderId="69" xfId="0" applyFont="1" applyFill="1" applyBorder="1" applyAlignment="1"/>
    <xf numFmtId="0" fontId="8" fillId="17" borderId="67" xfId="0" applyFont="1" applyFill="1" applyBorder="1" applyAlignment="1"/>
    <xf numFmtId="0" fontId="8" fillId="17" borderId="68" xfId="0" applyFont="1" applyFill="1" applyBorder="1" applyAlignment="1"/>
    <xf numFmtId="0" fontId="8" fillId="17" borderId="69" xfId="0" applyFont="1" applyFill="1" applyBorder="1" applyAlignment="1"/>
    <xf numFmtId="0" fontId="8" fillId="16" borderId="65" xfId="0" applyFont="1" applyFill="1" applyBorder="1" applyAlignment="1"/>
    <xf numFmtId="0" fontId="8" fillId="16" borderId="66" xfId="0" applyFont="1" applyFill="1" applyBorder="1" applyAlignment="1"/>
    <xf numFmtId="0" fontId="8" fillId="16" borderId="67" xfId="0" applyFont="1" applyFill="1" applyBorder="1" applyAlignment="1"/>
    <xf numFmtId="0" fontId="8" fillId="16" borderId="68" xfId="0" applyFont="1" applyFill="1" applyBorder="1" applyAlignment="1"/>
    <xf numFmtId="0" fontId="8" fillId="16" borderId="69" xfId="0" applyFont="1" applyFill="1" applyBorder="1" applyAlignment="1"/>
    <xf numFmtId="0" fontId="56" fillId="0" borderId="65" xfId="0" applyFont="1" applyBorder="1" applyAlignment="1"/>
    <xf numFmtId="0" fontId="56" fillId="0" borderId="66" xfId="0" applyFont="1" applyBorder="1" applyAlignment="1"/>
    <xf numFmtId="0" fontId="56" fillId="0" borderId="70" xfId="0" applyFont="1" applyBorder="1" applyAlignment="1"/>
    <xf numFmtId="0" fontId="57" fillId="0" borderId="0" xfId="0" applyFont="1" applyAlignment="1"/>
    <xf numFmtId="0" fontId="56" fillId="0" borderId="71" xfId="0" applyFont="1" applyBorder="1" applyAlignment="1"/>
    <xf numFmtId="0" fontId="56" fillId="0" borderId="67" xfId="0" applyFont="1" applyBorder="1" applyAlignment="1"/>
    <xf numFmtId="0" fontId="56" fillId="0" borderId="68" xfId="0" applyFont="1" applyBorder="1" applyAlignment="1"/>
    <xf numFmtId="0" fontId="56" fillId="0" borderId="69" xfId="0" applyFont="1" applyBorder="1" applyAlignment="1"/>
    <xf numFmtId="0" fontId="8" fillId="0" borderId="94" xfId="0" applyFont="1" applyBorder="1" applyAlignment="1"/>
    <xf numFmtId="0" fontId="8" fillId="0" borderId="73" xfId="0" applyFont="1" applyBorder="1" applyAlignment="1"/>
    <xf numFmtId="0" fontId="8" fillId="0" borderId="74" xfId="0" applyFont="1" applyBorder="1" applyAlignment="1"/>
    <xf numFmtId="0" fontId="0" fillId="0" borderId="18" xfId="0" applyBorder="1" applyAlignment="1"/>
    <xf numFmtId="0" fontId="8" fillId="0" borderId="78" xfId="0" applyFont="1" applyBorder="1" applyAlignment="1"/>
    <xf numFmtId="0" fontId="8" fillId="0" borderId="79" xfId="0" applyFont="1" applyBorder="1" applyAlignment="1"/>
  </cellXfs>
  <cellStyles count="1">
    <cellStyle name="Normal" xfId="0" builtinId="0"/>
  </cellStyles>
  <dxfs count="6">
    <dxf>
      <font>
        <color rgb="FFDBE5F1"/>
      </font>
      <fill>
        <patternFill patternType="solid">
          <fgColor rgb="FFDBE5F1"/>
          <bgColor rgb="FFDBE5F1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 Retrabalho - Surfaçagem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[1]Dados!$B$4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8"/>
              <c:pt idx="0">
                <c:v>Sem laser </c:v>
              </c:pt>
              <c:pt idx="1">
                <c:v>Mal polimento </c:v>
              </c:pt>
              <c:pt idx="2">
                <c:v>Marca de gerador </c:v>
              </c:pt>
              <c:pt idx="3">
                <c:v>Arranhão </c:v>
              </c:pt>
              <c:pt idx="4">
                <c:v>Teton</c:v>
              </c:pt>
              <c:pt idx="5">
                <c:v>Picos </c:v>
              </c:pt>
              <c:pt idx="6">
                <c:v>Laser invertido </c:v>
              </c:pt>
              <c:pt idx="7">
                <c:v>Lente sem polir </c:v>
              </c:pt>
              <c:pt idx="8">
                <c:v>Teton </c:v>
              </c:pt>
              <c:pt idx="9">
                <c:v>Arranhão</c:v>
              </c:pt>
              <c:pt idx="10">
                <c:v>Mal polimento</c:v>
              </c:pt>
              <c:pt idx="11">
                <c:v>Laser fraco </c:v>
              </c:pt>
              <c:pt idx="12">
                <c:v>Lentes sem polir </c:v>
              </c:pt>
              <c:pt idx="13">
                <c:v>Pico </c:v>
              </c:pt>
              <c:pt idx="14">
                <c:v>Laser falhado </c:v>
              </c:pt>
              <c:pt idx="15">
                <c:v>Pico</c:v>
              </c:pt>
              <c:pt idx="16">
                <c:v>Borda mal polida </c:v>
              </c:pt>
              <c:pt idx="17">
                <c:v>Picos</c:v>
              </c:pt>
              <c:pt idx="18">
                <c:v>Lente desblocada no polimento </c:v>
              </c:pt>
              <c:pt idx="19">
                <c:v>Laser trocado com outro serviço </c:v>
              </c:pt>
              <c:pt idx="20">
                <c:v>Laser invertido</c:v>
              </c:pt>
              <c:pt idx="21">
                <c:v>Laser fraco</c:v>
              </c:pt>
              <c:pt idx="22">
                <c:v>Lentes sem polir e sem laser </c:v>
              </c:pt>
              <c:pt idx="23">
                <c:v>Batida</c:v>
              </c:pt>
              <c:pt idx="24">
                <c:v>Batida interna </c:v>
              </c:pt>
              <c:pt idx="25">
                <c:v>Borda com picos </c:v>
              </c:pt>
              <c:pt idx="26">
                <c:v>Laser de cabeça para baixo</c:v>
              </c:pt>
              <c:pt idx="27">
                <c:v>Laser duplo</c:v>
              </c:pt>
              <c:pt idx="28">
                <c:v>Laser trocado com outro serviço</c:v>
              </c:pt>
              <c:pt idx="29">
                <c:v>Espessura grossa</c:v>
              </c:pt>
              <c:pt idx="30">
                <c:v>Riscos</c:v>
              </c:pt>
              <c:pt idx="31">
                <c:v>Sem laser</c:v>
              </c:pt>
              <c:pt idx="32">
                <c:v>Espessura grossa </c:v>
              </c:pt>
              <c:pt idx="33">
                <c:v>Borda mal polida</c:v>
              </c:pt>
              <c:pt idx="34">
                <c:v>Lentes arranhadas</c:v>
              </c:pt>
              <c:pt idx="35">
                <c:v>Laser marcado de cabeça pra baixo</c:v>
              </c:pt>
              <c:pt idx="36">
                <c:v>Marca de gerador</c:v>
              </c:pt>
              <c:pt idx="37">
                <c:v>Falha no polimento </c:v>
              </c:pt>
            </c:strLit>
          </c:cat>
          <c:val>
            <c:numLit>
              <c:formatCode>General</c:formatCode>
              <c:ptCount val="38"/>
              <c:pt idx="0">
                <c:v>5889</c:v>
              </c:pt>
              <c:pt idx="1">
                <c:v>4634</c:v>
              </c:pt>
              <c:pt idx="2">
                <c:v>2719</c:v>
              </c:pt>
              <c:pt idx="3">
                <c:v>2340</c:v>
              </c:pt>
              <c:pt idx="4">
                <c:v>1893</c:v>
              </c:pt>
              <c:pt idx="5">
                <c:v>1318</c:v>
              </c:pt>
              <c:pt idx="6">
                <c:v>1307</c:v>
              </c:pt>
              <c:pt idx="7">
                <c:v>1214</c:v>
              </c:pt>
              <c:pt idx="8">
                <c:v>893</c:v>
              </c:pt>
              <c:pt idx="9">
                <c:v>876</c:v>
              </c:pt>
              <c:pt idx="10">
                <c:v>697</c:v>
              </c:pt>
              <c:pt idx="11">
                <c:v>656</c:v>
              </c:pt>
              <c:pt idx="12">
                <c:v>654</c:v>
              </c:pt>
              <c:pt idx="13">
                <c:v>500</c:v>
              </c:pt>
              <c:pt idx="14">
                <c:v>306</c:v>
              </c:pt>
              <c:pt idx="15">
                <c:v>289</c:v>
              </c:pt>
              <c:pt idx="16">
                <c:v>258</c:v>
              </c:pt>
              <c:pt idx="17">
                <c:v>246</c:v>
              </c:pt>
              <c:pt idx="18">
                <c:v>235</c:v>
              </c:pt>
              <c:pt idx="19">
                <c:v>221</c:v>
              </c:pt>
              <c:pt idx="20">
                <c:v>200</c:v>
              </c:pt>
              <c:pt idx="21">
                <c:v>198</c:v>
              </c:pt>
              <c:pt idx="22">
                <c:v>194</c:v>
              </c:pt>
              <c:pt idx="23">
                <c:v>185</c:v>
              </c:pt>
              <c:pt idx="24">
                <c:v>165</c:v>
              </c:pt>
              <c:pt idx="25">
                <c:v>141</c:v>
              </c:pt>
              <c:pt idx="26">
                <c:v>109</c:v>
              </c:pt>
              <c:pt idx="27">
                <c:v>107</c:v>
              </c:pt>
              <c:pt idx="28">
                <c:v>95</c:v>
              </c:pt>
              <c:pt idx="29">
                <c:v>92</c:v>
              </c:pt>
              <c:pt idx="30">
                <c:v>89</c:v>
              </c:pt>
              <c:pt idx="31">
                <c:v>52</c:v>
              </c:pt>
              <c:pt idx="32">
                <c:v>48</c:v>
              </c:pt>
              <c:pt idx="33">
                <c:v>42</c:v>
              </c:pt>
              <c:pt idx="34">
                <c:v>28</c:v>
              </c:pt>
              <c:pt idx="35">
                <c:v>21</c:v>
              </c:pt>
              <c:pt idx="36">
                <c:v>8</c:v>
              </c:pt>
              <c:pt idx="3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744-4DC1-ABCA-E89CB0E0B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8448263"/>
        <c:axId val="1988450311"/>
      </c:barChart>
      <c:catAx>
        <c:axId val="198844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50311"/>
        <c:crosses val="autoZero"/>
        <c:auto val="1"/>
        <c:lblAlgn val="ctr"/>
        <c:lblOffset val="100"/>
        <c:noMultiLvlLbl val="0"/>
      </c:catAx>
      <c:valAx>
        <c:axId val="1988450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48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 de Retrabalho -Surfaçagem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35-45EF-BCA4-7025637611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35-45EF-BCA4-7025637611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35-45EF-BCA4-7025637611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35-45EF-BCA4-7025637611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35-45EF-BCA4-7025637611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35-45EF-BCA4-7025637611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35-45EF-BCA4-7025637611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35-45EF-BCA4-7025637611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35-45EF-BCA4-7025637611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[2]Dados!$F$5:$F$13</c:f>
              <c:strCache>
                <c:ptCount val="9"/>
                <c:pt idx="0">
                  <c:v>Sem laser </c:v>
                </c:pt>
                <c:pt idx="1">
                  <c:v>Mal polimento </c:v>
                </c:pt>
                <c:pt idx="2">
                  <c:v>Marca de gerador </c:v>
                </c:pt>
                <c:pt idx="3">
                  <c:v>Arranhão </c:v>
                </c:pt>
                <c:pt idx="4">
                  <c:v>Teton</c:v>
                </c:pt>
                <c:pt idx="5">
                  <c:v>Picos </c:v>
                </c:pt>
                <c:pt idx="6">
                  <c:v>Laser invertido </c:v>
                </c:pt>
                <c:pt idx="7">
                  <c:v>Lente sem polir </c:v>
                </c:pt>
                <c:pt idx="8">
                  <c:v>Outros</c:v>
                </c:pt>
              </c:strCache>
            </c:strRef>
          </c:cat>
          <c:val>
            <c:numRef>
              <c:f>[2]Dados!$G$5:$G$13</c:f>
              <c:numCache>
                <c:formatCode>General</c:formatCode>
                <c:ptCount val="9"/>
                <c:pt idx="0">
                  <c:v>5889</c:v>
                </c:pt>
                <c:pt idx="1">
                  <c:v>4634</c:v>
                </c:pt>
                <c:pt idx="2">
                  <c:v>2719</c:v>
                </c:pt>
                <c:pt idx="3">
                  <c:v>2340</c:v>
                </c:pt>
                <c:pt idx="4">
                  <c:v>1893</c:v>
                </c:pt>
                <c:pt idx="5">
                  <c:v>1318</c:v>
                </c:pt>
                <c:pt idx="6">
                  <c:v>1307</c:v>
                </c:pt>
                <c:pt idx="7">
                  <c:v>1214</c:v>
                </c:pt>
                <c:pt idx="8">
                  <c:v>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C35-45EF-BCA4-7025637611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Motivos de Retrabalho Surfaçagem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'Gráfico de Pareto'!$C$4:$C$5</c:f>
              <c:strCache>
                <c:ptCount val="2"/>
                <c:pt idx="1">
                  <c:v>Incidência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de Pareto'!$B$6:$B$12</c:f>
              <c:numCache>
                <c:formatCode>General</c:formatCode>
                <c:ptCount val="7"/>
              </c:numCache>
            </c:numRef>
          </c:cat>
          <c:val>
            <c:numRef>
              <c:f>'Gráfico de Pareto'!$C$6:$C$12</c:f>
              <c:numCache>
                <c:formatCode>General</c:formatCode>
                <c:ptCount val="7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13-4387-9101-BB0B0416D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05038"/>
        <c:axId val="1346186295"/>
      </c:barChart>
      <c:lineChart>
        <c:grouping val="standard"/>
        <c:varyColors val="0"/>
        <c:ser>
          <c:idx val="1"/>
          <c:order val="1"/>
          <c:tx>
            <c:strRef>
              <c:f>'Gráfico de Pareto'!$E$4:$E$5</c:f>
              <c:strCache>
                <c:ptCount val="2"/>
                <c:pt idx="1">
                  <c:v>% Acumulada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 de Pareto'!$B$6:$B$12</c:f>
              <c:numCache>
                <c:formatCode>General</c:formatCode>
                <c:ptCount val="7"/>
              </c:numCache>
            </c:numRef>
          </c:cat>
          <c:val>
            <c:numRef>
              <c:f>'Gráfico de Pareto'!$E$6:$E$12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3-4387-9101-BB0B0416D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260032"/>
        <c:axId val="12765125"/>
      </c:lineChart>
      <c:catAx>
        <c:axId val="61605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6186295"/>
        <c:crosses val="autoZero"/>
        <c:auto val="1"/>
        <c:lblAlgn val="ctr"/>
        <c:lblOffset val="100"/>
        <c:noMultiLvlLbl val="1"/>
      </c:catAx>
      <c:valAx>
        <c:axId val="1346186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605038"/>
        <c:crosses val="autoZero"/>
        <c:crossBetween val="between"/>
      </c:valAx>
      <c:catAx>
        <c:axId val="1110260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65125"/>
        <c:crosses val="autoZero"/>
        <c:auto val="1"/>
        <c:lblAlgn val="ctr"/>
        <c:lblOffset val="100"/>
        <c:noMultiLvlLbl val="1"/>
      </c:catAx>
      <c:valAx>
        <c:axId val="127651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026003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BR" b="1" i="0">
                <a:solidFill>
                  <a:srgbClr val="757575"/>
                </a:solidFill>
                <a:latin typeface="+mn-lt"/>
              </a:rPr>
              <a:t>% de Vendas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CDB-4DCF-9C2E-E1559F0E70B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CDB-4DCF-9C2E-E1559F0E70B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CDB-4DCF-9C2E-E1559F0E70B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1CDB-4DCF-9C2E-E1559F0E70B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1CDB-4DCF-9C2E-E1559F0E70BB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1CDB-4DCF-9C2E-E1559F0E70BB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1CDB-4DCF-9C2E-E1559F0E70BB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1CDB-4DCF-9C2E-E1559F0E70BB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1CDB-4DCF-9C2E-E1559F0E70B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'Gráfico Geral'!$B$7:$B$15</c:f>
              <c:numCache>
                <c:formatCode>General</c:formatCode>
                <c:ptCount val="9"/>
              </c:numCache>
            </c:numRef>
          </c:cat>
          <c:val>
            <c:numRef>
              <c:f>'Gráfico Geral'!$D$7:$D$15</c:f>
              <c:numCache>
                <c:formatCode>0.00%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CDB-4DCF-9C2E-E1559F0E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8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Verdana"/>
              </a:defRPr>
            </a:pPr>
            <a:r>
              <a:rPr lang="en-US" sz="1400" b="1" i="0">
                <a:solidFill>
                  <a:srgbClr val="757575"/>
                </a:solidFill>
                <a:latin typeface="Verdana"/>
              </a:rPr>
              <a:t>Análise de Tendência para motivo "sem laser"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069701218854493"/>
          <c:y val="0.18504165713725618"/>
          <c:w val="0.86054751561227261"/>
          <c:h val="0.61042212565752929"/>
        </c:manualLayout>
      </c:layout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'Carta de Tendência'!$C$6:$AE$6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'Carta de Tendência'!$C$7:$AF$7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5-41E1-BC48-EE87C10C4289}"/>
            </c:ext>
          </c:extLst>
        </c:ser>
        <c:ser>
          <c:idx val="1"/>
          <c:order val="1"/>
          <c:marker>
            <c:symbol val="none"/>
          </c:marker>
          <c:cat>
            <c:numRef>
              <c:f>'Carta de Tendência'!$C$6:$AE$6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'Carta de Tendência'!$C$8:$T$8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5-4F33-9013-990FC604BF6D}"/>
            </c:ext>
          </c:extLst>
        </c:ser>
        <c:ser>
          <c:idx val="2"/>
          <c:order val="2"/>
          <c:marker>
            <c:symbol val="none"/>
          </c:marker>
          <c:cat>
            <c:numRef>
              <c:f>'Carta de Tendência'!$C$6:$AE$6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'Carta de Tendência'!$C$9:$T$9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5-4F33-9013-990FC604B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269052"/>
        <c:axId val="576943139"/>
      </c:lineChart>
      <c:catAx>
        <c:axId val="1559269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lang="en-US" sz="1200" b="1" i="0">
                    <a:solidFill>
                      <a:srgbClr val="000000"/>
                    </a:solidFill>
                    <a:latin typeface="Verdana"/>
                  </a:rPr>
                  <a:t>Semanas 2025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Verdana"/>
              </a:defRPr>
            </a:pPr>
            <a:endParaRPr lang="en-US"/>
          </a:p>
        </c:txPr>
        <c:crossAx val="576943139"/>
        <c:crosses val="autoZero"/>
        <c:auto val="1"/>
        <c:lblAlgn val="ctr"/>
        <c:lblOffset val="100"/>
        <c:noMultiLvlLbl val="1"/>
      </c:catAx>
      <c:valAx>
        <c:axId val="576943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lang="pt-BR" b="0" i="0">
                    <a:solidFill>
                      <a:srgbClr val="000000"/>
                    </a:solidFill>
                    <a:latin typeface="Verdana"/>
                  </a:rPr>
                  <a:t>Renomear Título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92690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2.vml.rels><?xml version="1.0" encoding="UTF-8" standalone="yes"?>
<Relationships xmlns="http://schemas.openxmlformats.org/package/2006/relationships"><Relationship Id="R8aa63e439b9c48e8" Type="http://schemas.openxmlformats.org/officeDocument/2006/relationships/image" Target="../media/image4.bin"/></Relationships>
</file>

<file path=xl/drawings/_rels/vmlDrawing3.vml.rels><?xml version="1.0" encoding="UTF-8" standalone="yes"?>
<Relationships xmlns="http://schemas.openxmlformats.org/package/2006/relationships"><Relationship Id="R141558e6f54a4cf7" Type="http://schemas.openxmlformats.org/officeDocument/2006/relationships/image" Target="../media/image5.bin"/></Relationships>
</file>

<file path=xl/drawings/_rels/vmlDrawing4.vml.rels><?xml version="1.0" encoding="UTF-8" standalone="yes"?>
<Relationships xmlns="http://schemas.openxmlformats.org/package/2006/relationships"><Relationship Id="Ree108c96e3fc462f" Type="http://schemas.openxmlformats.org/officeDocument/2006/relationships/image" Target="../media/image6.bin"/></Relationships>
</file>

<file path=xl/drawings/_rels/vmlDrawing5.vml.rels><?xml version="1.0" encoding="UTF-8" standalone="yes"?>
<Relationships xmlns="http://schemas.openxmlformats.org/package/2006/relationships"><Relationship Id="R30a8a09d65b64151" Type="http://schemas.openxmlformats.org/officeDocument/2006/relationships/image" Target="../media/image7.bin"/></Relationships>
</file>

<file path=xl/drawings/_rels/vmlDrawing6.vml.rels><?xml version="1.0" encoding="UTF-8" standalone="yes"?>
<Relationships xmlns="http://schemas.openxmlformats.org/package/2006/relationships"><Relationship Id="R3fbc0d9fe85d4157" Type="http://schemas.openxmlformats.org/officeDocument/2006/relationships/image" Target="../media/image8.bin"/></Relationships>
</file>

<file path=xl/drawings/_rels/vmlDrawing7.vml.rels><?xml version="1.0" encoding="UTF-8" standalone="yes"?>
<Relationships xmlns="http://schemas.openxmlformats.org/package/2006/relationships"><Relationship Id="R924e18be2ba74215" Type="http://schemas.openxmlformats.org/officeDocument/2006/relationships/image" Target="../media/image9.bin"/></Relationships>
</file>

<file path=xl/drawings/_rels/vmlDrawing8.vml.rels><?xml version="1.0" encoding="UTF-8" standalone="yes"?>
<Relationships xmlns="http://schemas.openxmlformats.org/package/2006/relationships"><Relationship Id="Ra413fededd984780" Type="http://schemas.openxmlformats.org/officeDocument/2006/relationships/image" Target="../media/image10.bin"/></Relationships>
</file>

<file path=xl/drawings/_rels/vmlDrawing9.vml.rels><?xml version="1.0" encoding="UTF-8" standalone="yes"?>
<Relationships xmlns="http://schemas.openxmlformats.org/package/2006/relationships"><Relationship Id="Rce3722dee83c401a" Type="http://schemas.openxmlformats.org/officeDocument/2006/relationships/image" Target="../media/image11.bin"/></Relationships>
</file>

<file path=xl/drawings/_rels/vmlDrawing10.vml.rels><?xml version="1.0" encoding="UTF-8" standalone="yes"?>
<Relationships xmlns="http://schemas.openxmlformats.org/package/2006/relationships"><Relationship Id="Rc2eb77f3da5f4c5f" Type="http://schemas.openxmlformats.org/officeDocument/2006/relationships/image" Target="../media/image12.bin"/></Relationships>
</file>

<file path=xl/drawings/_rels/vmlDrawing11.vml.rels><?xml version="1.0" encoding="UTF-8" standalone="yes"?>
<Relationships xmlns="http://schemas.openxmlformats.org/package/2006/relationships"><Relationship Id="Rf5bb65b3d81f4066" Type="http://schemas.openxmlformats.org/officeDocument/2006/relationships/image" Target="../media/image13.bin"/></Relationships>
</file>

<file path=xl/drawings/_rels/vmlDrawing12.vml.rels><?xml version="1.0" encoding="UTF-8" standalone="yes"?>
<Relationships xmlns="http://schemas.openxmlformats.org/package/2006/relationships"><Relationship Id="R2ac64a1241964dd4" Type="http://schemas.openxmlformats.org/officeDocument/2006/relationships/image" Target="../media/image14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59</xdr:row>
      <xdr:rowOff>57150</xdr:rowOff>
    </xdr:from>
    <xdr:to>
      <xdr:col>4</xdr:col>
      <xdr:colOff>3381375</xdr:colOff>
      <xdr:row>74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53F8AFC-80AD-4D09-B18B-D5FC2C62A82C}"/>
            </a:ext>
            <a:ext uri="{147F2762-F138-4A5C-976F-8EAC2B608ADB}">
              <a16:predDERef xmlns:a16="http://schemas.microsoft.com/office/drawing/2014/main" pred="{DE8D0FED-B4D2-7F55-7E9E-97699B368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3409950</xdr:colOff>
      <xdr:row>59</xdr:row>
      <xdr:rowOff>57150</xdr:rowOff>
    </xdr:from>
    <xdr:to>
      <xdr:col>6</xdr:col>
      <xdr:colOff>161925</xdr:colOff>
      <xdr:row>73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FC69499-4D8A-42F1-BE97-D8B59327F095}"/>
            </a:ext>
            <a:ext uri="{147F2762-F138-4A5C-976F-8EAC2B608ADB}">
              <a16:predDERef xmlns:a16="http://schemas.microsoft.com/office/drawing/2014/main" pred="{553F8AFC-80AD-4D09-B18B-D5FC2C62A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74</xdr:row>
      <xdr:rowOff>66675</xdr:rowOff>
    </xdr:from>
    <xdr:to>
      <xdr:col>3</xdr:col>
      <xdr:colOff>390525</xdr:colOff>
      <xdr:row>78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AB71F8-7F7F-403A-A98F-4672AEA3F340}"/>
            </a:ext>
            <a:ext uri="{147F2762-F138-4A5C-976F-8EAC2B608ADB}">
              <a16:predDERef xmlns:a16="http://schemas.microsoft.com/office/drawing/2014/main" pred="{F10262DA-2721-4A6F-A5AF-5DF9FF834995}"/>
            </a:ext>
          </a:extLst>
        </xdr:cNvPr>
        <xdr:cNvSpPr txBox="1"/>
      </xdr:nvSpPr>
      <xdr:spPr>
        <a:xfrm>
          <a:off x="19050" y="18249900"/>
          <a:ext cx="373380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Dados:https://luxotticagroup-my.sharepoint.com/:x:/r/personal/diascarm_essilorluxottica_id/Documents/Reprocesso%20Surfa%C3%A7agem.xlsx?d=wd861b2dbc3254583a4bb526bb60bb794&amp;csf=1&amp;web=1&amp;e=IiOOjs</a:t>
          </a:r>
        </a:p>
      </xdr:txBody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1000125</xdr:colOff>
      <xdr:row>35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D703D6-5935-4B0A-B8F1-7054FD92FC61}"/>
            </a:ext>
            <a:ext uri="{147F2762-F138-4A5C-976F-8EAC2B608ADB}">
              <a16:predDERef xmlns:a16="http://schemas.microsoft.com/office/drawing/2014/main" pred="{C1AB71F8-7F7F-403A-A98F-4672AEA3F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7115175"/>
          <a:ext cx="5457825" cy="2609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123825</xdr:colOff>
      <xdr:row>5</xdr:row>
      <xdr:rowOff>123825</xdr:rowOff>
    </xdr:from>
    <xdr:to>
      <xdr:col>31</xdr:col>
      <xdr:colOff>123825</xdr:colOff>
      <xdr:row>6</xdr:row>
      <xdr:rowOff>219075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93E7F512-C9A1-CB91-E82F-806C9E3557C5}"/>
            </a:ext>
            <a:ext uri="{147F2762-F138-4A5C-976F-8EAC2B608ADB}">
              <a16:predDERef xmlns:a16="http://schemas.microsoft.com/office/drawing/2014/main" pred="{FEDCA6A6-FEF3-1766-57B0-BAD49BA1D55C}"/>
            </a:ext>
          </a:extLst>
        </xdr:cNvPr>
        <xdr:cNvSpPr/>
      </xdr:nvSpPr>
      <xdr:spPr>
        <a:xfrm>
          <a:off x="12115800" y="1333500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Fitagem</a:t>
          </a:r>
        </a:p>
      </xdr:txBody>
    </xdr:sp>
    <xdr:clientData/>
  </xdr:twoCellAnchor>
  <xdr:twoCellAnchor>
    <xdr:from>
      <xdr:col>27</xdr:col>
      <xdr:colOff>133350</xdr:colOff>
      <xdr:row>7</xdr:row>
      <xdr:rowOff>161925</xdr:rowOff>
    </xdr:from>
    <xdr:to>
      <xdr:col>31</xdr:col>
      <xdr:colOff>133350</xdr:colOff>
      <xdr:row>8</xdr:row>
      <xdr:rowOff>257175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51A6254B-71DF-4F79-86DB-57496C8B253F}"/>
            </a:ext>
            <a:ext uri="{147F2762-F138-4A5C-976F-8EAC2B608ADB}">
              <a16:predDERef xmlns:a16="http://schemas.microsoft.com/office/drawing/2014/main" pred="{93E7F512-C9A1-CB91-E82F-806C9E3557C5}"/>
            </a:ext>
          </a:extLst>
        </xdr:cNvPr>
        <xdr:cNvSpPr/>
      </xdr:nvSpPr>
      <xdr:spPr>
        <a:xfrm>
          <a:off x="12125325" y="2076450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Surfaçagem</a:t>
          </a:r>
        </a:p>
      </xdr:txBody>
    </xdr:sp>
    <xdr:clientData/>
  </xdr:twoCellAnchor>
  <xdr:twoCellAnchor>
    <xdr:from>
      <xdr:col>27</xdr:col>
      <xdr:colOff>161925</xdr:colOff>
      <xdr:row>9</xdr:row>
      <xdr:rowOff>171450</xdr:rowOff>
    </xdr:from>
    <xdr:to>
      <xdr:col>31</xdr:col>
      <xdr:colOff>161925</xdr:colOff>
      <xdr:row>10</xdr:row>
      <xdr:rowOff>266700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B61D8BB2-4249-446C-964E-C9FBC1B8BA68}"/>
            </a:ext>
            <a:ext uri="{147F2762-F138-4A5C-976F-8EAC2B608ADB}">
              <a16:predDERef xmlns:a16="http://schemas.microsoft.com/office/drawing/2014/main" pred="{51A6254B-71DF-4F79-86DB-57496C8B253F}"/>
            </a:ext>
          </a:extLst>
        </xdr:cNvPr>
        <xdr:cNvSpPr/>
      </xdr:nvSpPr>
      <xdr:spPr>
        <a:xfrm>
          <a:off x="12153900" y="2790825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Anti-risco</a:t>
          </a:r>
        </a:p>
      </xdr:txBody>
    </xdr:sp>
    <xdr:clientData/>
  </xdr:twoCellAnchor>
  <xdr:twoCellAnchor>
    <xdr:from>
      <xdr:col>27</xdr:col>
      <xdr:colOff>190500</xdr:colOff>
      <xdr:row>11</xdr:row>
      <xdr:rowOff>219075</xdr:rowOff>
    </xdr:from>
    <xdr:to>
      <xdr:col>31</xdr:col>
      <xdr:colOff>190500</xdr:colOff>
      <xdr:row>12</xdr:row>
      <xdr:rowOff>314325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26784D3C-49D3-4777-9C4F-1F0C014AA41D}"/>
            </a:ext>
            <a:ext uri="{147F2762-F138-4A5C-976F-8EAC2B608ADB}">
              <a16:predDERef xmlns:a16="http://schemas.microsoft.com/office/drawing/2014/main" pred="{B61D8BB2-4249-446C-964E-C9FBC1B8BA68}"/>
            </a:ext>
          </a:extLst>
        </xdr:cNvPr>
        <xdr:cNvSpPr/>
      </xdr:nvSpPr>
      <xdr:spPr>
        <a:xfrm>
          <a:off x="12182475" y="3543300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Anti-reflexo</a:t>
          </a:r>
        </a:p>
      </xdr:txBody>
    </xdr:sp>
    <xdr:clientData/>
  </xdr:twoCellAnchor>
  <xdr:twoCellAnchor>
    <xdr:from>
      <xdr:col>28</xdr:col>
      <xdr:colOff>0</xdr:colOff>
      <xdr:row>13</xdr:row>
      <xdr:rowOff>228600</xdr:rowOff>
    </xdr:from>
    <xdr:to>
      <xdr:col>32</xdr:col>
      <xdr:colOff>0</xdr:colOff>
      <xdr:row>14</xdr:row>
      <xdr:rowOff>323850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8A359CAF-856B-486E-B537-7E2695D091D2}"/>
            </a:ext>
            <a:ext uri="{147F2762-F138-4A5C-976F-8EAC2B608ADB}">
              <a16:predDERef xmlns:a16="http://schemas.microsoft.com/office/drawing/2014/main" pred="{26784D3C-49D3-4777-9C4F-1F0C014AA41D}"/>
            </a:ext>
          </a:extLst>
        </xdr:cNvPr>
        <xdr:cNvSpPr/>
      </xdr:nvSpPr>
      <xdr:spPr>
        <a:xfrm>
          <a:off x="12211050" y="4257675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Controle </a:t>
          </a:r>
        </a:p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Final</a:t>
          </a:r>
        </a:p>
      </xdr:txBody>
    </xdr:sp>
    <xdr:clientData/>
  </xdr:twoCellAnchor>
  <xdr:twoCellAnchor>
    <xdr:from>
      <xdr:col>27</xdr:col>
      <xdr:colOff>114300</xdr:colOff>
      <xdr:row>3</xdr:row>
      <xdr:rowOff>133350</xdr:rowOff>
    </xdr:from>
    <xdr:to>
      <xdr:col>31</xdr:col>
      <xdr:colOff>114300</xdr:colOff>
      <xdr:row>4</xdr:row>
      <xdr:rowOff>285750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5AACBA1A-7C56-4423-AF66-F205DE12227C}"/>
            </a:ext>
            <a:ext uri="{147F2762-F138-4A5C-976F-8EAC2B608ADB}">
              <a16:predDERef xmlns:a16="http://schemas.microsoft.com/office/drawing/2014/main" pred="{8A359CAF-856B-486E-B537-7E2695D091D2}"/>
            </a:ext>
          </a:extLst>
        </xdr:cNvPr>
        <xdr:cNvSpPr/>
      </xdr:nvSpPr>
      <xdr:spPr>
        <a:xfrm>
          <a:off x="12106275" y="695325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Separação de bloco</a:t>
          </a:r>
        </a:p>
      </xdr:txBody>
    </xdr:sp>
    <xdr:clientData/>
  </xdr:twoCellAnchor>
  <xdr:twoCellAnchor>
    <xdr:from>
      <xdr:col>27</xdr:col>
      <xdr:colOff>104775</xdr:colOff>
      <xdr:row>0</xdr:row>
      <xdr:rowOff>85725</xdr:rowOff>
    </xdr:from>
    <xdr:to>
      <xdr:col>31</xdr:col>
      <xdr:colOff>104775</xdr:colOff>
      <xdr:row>2</xdr:row>
      <xdr:rowOff>200025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A899D5B8-3DCC-4A4C-93A3-F271F9D3F2C0}"/>
            </a:ext>
            <a:ext uri="{147F2762-F138-4A5C-976F-8EAC2B608ADB}">
              <a16:predDERef xmlns:a16="http://schemas.microsoft.com/office/drawing/2014/main" pred="{5AACBA1A-7C56-4423-AF66-F205DE12227C}"/>
            </a:ext>
          </a:extLst>
        </xdr:cNvPr>
        <xdr:cNvSpPr/>
      </xdr:nvSpPr>
      <xdr:spPr>
        <a:xfrm>
          <a:off x="12096750" y="85725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Abertura de pedido</a:t>
          </a:r>
        </a:p>
      </xdr:txBody>
    </xdr:sp>
    <xdr:clientData/>
  </xdr:twoCellAnchor>
  <xdr:twoCellAnchor>
    <xdr:from>
      <xdr:col>28</xdr:col>
      <xdr:colOff>0</xdr:colOff>
      <xdr:row>15</xdr:row>
      <xdr:rowOff>161925</xdr:rowOff>
    </xdr:from>
    <xdr:to>
      <xdr:col>32</xdr:col>
      <xdr:colOff>0</xdr:colOff>
      <xdr:row>16</xdr:row>
      <xdr:rowOff>257175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370E64A-93EB-4C2F-B3EB-484A70132A42}"/>
            </a:ext>
            <a:ext uri="{147F2762-F138-4A5C-976F-8EAC2B608ADB}">
              <a16:predDERef xmlns:a16="http://schemas.microsoft.com/office/drawing/2014/main" pred="{A899D5B8-3DCC-4A4C-93A3-F271F9D3F2C0}"/>
            </a:ext>
          </a:extLst>
        </xdr:cNvPr>
        <xdr:cNvSpPr/>
      </xdr:nvSpPr>
      <xdr:spPr>
        <a:xfrm>
          <a:off x="12211050" y="4895850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Expedição</a:t>
          </a:r>
        </a:p>
      </xdr:txBody>
    </xdr:sp>
    <xdr:clientData/>
  </xdr:twoCellAnchor>
  <xdr:twoCellAnchor>
    <xdr:from>
      <xdr:col>28</xdr:col>
      <xdr:colOff>28575</xdr:colOff>
      <xdr:row>17</xdr:row>
      <xdr:rowOff>142875</xdr:rowOff>
    </xdr:from>
    <xdr:to>
      <xdr:col>32</xdr:col>
      <xdr:colOff>28575</xdr:colOff>
      <xdr:row>18</xdr:row>
      <xdr:rowOff>238125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95D5453E-9E69-4A43-9B41-B009EE279C86}"/>
            </a:ext>
            <a:ext uri="{147F2762-F138-4A5C-976F-8EAC2B608ADB}">
              <a16:predDERef xmlns:a16="http://schemas.microsoft.com/office/drawing/2014/main" pred="{0370E64A-93EB-4C2F-B3EB-484A70132A42}"/>
            </a:ext>
          </a:extLst>
        </xdr:cNvPr>
        <xdr:cNvSpPr/>
      </xdr:nvSpPr>
      <xdr:spPr>
        <a:xfrm>
          <a:off x="12239625" y="5581650"/>
          <a:ext cx="8763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Cliente final</a:t>
          </a:r>
        </a:p>
      </xdr:txBody>
    </xdr:sp>
    <xdr:clientData/>
  </xdr:twoCellAnchor>
  <xdr:twoCellAnchor>
    <xdr:from>
      <xdr:col>29</xdr:col>
      <xdr:colOff>95250</xdr:colOff>
      <xdr:row>2</xdr:row>
      <xdr:rowOff>180975</xdr:rowOff>
    </xdr:from>
    <xdr:to>
      <xdr:col>29</xdr:col>
      <xdr:colOff>104775</xdr:colOff>
      <xdr:row>3</xdr:row>
      <xdr:rowOff>180975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EC68A319-8DA9-4E97-9700-6404FAA1AEE6}"/>
            </a:ext>
            <a:ext uri="{147F2762-F138-4A5C-976F-8EAC2B608ADB}">
              <a16:predDERef xmlns:a16="http://schemas.microsoft.com/office/drawing/2014/main" pred="{B26CBDD8-48F9-A0A2-59DC-3D77C8870DFD}"/>
            </a:ext>
          </a:extLst>
        </xdr:cNvPr>
        <xdr:cNvCxnSpPr>
          <a:cxnSpLocks/>
        </xdr:cNvCxnSpPr>
      </xdr:nvCxnSpPr>
      <xdr:spPr>
        <a:xfrm>
          <a:off x="12525375" y="514350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4</xdr:row>
      <xdr:rowOff>295275</xdr:rowOff>
    </xdr:from>
    <xdr:to>
      <xdr:col>29</xdr:col>
      <xdr:colOff>104775</xdr:colOff>
      <xdr:row>5</xdr:row>
      <xdr:rowOff>171450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98FCBCDC-4FDE-4E7F-99F9-D4D9A34EFE45}"/>
            </a:ext>
            <a:ext uri="{147F2762-F138-4A5C-976F-8EAC2B608ADB}">
              <a16:predDERef xmlns:a16="http://schemas.microsoft.com/office/drawing/2014/main" pred="{EC68A319-8DA9-4E97-9700-6404FAA1AEE6}"/>
            </a:ext>
          </a:extLst>
        </xdr:cNvPr>
        <xdr:cNvCxnSpPr>
          <a:cxnSpLocks/>
        </xdr:cNvCxnSpPr>
      </xdr:nvCxnSpPr>
      <xdr:spPr>
        <a:xfrm>
          <a:off x="12525375" y="1152525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85725</xdr:colOff>
      <xdr:row>6</xdr:row>
      <xdr:rowOff>219075</xdr:rowOff>
    </xdr:from>
    <xdr:to>
      <xdr:col>29</xdr:col>
      <xdr:colOff>95250</xdr:colOff>
      <xdr:row>7</xdr:row>
      <xdr:rowOff>95250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70553A6D-90C1-4D46-B142-25DC24D3CB87}"/>
            </a:ext>
            <a:ext uri="{147F2762-F138-4A5C-976F-8EAC2B608ADB}">
              <a16:predDERef xmlns:a16="http://schemas.microsoft.com/office/drawing/2014/main" pred="{98FCBCDC-4FDE-4E7F-99F9-D4D9A34EFE45}"/>
            </a:ext>
          </a:extLst>
        </xdr:cNvPr>
        <xdr:cNvCxnSpPr>
          <a:cxnSpLocks/>
        </xdr:cNvCxnSpPr>
      </xdr:nvCxnSpPr>
      <xdr:spPr>
        <a:xfrm>
          <a:off x="12515850" y="1781175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8</xdr:row>
      <xdr:rowOff>238125</xdr:rowOff>
    </xdr:from>
    <xdr:to>
      <xdr:col>29</xdr:col>
      <xdr:colOff>85725</xdr:colOff>
      <xdr:row>9</xdr:row>
      <xdr:rowOff>114300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1901DA74-B22A-4F0B-92CD-D85E47C63667}"/>
            </a:ext>
            <a:ext uri="{147F2762-F138-4A5C-976F-8EAC2B608ADB}">
              <a16:predDERef xmlns:a16="http://schemas.microsoft.com/office/drawing/2014/main" pred="{70553A6D-90C1-4D46-B142-25DC24D3CB87}"/>
            </a:ext>
          </a:extLst>
        </xdr:cNvPr>
        <xdr:cNvCxnSpPr>
          <a:cxnSpLocks/>
        </xdr:cNvCxnSpPr>
      </xdr:nvCxnSpPr>
      <xdr:spPr>
        <a:xfrm>
          <a:off x="12506325" y="2505075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114300</xdr:colOff>
      <xdr:row>10</xdr:row>
      <xdr:rowOff>266700</xdr:rowOff>
    </xdr:from>
    <xdr:to>
      <xdr:col>29</xdr:col>
      <xdr:colOff>123825</xdr:colOff>
      <xdr:row>11</xdr:row>
      <xdr:rowOff>142875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D1F74681-65E4-4D67-804E-5F0C38B43F9C}"/>
            </a:ext>
            <a:ext uri="{147F2762-F138-4A5C-976F-8EAC2B608ADB}">
              <a16:predDERef xmlns:a16="http://schemas.microsoft.com/office/drawing/2014/main" pred="{1901DA74-B22A-4F0B-92CD-D85E47C63667}"/>
            </a:ext>
          </a:extLst>
        </xdr:cNvPr>
        <xdr:cNvCxnSpPr>
          <a:cxnSpLocks/>
        </xdr:cNvCxnSpPr>
      </xdr:nvCxnSpPr>
      <xdr:spPr>
        <a:xfrm>
          <a:off x="12544425" y="3238500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133350</xdr:colOff>
      <xdr:row>12</xdr:row>
      <xdr:rowOff>342900</xdr:rowOff>
    </xdr:from>
    <xdr:to>
      <xdr:col>29</xdr:col>
      <xdr:colOff>142875</xdr:colOff>
      <xdr:row>13</xdr:row>
      <xdr:rowOff>219075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CB81638C-11AB-4887-ACC6-5C89C98587C1}"/>
            </a:ext>
            <a:ext uri="{147F2762-F138-4A5C-976F-8EAC2B608ADB}">
              <a16:predDERef xmlns:a16="http://schemas.microsoft.com/office/drawing/2014/main" pred="{D1F74681-65E4-4D67-804E-5F0C38B43F9C}"/>
            </a:ext>
          </a:extLst>
        </xdr:cNvPr>
        <xdr:cNvCxnSpPr>
          <a:cxnSpLocks/>
        </xdr:cNvCxnSpPr>
      </xdr:nvCxnSpPr>
      <xdr:spPr>
        <a:xfrm>
          <a:off x="12563475" y="4019550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171450</xdr:colOff>
      <xdr:row>14</xdr:row>
      <xdr:rowOff>333375</xdr:rowOff>
    </xdr:from>
    <xdr:to>
      <xdr:col>29</xdr:col>
      <xdr:colOff>180975</xdr:colOff>
      <xdr:row>15</xdr:row>
      <xdr:rowOff>209550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956ADAB6-BCF9-4DEC-A540-B15F2B36F07B}"/>
            </a:ext>
            <a:ext uri="{147F2762-F138-4A5C-976F-8EAC2B608ADB}">
              <a16:predDERef xmlns:a16="http://schemas.microsoft.com/office/drawing/2014/main" pred="{CB81638C-11AB-4887-ACC6-5C89C98587C1}"/>
            </a:ext>
          </a:extLst>
        </xdr:cNvPr>
        <xdr:cNvCxnSpPr>
          <a:cxnSpLocks/>
        </xdr:cNvCxnSpPr>
      </xdr:nvCxnSpPr>
      <xdr:spPr>
        <a:xfrm>
          <a:off x="12601575" y="4714875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200025</xdr:colOff>
      <xdr:row>16</xdr:row>
      <xdr:rowOff>266700</xdr:rowOff>
    </xdr:from>
    <xdr:to>
      <xdr:col>29</xdr:col>
      <xdr:colOff>209550</xdr:colOff>
      <xdr:row>17</xdr:row>
      <xdr:rowOff>142875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DE5FA2B1-D1AA-40D6-9F14-BB966FF40446}"/>
            </a:ext>
            <a:ext uri="{147F2762-F138-4A5C-976F-8EAC2B608ADB}">
              <a16:predDERef xmlns:a16="http://schemas.microsoft.com/office/drawing/2014/main" pred="{956ADAB6-BCF9-4DEC-A540-B15F2B36F07B}"/>
            </a:ext>
          </a:extLst>
        </xdr:cNvPr>
        <xdr:cNvCxnSpPr>
          <a:cxnSpLocks/>
        </xdr:cNvCxnSpPr>
      </xdr:nvCxnSpPr>
      <xdr:spPr>
        <a:xfrm>
          <a:off x="12630150" y="5353050"/>
          <a:ext cx="9525" cy="22860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18</xdr:row>
      <xdr:rowOff>-19050</xdr:rowOff>
    </xdr:from>
    <xdr:ext cx="122205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590675" y="3848100"/>
          <a:ext cx="12220575" cy="38100"/>
          <a:chOff x="0" y="3780000"/>
          <a:chExt cx="10692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-9525</xdr:colOff>
      <xdr:row>6</xdr:row>
      <xdr:rowOff>-9525</xdr:rowOff>
    </xdr:from>
    <xdr:ext cx="1952625" cy="2533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11020425" y="1343025"/>
          <a:ext cx="1952625" cy="2533650"/>
          <a:chOff x="4379213" y="2522700"/>
          <a:chExt cx="1933575" cy="2514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276225</xdr:colOff>
      <xdr:row>18</xdr:row>
      <xdr:rowOff>-9525</xdr:rowOff>
    </xdr:from>
    <xdr:ext cx="1952625" cy="29432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3524250" y="3857625"/>
          <a:ext cx="1952625" cy="2943225"/>
          <a:chOff x="4379213" y="2317913"/>
          <a:chExt cx="1933575" cy="292417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-9525</xdr:colOff>
      <xdr:row>18</xdr:row>
      <xdr:rowOff>-9525</xdr:rowOff>
    </xdr:from>
    <xdr:ext cx="1952625" cy="29432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7105650" y="3857625"/>
          <a:ext cx="1952625" cy="2943225"/>
          <a:chOff x="4379213" y="2317913"/>
          <a:chExt cx="1933575" cy="2924175"/>
        </a:xfrm>
      </xdr:grpSpPr>
      <xdr:cxnSp macro="">
        <xdr:nvCxnSpPr>
          <xdr:cNvPr id="9" name="Shape 5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-9525</xdr:colOff>
      <xdr:row>18</xdr:row>
      <xdr:rowOff>-9525</xdr:rowOff>
    </xdr:from>
    <xdr:ext cx="1952625" cy="29432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1020425" y="3857625"/>
          <a:ext cx="1952625" cy="2943225"/>
          <a:chOff x="4379213" y="2317913"/>
          <a:chExt cx="1933575" cy="2924175"/>
        </a:xfrm>
      </xdr:grpSpPr>
      <xdr:cxnSp macro="">
        <xdr:nvCxnSpPr>
          <xdr:cNvPr id="11" name="Shape 5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34</xdr:col>
      <xdr:colOff>0</xdr:colOff>
      <xdr:row>7</xdr:row>
      <xdr:rowOff>-9525</xdr:rowOff>
    </xdr:from>
    <xdr:ext cx="876300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10277475" y="1552575"/>
          <a:ext cx="876300" cy="38100"/>
          <a:chOff x="4907850" y="3780000"/>
          <a:chExt cx="876300" cy="0"/>
        </a:xfrm>
      </xdr:grpSpPr>
      <xdr:cxnSp macro="">
        <xdr:nvCxnSpPr>
          <xdr:cNvPr id="13" name="Shape 6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CxnSpPr/>
        </xdr:nvCxnSpPr>
        <xdr:spPr>
          <a:xfrm>
            <a:off x="4907850" y="3780000"/>
            <a:ext cx="876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20</xdr:col>
      <xdr:colOff>28575</xdr:colOff>
      <xdr:row>7</xdr:row>
      <xdr:rowOff>9525</xdr:rowOff>
    </xdr:from>
    <xdr:ext cx="97155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6315075" y="1571625"/>
          <a:ext cx="971550" cy="38100"/>
          <a:chOff x="4860225" y="3780000"/>
          <a:chExt cx="971550" cy="0"/>
        </a:xfrm>
      </xdr:grpSpPr>
      <xdr:cxnSp macro="">
        <xdr:nvCxnSpPr>
          <xdr:cNvPr id="15" name="Shape 7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0</xdr:colOff>
      <xdr:row>10</xdr:row>
      <xdr:rowOff>-19050</xdr:rowOff>
    </xdr:from>
    <xdr:ext cx="923925" cy="381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pSpPr/>
      </xdr:nvGrpSpPr>
      <xdr:grpSpPr>
        <a:xfrm>
          <a:off x="6838950" y="2171700"/>
          <a:ext cx="923925" cy="38100"/>
          <a:chOff x="4884038" y="3780000"/>
          <a:chExt cx="923925" cy="0"/>
        </a:xfrm>
      </xdr:grpSpPr>
      <xdr:cxnSp macro="">
        <xdr:nvCxnSpPr>
          <xdr:cNvPr id="17" name="Shape 8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CxnSpPr/>
        </xdr:nvCxnSpPr>
        <xdr:spPr>
          <a:xfrm>
            <a:off x="4884038" y="3780000"/>
            <a:ext cx="9239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13</xdr:row>
      <xdr:rowOff>-9525</xdr:rowOff>
    </xdr:from>
    <xdr:ext cx="857250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7391400" y="2809875"/>
          <a:ext cx="857250" cy="38100"/>
          <a:chOff x="4917375" y="3780000"/>
          <a:chExt cx="857250" cy="0"/>
        </a:xfrm>
      </xdr:grpSpPr>
      <xdr:cxnSp macro="">
        <xdr:nvCxnSpPr>
          <xdr:cNvPr id="19" name="Shape 9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15</xdr:row>
      <xdr:rowOff>161925</xdr:rowOff>
    </xdr:from>
    <xdr:ext cx="1066800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/>
      </xdr:nvGrpSpPr>
      <xdr:grpSpPr>
        <a:xfrm>
          <a:off x="7667625" y="3400425"/>
          <a:ext cx="1066800" cy="38100"/>
          <a:chOff x="4812600" y="3780000"/>
          <a:chExt cx="1066800" cy="0"/>
        </a:xfrm>
      </xdr:grpSpPr>
      <xdr:cxnSp macro="">
        <xdr:nvCxnSpPr>
          <xdr:cNvPr id="21" name="Shape 1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CxnSpPr/>
        </xdr:nvCxnSpPr>
        <xdr:spPr>
          <a:xfrm>
            <a:off x="4812600" y="3780000"/>
            <a:ext cx="1066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10</xdr:row>
      <xdr:rowOff>-9525</xdr:rowOff>
    </xdr:from>
    <xdr:ext cx="609600" cy="381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/>
      </xdr:nvGrpSpPr>
      <xdr:grpSpPr>
        <a:xfrm>
          <a:off x="11029950" y="2181225"/>
          <a:ext cx="609600" cy="38100"/>
          <a:chOff x="5041200" y="3780000"/>
          <a:chExt cx="609600" cy="0"/>
        </a:xfrm>
      </xdr:grpSpPr>
      <xdr:cxnSp macro="">
        <xdr:nvCxnSpPr>
          <xdr:cNvPr id="23" name="Shape 11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13</xdr:row>
      <xdr:rowOff>-19050</xdr:rowOff>
    </xdr:from>
    <xdr:ext cx="581025" cy="381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11582400" y="2800350"/>
          <a:ext cx="581025" cy="38100"/>
          <a:chOff x="5055488" y="3780000"/>
          <a:chExt cx="581025" cy="0"/>
        </a:xfrm>
      </xdr:grpSpPr>
      <xdr:cxnSp macro="">
        <xdr:nvCxnSpPr>
          <xdr:cNvPr id="25" name="Shape 12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16</xdr:row>
      <xdr:rowOff>-9525</xdr:rowOff>
    </xdr:from>
    <xdr:ext cx="828675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pSpPr/>
      </xdr:nvGrpSpPr>
      <xdr:grpSpPr>
        <a:xfrm>
          <a:off x="11858625" y="3438525"/>
          <a:ext cx="828675" cy="38100"/>
          <a:chOff x="4931663" y="3780000"/>
          <a:chExt cx="828675" cy="0"/>
        </a:xfrm>
      </xdr:grpSpPr>
      <xdr:cxnSp macro="">
        <xdr:nvCxnSpPr>
          <xdr:cNvPr id="27" name="Shape 13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20</xdr:row>
      <xdr:rowOff>-19050</xdr:rowOff>
    </xdr:from>
    <xdr:ext cx="828675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pSpPr/>
      </xdr:nvGrpSpPr>
      <xdr:grpSpPr>
        <a:xfrm>
          <a:off x="11858625" y="4267200"/>
          <a:ext cx="828675" cy="38100"/>
          <a:chOff x="4931663" y="3780000"/>
          <a:chExt cx="828675" cy="0"/>
        </a:xfrm>
      </xdr:grpSpPr>
      <xdr:cxnSp macro="">
        <xdr:nvCxnSpPr>
          <xdr:cNvPr id="29" name="Shape 13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23</xdr:row>
      <xdr:rowOff>-19050</xdr:rowOff>
    </xdr:from>
    <xdr:ext cx="66675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/>
      </xdr:nvGrpSpPr>
      <xdr:grpSpPr>
        <a:xfrm>
          <a:off x="11582400" y="4895850"/>
          <a:ext cx="666750" cy="38100"/>
          <a:chOff x="5012625" y="3780000"/>
          <a:chExt cx="666750" cy="0"/>
        </a:xfrm>
      </xdr:grpSpPr>
      <xdr:cxnSp macro="">
        <xdr:nvCxnSpPr>
          <xdr:cNvPr id="31" name="Shape 14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0</xdr:colOff>
      <xdr:row>26</xdr:row>
      <xdr:rowOff>-19050</xdr:rowOff>
    </xdr:from>
    <xdr:ext cx="552450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11306175" y="5524500"/>
          <a:ext cx="552450" cy="38100"/>
          <a:chOff x="5069775" y="3780000"/>
          <a:chExt cx="552450" cy="0"/>
        </a:xfrm>
      </xdr:grpSpPr>
      <xdr:cxnSp macro="">
        <xdr:nvCxnSpPr>
          <xdr:cNvPr id="33" name="Shape 15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29</xdr:row>
      <xdr:rowOff>-19050</xdr:rowOff>
    </xdr:from>
    <xdr:ext cx="41910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pSpPr/>
      </xdr:nvGrpSpPr>
      <xdr:grpSpPr>
        <a:xfrm>
          <a:off x="11029950" y="6153150"/>
          <a:ext cx="419100" cy="38100"/>
          <a:chOff x="5136450" y="3780000"/>
          <a:chExt cx="419100" cy="0"/>
        </a:xfrm>
      </xdr:grpSpPr>
      <xdr:cxnSp macro="">
        <xdr:nvCxnSpPr>
          <xdr:cNvPr id="35" name="Shape 16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CxnSpPr/>
        </xdr:nvCxnSpPr>
        <xdr:spPr>
          <a:xfrm>
            <a:off x="5136450" y="3780000"/>
            <a:ext cx="419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0</xdr:colOff>
      <xdr:row>20</xdr:row>
      <xdr:rowOff>-19050</xdr:rowOff>
    </xdr:from>
    <xdr:ext cx="838200" cy="381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GrpSpPr/>
      </xdr:nvGrpSpPr>
      <xdr:grpSpPr>
        <a:xfrm>
          <a:off x="7943850" y="4267200"/>
          <a:ext cx="838200" cy="38100"/>
          <a:chOff x="4926900" y="3780000"/>
          <a:chExt cx="838200" cy="0"/>
        </a:xfrm>
      </xdr:grpSpPr>
      <xdr:cxnSp macro="">
        <xdr:nvCxnSpPr>
          <xdr:cNvPr id="37" name="Shape 17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CxnSpPr/>
        </xdr:nvCxnSpPr>
        <xdr:spPr>
          <a:xfrm>
            <a:off x="4926900" y="3780000"/>
            <a:ext cx="8382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22</xdr:row>
      <xdr:rowOff>142875</xdr:rowOff>
    </xdr:from>
    <xdr:ext cx="733425" cy="381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pSpPr/>
      </xdr:nvGrpSpPr>
      <xdr:grpSpPr>
        <a:xfrm>
          <a:off x="7667625" y="4848225"/>
          <a:ext cx="733425" cy="38100"/>
          <a:chOff x="4979288" y="3780000"/>
          <a:chExt cx="733425" cy="0"/>
        </a:xfrm>
      </xdr:grpSpPr>
      <xdr:cxnSp macro="">
        <xdr:nvCxnSpPr>
          <xdr:cNvPr id="39" name="Shape 1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25</xdr:row>
      <xdr:rowOff>161925</xdr:rowOff>
    </xdr:from>
    <xdr:ext cx="53340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pSpPr/>
      </xdr:nvGrpSpPr>
      <xdr:grpSpPr>
        <a:xfrm>
          <a:off x="7391400" y="5495925"/>
          <a:ext cx="533400" cy="38100"/>
          <a:chOff x="5079300" y="3780000"/>
          <a:chExt cx="533400" cy="0"/>
        </a:xfrm>
      </xdr:grpSpPr>
      <xdr:cxnSp macro="">
        <xdr:nvCxnSpPr>
          <xdr:cNvPr id="41" name="Shape 19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28575</xdr:colOff>
      <xdr:row>29</xdr:row>
      <xdr:rowOff>9525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pSpPr/>
      </xdr:nvGrpSpPr>
      <xdr:grpSpPr>
        <a:xfrm>
          <a:off x="7143750" y="6181725"/>
          <a:ext cx="333375" cy="38100"/>
          <a:chOff x="5179313" y="3780000"/>
          <a:chExt cx="333375" cy="0"/>
        </a:xfrm>
      </xdr:grpSpPr>
      <xdr:cxnSp macro="">
        <xdr:nvCxnSpPr>
          <xdr:cNvPr id="43" name="Shape 20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28575</xdr:colOff>
      <xdr:row>28</xdr:row>
      <xdr:rowOff>161925</xdr:rowOff>
    </xdr:from>
    <xdr:ext cx="314325" cy="381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GrpSpPr/>
      </xdr:nvGrpSpPr>
      <xdr:grpSpPr>
        <a:xfrm>
          <a:off x="3552825" y="6124575"/>
          <a:ext cx="314325" cy="38100"/>
          <a:chOff x="5188838" y="3780000"/>
          <a:chExt cx="314325" cy="0"/>
        </a:xfrm>
      </xdr:grpSpPr>
      <xdr:cxnSp macro="">
        <xdr:nvCxnSpPr>
          <xdr:cNvPr id="45" name="Shape 21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CxnSpPr/>
        </xdr:nvCxnSpPr>
        <xdr:spPr>
          <a:xfrm>
            <a:off x="5188838" y="3780000"/>
            <a:ext cx="3143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28575</xdr:colOff>
      <xdr:row>26</xdr:row>
      <xdr:rowOff>-19050</xdr:rowOff>
    </xdr:from>
    <xdr:ext cx="447675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pSpPr/>
      </xdr:nvGrpSpPr>
      <xdr:grpSpPr>
        <a:xfrm>
          <a:off x="3829050" y="5524500"/>
          <a:ext cx="447675" cy="38100"/>
          <a:chOff x="5122163" y="3780000"/>
          <a:chExt cx="447675" cy="0"/>
        </a:xfrm>
      </xdr:grpSpPr>
      <xdr:cxnSp macro="">
        <xdr:nvCxnSpPr>
          <xdr:cNvPr id="47" name="Shape 22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23</xdr:row>
      <xdr:rowOff>-19050</xdr:rowOff>
    </xdr:from>
    <xdr:ext cx="647700" cy="3810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pSpPr/>
      </xdr:nvGrpSpPr>
      <xdr:grpSpPr>
        <a:xfrm>
          <a:off x="4076700" y="4895850"/>
          <a:ext cx="647700" cy="38100"/>
          <a:chOff x="5022150" y="3780000"/>
          <a:chExt cx="647700" cy="0"/>
        </a:xfrm>
      </xdr:grpSpPr>
      <xdr:cxnSp macro="">
        <xdr:nvCxnSpPr>
          <xdr:cNvPr id="49" name="Shape 23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CxnSpPr/>
        </xdr:nvCxnSpPr>
        <xdr:spPr>
          <a:xfrm>
            <a:off x="5022150" y="3780000"/>
            <a:ext cx="647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0</xdr:colOff>
      <xdr:row>20</xdr:row>
      <xdr:rowOff>-19050</xdr:rowOff>
    </xdr:from>
    <xdr:ext cx="800100" cy="381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pSpPr/>
      </xdr:nvGrpSpPr>
      <xdr:grpSpPr>
        <a:xfrm>
          <a:off x="4352925" y="4267200"/>
          <a:ext cx="800100" cy="38100"/>
          <a:chOff x="4945950" y="3780000"/>
          <a:chExt cx="800100" cy="0"/>
        </a:xfrm>
      </xdr:grpSpPr>
      <xdr:cxnSp macro="">
        <xdr:nvCxnSpPr>
          <xdr:cNvPr id="51" name="Shape 24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CxnSpPr/>
        </xdr:nvCxnSpPr>
        <xdr:spPr>
          <a:xfrm>
            <a:off x="4945950" y="3780000"/>
            <a:ext cx="800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0</xdr:colOff>
      <xdr:row>10</xdr:row>
      <xdr:rowOff>-9525</xdr:rowOff>
    </xdr:from>
    <xdr:ext cx="552450" cy="381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GrpSpPr/>
      </xdr:nvGrpSpPr>
      <xdr:grpSpPr>
        <a:xfrm>
          <a:off x="3524250" y="2181225"/>
          <a:ext cx="552450" cy="38100"/>
          <a:chOff x="5069775" y="3780000"/>
          <a:chExt cx="552450" cy="0"/>
        </a:xfrm>
      </xdr:grpSpPr>
      <xdr:cxnSp macro="">
        <xdr:nvCxnSpPr>
          <xdr:cNvPr id="53" name="Shape 15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0</xdr:colOff>
      <xdr:row>12</xdr:row>
      <xdr:rowOff>161925</xdr:rowOff>
    </xdr:from>
    <xdr:ext cx="762000" cy="381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pSpPr/>
      </xdr:nvGrpSpPr>
      <xdr:grpSpPr>
        <a:xfrm>
          <a:off x="3800475" y="2771775"/>
          <a:ext cx="762000" cy="38100"/>
          <a:chOff x="4965000" y="3780000"/>
          <a:chExt cx="762000" cy="0"/>
        </a:xfrm>
      </xdr:grpSpPr>
      <xdr:cxnSp macro="">
        <xdr:nvCxnSpPr>
          <xdr:cNvPr id="55" name="Shape 25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16</xdr:row>
      <xdr:rowOff>-19050</xdr:rowOff>
    </xdr:from>
    <xdr:ext cx="971550" cy="381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GrpSpPr/>
      </xdr:nvGrpSpPr>
      <xdr:grpSpPr>
        <a:xfrm>
          <a:off x="4076700" y="3429000"/>
          <a:ext cx="971550" cy="38100"/>
          <a:chOff x="4860225" y="3780000"/>
          <a:chExt cx="971550" cy="0"/>
        </a:xfrm>
      </xdr:grpSpPr>
      <xdr:cxnSp macro="">
        <xdr:nvCxnSpPr>
          <xdr:cNvPr id="57" name="Shape 7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0</xdr:colOff>
      <xdr:row>7</xdr:row>
      <xdr:rowOff>-19050</xdr:rowOff>
    </xdr:from>
    <xdr:ext cx="333375" cy="381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GrpSpPr/>
      </xdr:nvGrpSpPr>
      <xdr:grpSpPr>
        <a:xfrm>
          <a:off x="3248025" y="1543050"/>
          <a:ext cx="333375" cy="38100"/>
          <a:chOff x="5179313" y="3780000"/>
          <a:chExt cx="333375" cy="0"/>
        </a:xfrm>
      </xdr:grpSpPr>
      <xdr:cxnSp macro="">
        <xdr:nvCxnSpPr>
          <xdr:cNvPr id="59" name="Shape 20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-9525</xdr:colOff>
      <xdr:row>6</xdr:row>
      <xdr:rowOff>-9525</xdr:rowOff>
    </xdr:from>
    <xdr:ext cx="1952625" cy="253365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GrpSpPr/>
      </xdr:nvGrpSpPr>
      <xdr:grpSpPr>
        <a:xfrm>
          <a:off x="7105650" y="1343025"/>
          <a:ext cx="1952625" cy="2533650"/>
          <a:chOff x="4379213" y="2522700"/>
          <a:chExt cx="1933575" cy="2514600"/>
        </a:xfrm>
      </xdr:grpSpPr>
      <xdr:cxnSp macro="">
        <xdr:nvCxnSpPr>
          <xdr:cNvPr id="61" name="Shape 4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161925</xdr:colOff>
      <xdr:row>5</xdr:row>
      <xdr:rowOff>142875</xdr:rowOff>
    </xdr:from>
    <xdr:ext cx="1952625" cy="252412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GrpSpPr/>
      </xdr:nvGrpSpPr>
      <xdr:grpSpPr>
        <a:xfrm>
          <a:off x="3409950" y="1304925"/>
          <a:ext cx="1952625" cy="2524125"/>
          <a:chOff x="4379213" y="2527463"/>
          <a:chExt cx="1933575" cy="2505075"/>
        </a:xfrm>
      </xdr:grpSpPr>
      <xdr:cxnSp macro="">
        <xdr:nvCxnSpPr>
          <xdr:cNvPr id="63" name="Shape 26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CxnSpPr/>
        </xdr:nvCxnSpPr>
        <xdr:spPr>
          <a:xfrm>
            <a:off x="4379213" y="2527463"/>
            <a:ext cx="1933575" cy="2505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1219200</xdr:colOff>
      <xdr:row>1</xdr:row>
      <xdr:rowOff>0</xdr:rowOff>
    </xdr:from>
    <xdr:ext cx="0" cy="323850"/>
    <xdr:pic>
      <xdr:nvPicPr>
        <xdr:cNvPr id="64" name="image2.pn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1219200</xdr:colOff>
      <xdr:row>1</xdr:row>
      <xdr:rowOff>0</xdr:rowOff>
    </xdr:from>
    <xdr:ext cx="0" cy="323850"/>
    <xdr:pic>
      <xdr:nvPicPr>
        <xdr:cNvPr id="65" name="image2.pn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3</xdr:row>
      <xdr:rowOff>123825</xdr:rowOff>
    </xdr:from>
    <xdr:ext cx="629602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3</xdr:row>
      <xdr:rowOff>133350</xdr:rowOff>
    </xdr:from>
    <xdr:ext cx="3143250" cy="28860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10</xdr:row>
      <xdr:rowOff>28575</xdr:rowOff>
    </xdr:from>
    <xdr:ext cx="11610975" cy="302895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do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xotticagroup-my.sharepoint.com/personal/diascarm_essilorluxottica_id/Documents/Reprocesso%20Surfa&#231;agem.xlsx" TargetMode="External"/><Relationship Id="rId1" Type="http://schemas.openxmlformats.org/officeDocument/2006/relationships/externalLinkPath" Target="https://luxotticagroup-my.sharepoint.com/personal/diascarm_essilorluxottica_id/Documents/Reprocesso%20Surfa&#231;ag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A7qGWaPb9kaPgQ5JGuueEO398KK_DGVOi2ORf3Gx3MKNq_3C33WoQLVVfgyknpm-" itemId="01A2CM5AG3WJQ5QJODQNC2JO2SNO3AXN4U">
      <xxl21:absoluteUrl r:id="rId2"/>
    </xxl21:alternateUrls>
    <sheetNames>
      <sheetName val="Sheet1"/>
      <sheetName val="Planilha1"/>
      <sheetName val="Dados"/>
    </sheetNames>
    <sheetDataSet>
      <sheetData sheetId="0"/>
      <sheetData sheetId="1"/>
      <sheetData sheetId="2">
        <row r="5">
          <cell r="F5" t="str">
            <v xml:space="preserve">Sem laser </v>
          </cell>
          <cell r="G5">
            <v>5889</v>
          </cell>
        </row>
        <row r="6">
          <cell r="F6" t="str">
            <v xml:space="preserve">Mal polimento </v>
          </cell>
          <cell r="G6">
            <v>4634</v>
          </cell>
        </row>
        <row r="7">
          <cell r="F7" t="str">
            <v xml:space="preserve">Marca de gerador </v>
          </cell>
          <cell r="G7">
            <v>2719</v>
          </cell>
        </row>
        <row r="8">
          <cell r="F8" t="str">
            <v xml:space="preserve">Arranhão </v>
          </cell>
          <cell r="G8">
            <v>2340</v>
          </cell>
        </row>
        <row r="9">
          <cell r="F9" t="str">
            <v>Teton</v>
          </cell>
          <cell r="G9">
            <v>1893</v>
          </cell>
        </row>
        <row r="10">
          <cell r="F10" t="str">
            <v xml:space="preserve">Picos </v>
          </cell>
          <cell r="G10">
            <v>1318</v>
          </cell>
        </row>
        <row r="11">
          <cell r="F11" t="str">
            <v xml:space="preserve">Laser invertido </v>
          </cell>
          <cell r="G11">
            <v>1307</v>
          </cell>
        </row>
        <row r="12">
          <cell r="F12" t="str">
            <v xml:space="preserve">Lente sem polir </v>
          </cell>
          <cell r="G12">
            <v>1214</v>
          </cell>
        </row>
        <row r="13">
          <cell r="F13" t="str">
            <v>Outros</v>
          </cell>
          <cell r="G13">
            <v>7606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O51"/>
  <sheetViews>
    <sheetView showGridLines="0" tabSelected="1" view="pageBreakPreview" topLeftCell="E33" zoomScale="60" zoomScaleNormal="100" workbookViewId="0">
      <selection activeCell="G38" sqref="G38"/>
    </sheetView>
  </sheetViews>
  <sheetFormatPr defaultColWidth="14.42578125" defaultRowHeight="15" customHeight="1"/>
  <cols>
    <col min="1" max="1" width="0.85546875" customWidth="1"/>
    <col min="2" max="2" width="14.28515625" customWidth="1"/>
    <col min="3" max="3" width="35.28515625" customWidth="1"/>
    <col min="4" max="4" width="17.28515625" customWidth="1"/>
    <col min="5" max="5" width="54.85546875" customWidth="1"/>
    <col min="6" max="6" width="51.140625" customWidth="1"/>
    <col min="7" max="7" width="12.7109375" customWidth="1"/>
    <col min="8" max="8" width="9" customWidth="1"/>
    <col min="9" max="9" width="13.5703125" customWidth="1"/>
    <col min="10" max="11" width="15.42578125" customWidth="1"/>
    <col min="12" max="12" width="29.140625" customWidth="1"/>
    <col min="13" max="15" width="13" customWidth="1"/>
    <col min="16" max="16" width="4" customWidth="1"/>
  </cols>
  <sheetData>
    <row r="1" spans="1:15" ht="9.75" customHeight="1">
      <c r="A1" s="1"/>
      <c r="B1" s="2"/>
      <c r="C1" s="2"/>
      <c r="D1" s="2"/>
      <c r="E1" s="2"/>
      <c r="F1" s="3"/>
      <c r="G1" s="1"/>
      <c r="H1" s="4"/>
      <c r="I1" s="5"/>
      <c r="J1" s="5"/>
      <c r="K1" s="5"/>
      <c r="L1" s="6"/>
      <c r="M1" s="5"/>
      <c r="N1" s="5"/>
      <c r="O1" s="5"/>
    </row>
    <row r="2" spans="1:15" ht="34.5" customHeight="1">
      <c r="A2" s="1"/>
      <c r="B2" s="7" t="s">
        <v>0</v>
      </c>
      <c r="C2" s="8" t="s">
        <v>1</v>
      </c>
      <c r="D2" s="156" t="s">
        <v>2</v>
      </c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3"/>
    </row>
    <row r="3" spans="1:15" ht="14.25" customHeight="1">
      <c r="A3" s="1"/>
      <c r="B3" s="2"/>
      <c r="C3" s="2"/>
      <c r="D3" s="2"/>
      <c r="E3" s="2"/>
      <c r="F3" s="3"/>
      <c r="G3" s="1"/>
      <c r="H3" s="4"/>
      <c r="I3" s="5"/>
      <c r="J3" s="5"/>
      <c r="K3" s="5"/>
      <c r="L3" s="6"/>
      <c r="M3" s="5"/>
      <c r="N3" s="5"/>
      <c r="O3" s="5"/>
    </row>
    <row r="4" spans="1:15" ht="27.75" customHeight="1">
      <c r="A4" s="1"/>
      <c r="B4" s="107" t="s">
        <v>3</v>
      </c>
      <c r="C4" s="150">
        <v>46023</v>
      </c>
      <c r="D4" s="108" t="s">
        <v>4</v>
      </c>
      <c r="E4" s="108" t="s">
        <v>5</v>
      </c>
      <c r="F4" s="157" t="s">
        <v>6</v>
      </c>
      <c r="G4" s="292"/>
      <c r="H4" s="292"/>
      <c r="I4" s="292"/>
      <c r="J4" s="292"/>
      <c r="K4" s="292"/>
      <c r="L4" s="292"/>
      <c r="M4" s="292"/>
      <c r="N4" s="292"/>
      <c r="O4" s="293"/>
    </row>
    <row r="5" spans="1:15" ht="27.75" customHeight="1">
      <c r="A5" s="1"/>
      <c r="B5" s="107" t="s">
        <v>7</v>
      </c>
      <c r="C5" s="109">
        <v>46035</v>
      </c>
      <c r="D5" s="108" t="s">
        <v>8</v>
      </c>
      <c r="E5" s="108" t="s">
        <v>9</v>
      </c>
      <c r="F5" s="158" t="s">
        <v>10</v>
      </c>
      <c r="G5" s="145" t="b">
        <v>0</v>
      </c>
      <c r="H5" s="159" t="s">
        <v>11</v>
      </c>
      <c r="I5" s="160"/>
      <c r="J5" s="9"/>
      <c r="K5" s="151" t="b">
        <v>1</v>
      </c>
      <c r="L5" s="149" t="s">
        <v>12</v>
      </c>
      <c r="M5" s="9" t="b">
        <v>0</v>
      </c>
      <c r="N5" s="161" t="s">
        <v>13</v>
      </c>
      <c r="O5" s="294"/>
    </row>
    <row r="6" spans="1:15" ht="27.75" customHeight="1">
      <c r="A6" s="1"/>
      <c r="B6" s="110" t="s">
        <v>14</v>
      </c>
      <c r="C6" s="164" t="s">
        <v>15</v>
      </c>
      <c r="D6" s="295"/>
      <c r="E6" s="296"/>
      <c r="F6" s="297"/>
      <c r="G6" s="151" t="b">
        <v>1</v>
      </c>
      <c r="H6" s="162" t="s">
        <v>16</v>
      </c>
      <c r="I6" s="298"/>
      <c r="K6" s="145" t="b">
        <v>0</v>
      </c>
      <c r="L6" s="144" t="s">
        <v>17</v>
      </c>
      <c r="M6" s="9" t="b">
        <v>0</v>
      </c>
      <c r="N6" s="163" t="s">
        <v>18</v>
      </c>
      <c r="O6" s="299"/>
    </row>
    <row r="7" spans="1:15" ht="27.75" customHeight="1">
      <c r="A7" s="1"/>
      <c r="B7" s="157" t="s">
        <v>19</v>
      </c>
      <c r="C7" s="292"/>
      <c r="D7" s="292"/>
      <c r="E7" s="293"/>
      <c r="F7" s="297"/>
      <c r="G7" s="151" t="b">
        <v>1</v>
      </c>
      <c r="H7" s="149" t="s">
        <v>20</v>
      </c>
      <c r="I7" s="152"/>
      <c r="K7" s="145" t="b">
        <v>0</v>
      </c>
      <c r="L7" s="144" t="s">
        <v>21</v>
      </c>
      <c r="M7" s="9" t="b">
        <v>0</v>
      </c>
      <c r="N7" s="163" t="s">
        <v>22</v>
      </c>
      <c r="O7" s="299"/>
    </row>
    <row r="8" spans="1:15" ht="23.25" customHeight="1">
      <c r="A8" s="1"/>
      <c r="B8" s="165" t="s">
        <v>23</v>
      </c>
      <c r="C8" s="166"/>
      <c r="D8" s="166"/>
      <c r="E8" s="167"/>
      <c r="F8" s="10"/>
      <c r="G8" s="11"/>
      <c r="H8" s="11"/>
      <c r="I8" s="11"/>
      <c r="J8" s="11"/>
      <c r="K8" s="11"/>
      <c r="L8" s="11"/>
      <c r="M8" s="11"/>
      <c r="N8" s="11"/>
      <c r="O8" s="12"/>
    </row>
    <row r="9" spans="1:15" ht="14.25" customHeight="1">
      <c r="A9" s="1"/>
      <c r="B9" s="168"/>
      <c r="C9" s="169"/>
      <c r="D9" s="169"/>
      <c r="E9" s="170"/>
      <c r="F9" s="13"/>
      <c r="O9" s="14"/>
    </row>
    <row r="10" spans="1:15" ht="14.25" customHeight="1">
      <c r="A10" s="1"/>
      <c r="B10" s="168"/>
      <c r="C10" s="169"/>
      <c r="D10" s="169"/>
      <c r="E10" s="170"/>
      <c r="F10" s="177" t="s">
        <v>24</v>
      </c>
      <c r="G10" s="300"/>
      <c r="H10" s="300"/>
      <c r="I10" s="300"/>
      <c r="J10" s="300"/>
      <c r="K10" s="300"/>
      <c r="L10" s="300"/>
      <c r="M10" s="300"/>
      <c r="N10" s="300"/>
      <c r="O10" s="294"/>
    </row>
    <row r="11" spans="1:15" ht="14.25" customHeight="1">
      <c r="A11" s="1"/>
      <c r="B11" s="168"/>
      <c r="C11" s="169"/>
      <c r="D11" s="169"/>
      <c r="E11" s="170"/>
      <c r="F11" s="178" t="s">
        <v>25</v>
      </c>
      <c r="G11" s="179"/>
      <c r="H11" s="179"/>
      <c r="I11" s="179"/>
      <c r="J11" s="179"/>
      <c r="K11" s="179"/>
      <c r="L11" s="179"/>
      <c r="M11" s="179"/>
      <c r="N11" s="179"/>
      <c r="O11" s="179"/>
    </row>
    <row r="12" spans="1:15" ht="14.25" customHeight="1">
      <c r="A12" s="1"/>
      <c r="B12" s="168"/>
      <c r="C12" s="169"/>
      <c r="D12" s="169"/>
      <c r="E12" s="170"/>
      <c r="F12" s="180"/>
      <c r="G12" s="181"/>
      <c r="H12" s="181"/>
      <c r="I12" s="181"/>
      <c r="J12" s="181"/>
      <c r="K12" s="181"/>
      <c r="L12" s="181"/>
      <c r="M12" s="181"/>
      <c r="N12" s="181"/>
      <c r="O12" s="181"/>
    </row>
    <row r="13" spans="1:15" ht="14.25" customHeight="1">
      <c r="A13" s="1"/>
      <c r="B13" s="168"/>
      <c r="C13" s="169"/>
      <c r="D13" s="169"/>
      <c r="E13" s="170"/>
      <c r="F13" s="180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5" ht="14.25" customHeight="1">
      <c r="A14" s="1"/>
      <c r="B14" s="168"/>
      <c r="C14" s="169"/>
      <c r="D14" s="169"/>
      <c r="E14" s="170"/>
      <c r="F14" s="180"/>
      <c r="G14" s="181"/>
      <c r="H14" s="181"/>
      <c r="I14" s="181"/>
      <c r="J14" s="181"/>
      <c r="K14" s="181"/>
      <c r="L14" s="181"/>
      <c r="M14" s="181"/>
      <c r="N14" s="181"/>
      <c r="O14" s="181"/>
    </row>
    <row r="15" spans="1:15" ht="14.25" customHeight="1">
      <c r="A15" s="1"/>
      <c r="B15" s="168"/>
      <c r="C15" s="169"/>
      <c r="D15" s="169"/>
      <c r="E15" s="170"/>
      <c r="F15" s="180"/>
      <c r="G15" s="181"/>
      <c r="H15" s="181"/>
      <c r="I15" s="181"/>
      <c r="J15" s="181"/>
      <c r="K15" s="181"/>
      <c r="L15" s="181"/>
      <c r="M15" s="181"/>
      <c r="N15" s="181"/>
      <c r="O15" s="181"/>
    </row>
    <row r="16" spans="1:15" ht="14.25" customHeight="1">
      <c r="A16" s="1"/>
      <c r="B16" s="168"/>
      <c r="C16" s="169"/>
      <c r="D16" s="169"/>
      <c r="E16" s="170"/>
      <c r="F16" s="180"/>
      <c r="G16" s="181"/>
      <c r="H16" s="181"/>
      <c r="I16" s="181"/>
      <c r="J16" s="181"/>
      <c r="K16" s="181"/>
      <c r="L16" s="181"/>
      <c r="M16" s="181"/>
      <c r="N16" s="181"/>
      <c r="O16" s="181"/>
    </row>
    <row r="17" spans="1:15" ht="14.25" customHeight="1">
      <c r="A17" s="1"/>
      <c r="B17" s="168"/>
      <c r="C17" s="169"/>
      <c r="D17" s="169"/>
      <c r="E17" s="170"/>
      <c r="F17" s="182"/>
      <c r="G17" s="183"/>
      <c r="H17" s="183"/>
      <c r="I17" s="183"/>
      <c r="J17" s="183"/>
      <c r="K17" s="183"/>
      <c r="L17" s="183"/>
      <c r="M17" s="183"/>
      <c r="N17" s="183"/>
      <c r="O17" s="183"/>
    </row>
    <row r="18" spans="1:15" ht="23.25" customHeight="1">
      <c r="A18" s="1"/>
      <c r="B18" s="157" t="s">
        <v>26</v>
      </c>
      <c r="C18" s="292"/>
      <c r="D18" s="292"/>
      <c r="E18" s="293"/>
      <c r="F18" s="157" t="s">
        <v>27</v>
      </c>
      <c r="G18" s="292"/>
      <c r="H18" s="292"/>
      <c r="I18" s="292"/>
      <c r="J18" s="292"/>
      <c r="K18" s="292"/>
      <c r="L18" s="292"/>
      <c r="M18" s="292"/>
      <c r="N18" s="292"/>
      <c r="O18" s="293"/>
    </row>
    <row r="19" spans="1:15" ht="14.25" customHeight="1">
      <c r="A19" s="1"/>
      <c r="B19" s="184" t="s">
        <v>28</v>
      </c>
      <c r="C19" s="185"/>
      <c r="D19" s="185"/>
      <c r="E19" s="186"/>
      <c r="F19" s="15"/>
      <c r="G19" s="16"/>
      <c r="H19" s="17"/>
      <c r="I19" s="18"/>
      <c r="J19" s="18"/>
      <c r="K19" s="18"/>
      <c r="L19" s="19"/>
      <c r="M19" s="18"/>
      <c r="N19" s="18"/>
      <c r="O19" s="20"/>
    </row>
    <row r="20" spans="1:15" ht="14.25" customHeight="1">
      <c r="A20" s="96"/>
      <c r="B20" s="187"/>
      <c r="C20" s="188"/>
      <c r="D20" s="188"/>
      <c r="E20" s="189"/>
      <c r="F20" s="21" t="str">
        <f>"AÇÕES PLANEJADAS (ACCIONES PLANEADAS): "&amp;COUNTIF(G28:G37,"Planeada/Planejada")</f>
        <v>AÇÕES PLANEJADAS (ACCIONES PLANEADAS): 0</v>
      </c>
      <c r="G20" s="22"/>
      <c r="H20" s="23"/>
      <c r="I20" s="5"/>
      <c r="J20" s="5"/>
      <c r="K20" s="5"/>
      <c r="L20" s="24"/>
      <c r="M20" s="25"/>
      <c r="N20" s="25"/>
      <c r="O20" s="26"/>
    </row>
    <row r="21" spans="1:15" ht="14.25" customHeight="1">
      <c r="A21" s="96"/>
      <c r="B21" s="187"/>
      <c r="C21" s="188"/>
      <c r="D21" s="188"/>
      <c r="E21" s="189"/>
      <c r="F21" s="27" t="str">
        <f>"AÇÕES COMPLETAS (ACCIONES COMPLETAS): "&amp;COUNTIFS(G28:G37,"Completa/Concluído")</f>
        <v>AÇÕES COMPLETAS (ACCIONES COMPLETAS): 0</v>
      </c>
      <c r="G21" s="22"/>
      <c r="H21" s="23"/>
      <c r="I21" s="5"/>
      <c r="J21" s="5"/>
      <c r="K21" s="5"/>
      <c r="L21" s="24"/>
      <c r="M21" s="25"/>
      <c r="N21" s="25"/>
      <c r="O21" s="26"/>
    </row>
    <row r="22" spans="1:15" ht="27.75" customHeight="1">
      <c r="A22" s="96"/>
      <c r="B22" s="187"/>
      <c r="C22" s="188"/>
      <c r="D22" s="188"/>
      <c r="E22" s="189"/>
      <c r="F22" s="28" t="str">
        <f>"AÇÕES EM ANDAMENTO (ACCIONES EN CURSO): "&amp;COUNTIFS(G28:G37,"En Curso/Andamento")</f>
        <v>AÇÕES EM ANDAMENTO (ACCIONES EN CURSO): 0</v>
      </c>
      <c r="G22" s="22"/>
      <c r="H22" s="29"/>
      <c r="I22" s="25"/>
      <c r="J22" s="25"/>
      <c r="K22" s="25"/>
      <c r="L22" s="24"/>
      <c r="M22" s="25"/>
      <c r="N22" s="25"/>
      <c r="O22" s="26"/>
    </row>
    <row r="23" spans="1:15" ht="14.25" customHeight="1">
      <c r="A23" s="96"/>
      <c r="B23" s="112"/>
      <c r="C23" s="113"/>
      <c r="D23" s="113"/>
      <c r="E23" s="114"/>
      <c r="F23" s="30" t="str">
        <f>"AÇÕES PRIORIDADE EM ANDAMENTO (ACCIONES PRIORIDAD EN CURSO): "&amp;COUNTIFS(G28:G37,"En Curso/Andamento",H28:H37,"Y")</f>
        <v>AÇÕES PRIORIDADE EM ANDAMENTO (ACCIONES PRIORIDAD EN CURSO): 0</v>
      </c>
      <c r="G23" s="22"/>
      <c r="H23" s="29"/>
      <c r="I23" s="25"/>
      <c r="J23" s="25"/>
      <c r="K23" s="25"/>
      <c r="L23" s="24"/>
      <c r="M23" s="25"/>
      <c r="N23" s="25"/>
      <c r="O23" s="26"/>
    </row>
    <row r="24" spans="1:15" ht="14.25" customHeight="1">
      <c r="A24" s="96"/>
      <c r="B24" s="112"/>
      <c r="C24" s="113"/>
      <c r="D24" s="113"/>
      <c r="E24" s="114"/>
      <c r="F24" s="31"/>
      <c r="G24" s="22"/>
      <c r="H24" s="23"/>
      <c r="I24" s="25"/>
      <c r="J24" s="25"/>
      <c r="K24" s="25"/>
      <c r="L24" s="24"/>
      <c r="M24" s="25"/>
      <c r="N24" s="25"/>
      <c r="O24" s="26"/>
    </row>
    <row r="25" spans="1:15" ht="15.75">
      <c r="A25" s="97"/>
      <c r="B25" s="112"/>
      <c r="C25" s="113"/>
      <c r="D25" s="113"/>
      <c r="E25" s="114"/>
      <c r="F25" s="171" t="s">
        <v>29</v>
      </c>
      <c r="G25" s="172"/>
      <c r="H25" s="173"/>
      <c r="I25" s="192" t="s">
        <v>30</v>
      </c>
      <c r="J25" s="192" t="s">
        <v>31</v>
      </c>
      <c r="K25" s="192" t="s">
        <v>32</v>
      </c>
      <c r="L25" s="192" t="s">
        <v>33</v>
      </c>
      <c r="M25" s="171" t="s">
        <v>34</v>
      </c>
      <c r="N25" s="301"/>
      <c r="O25" s="302"/>
    </row>
    <row r="26" spans="1:15" ht="15.75">
      <c r="A26" s="97"/>
      <c r="B26" s="112"/>
      <c r="C26" s="113"/>
      <c r="D26" s="113"/>
      <c r="E26" s="114"/>
      <c r="F26" s="174"/>
      <c r="G26" s="175"/>
      <c r="H26" s="176"/>
      <c r="I26" s="303"/>
      <c r="J26" s="303"/>
      <c r="K26" s="303"/>
      <c r="L26" s="304"/>
      <c r="M26" s="305"/>
      <c r="N26" s="306"/>
      <c r="O26" s="307"/>
    </row>
    <row r="27" spans="1:15" ht="32.25" customHeight="1">
      <c r="A27" s="97"/>
      <c r="B27" s="112"/>
      <c r="C27" s="113"/>
      <c r="D27" s="113"/>
      <c r="E27" s="114"/>
      <c r="F27" s="32" t="s">
        <v>35</v>
      </c>
      <c r="G27" s="32" t="s">
        <v>36</v>
      </c>
      <c r="H27" s="32" t="s">
        <v>37</v>
      </c>
      <c r="I27" s="32" t="s">
        <v>38</v>
      </c>
      <c r="J27" s="32" t="s">
        <v>39</v>
      </c>
      <c r="K27" s="32" t="s">
        <v>39</v>
      </c>
      <c r="L27" s="303"/>
      <c r="M27" s="32" t="s">
        <v>40</v>
      </c>
      <c r="N27" s="32" t="s">
        <v>41</v>
      </c>
      <c r="O27" s="32" t="s">
        <v>42</v>
      </c>
    </row>
    <row r="28" spans="1:15" ht="30" customHeight="1">
      <c r="A28" s="98"/>
      <c r="B28" s="112"/>
      <c r="C28" s="113"/>
      <c r="D28" s="113"/>
      <c r="E28" s="114"/>
      <c r="F28" s="33" t="s">
        <v>43</v>
      </c>
      <c r="G28" s="34" t="s">
        <v>44</v>
      </c>
      <c r="H28" s="34" t="s">
        <v>45</v>
      </c>
      <c r="I28" s="34" t="s">
        <v>46</v>
      </c>
      <c r="J28" s="35">
        <v>46037</v>
      </c>
      <c r="K28" s="34"/>
      <c r="L28" s="34" t="s">
        <v>47</v>
      </c>
      <c r="M28" s="33" t="b">
        <v>0</v>
      </c>
      <c r="N28" s="33" t="b">
        <v>0</v>
      </c>
      <c r="O28" s="33" t="b">
        <v>0</v>
      </c>
    </row>
    <row r="29" spans="1:15" ht="23.25" customHeight="1">
      <c r="A29" s="98"/>
      <c r="B29" s="157" t="s">
        <v>48</v>
      </c>
      <c r="C29" s="292"/>
      <c r="D29" s="292"/>
      <c r="E29" s="293"/>
      <c r="F29" s="33" t="s">
        <v>49</v>
      </c>
      <c r="G29" s="34" t="s">
        <v>50</v>
      </c>
      <c r="H29" s="34" t="s">
        <v>45</v>
      </c>
      <c r="I29" s="34" t="s">
        <v>51</v>
      </c>
      <c r="J29" s="35">
        <v>46040</v>
      </c>
      <c r="K29" s="34"/>
      <c r="L29" s="34" t="s">
        <v>52</v>
      </c>
      <c r="M29" s="33" t="b">
        <v>0</v>
      </c>
      <c r="N29" s="33" t="b">
        <v>0</v>
      </c>
      <c r="O29" s="33" t="b">
        <v>0</v>
      </c>
    </row>
    <row r="30" spans="1:15" ht="32.25" customHeight="1">
      <c r="A30" s="98"/>
      <c r="B30" s="191" t="s">
        <v>53</v>
      </c>
      <c r="C30" s="301"/>
      <c r="D30" s="301"/>
      <c r="E30" s="302"/>
      <c r="F30" s="33" t="s">
        <v>54</v>
      </c>
      <c r="G30" s="34" t="s">
        <v>50</v>
      </c>
      <c r="H30" s="34" t="s">
        <v>45</v>
      </c>
      <c r="I30" s="34" t="s">
        <v>51</v>
      </c>
      <c r="J30" s="35">
        <v>46040</v>
      </c>
      <c r="K30" s="34"/>
      <c r="L30" s="34" t="s">
        <v>55</v>
      </c>
      <c r="M30" s="33" t="b">
        <v>0</v>
      </c>
      <c r="N30" s="33" t="b">
        <v>0</v>
      </c>
      <c r="O30" s="33" t="b">
        <v>0</v>
      </c>
    </row>
    <row r="31" spans="1:15" ht="42" customHeight="1">
      <c r="A31" s="98"/>
      <c r="B31" s="297"/>
      <c r="C31" s="300"/>
      <c r="D31" s="300"/>
      <c r="E31" s="294"/>
      <c r="F31" s="33" t="s">
        <v>56</v>
      </c>
      <c r="G31" s="34" t="s">
        <v>57</v>
      </c>
      <c r="H31" s="34" t="s">
        <v>58</v>
      </c>
      <c r="I31" s="34" t="s">
        <v>51</v>
      </c>
      <c r="J31" s="35">
        <v>46052</v>
      </c>
      <c r="K31" s="34"/>
      <c r="L31" s="34"/>
      <c r="M31" s="33" t="b">
        <v>0</v>
      </c>
      <c r="N31" s="33" t="b">
        <v>0</v>
      </c>
      <c r="O31" s="33" t="b">
        <v>0</v>
      </c>
    </row>
    <row r="32" spans="1:15" ht="23.25" customHeight="1">
      <c r="A32" s="98"/>
      <c r="B32" s="297"/>
      <c r="C32" s="300"/>
      <c r="D32" s="300"/>
      <c r="E32" s="294"/>
      <c r="F32" s="33" t="s">
        <v>59</v>
      </c>
      <c r="G32" s="34" t="s">
        <v>57</v>
      </c>
      <c r="H32" s="34" t="s">
        <v>58</v>
      </c>
      <c r="I32" s="34" t="s">
        <v>51</v>
      </c>
      <c r="J32" s="35">
        <v>46052</v>
      </c>
      <c r="K32" s="34"/>
      <c r="L32" s="34"/>
      <c r="M32" s="33" t="b">
        <v>0</v>
      </c>
      <c r="N32" s="33" t="b">
        <v>0</v>
      </c>
      <c r="O32" s="33" t="b">
        <v>0</v>
      </c>
    </row>
    <row r="33" spans="1:15" ht="44.25" customHeight="1">
      <c r="A33" s="98"/>
      <c r="B33" s="297"/>
      <c r="C33" s="300"/>
      <c r="D33" s="300"/>
      <c r="E33" s="294"/>
      <c r="F33" s="33" t="s">
        <v>60</v>
      </c>
      <c r="G33" s="34" t="s">
        <v>61</v>
      </c>
      <c r="H33" s="34" t="s">
        <v>45</v>
      </c>
      <c r="I33" s="34" t="s">
        <v>62</v>
      </c>
      <c r="J33" s="35">
        <v>46038</v>
      </c>
      <c r="K33" s="34"/>
      <c r="L33" s="34"/>
      <c r="M33" s="33" t="b">
        <v>0</v>
      </c>
      <c r="N33" s="33" t="b">
        <v>0</v>
      </c>
      <c r="O33" s="33" t="b">
        <v>0</v>
      </c>
    </row>
    <row r="34" spans="1:15" ht="29.25" customHeight="1">
      <c r="A34" s="98"/>
      <c r="B34" s="297"/>
      <c r="C34" s="300"/>
      <c r="D34" s="300"/>
      <c r="E34" s="294"/>
      <c r="F34" s="33" t="s">
        <v>63</v>
      </c>
      <c r="G34" s="34" t="s">
        <v>57</v>
      </c>
      <c r="H34" s="34" t="s">
        <v>64</v>
      </c>
      <c r="I34" s="34" t="s">
        <v>65</v>
      </c>
      <c r="J34" s="35"/>
      <c r="K34" s="34"/>
      <c r="L34" s="34"/>
      <c r="M34" s="34" t="b">
        <v>0</v>
      </c>
      <c r="N34" s="34" t="b">
        <v>0</v>
      </c>
      <c r="O34" s="34" t="b">
        <v>0</v>
      </c>
    </row>
    <row r="35" spans="1:15" ht="23.25" customHeight="1">
      <c r="A35" s="98"/>
      <c r="B35" s="297"/>
      <c r="C35" s="300"/>
      <c r="D35" s="300"/>
      <c r="E35" s="294"/>
      <c r="F35" s="33" t="s">
        <v>66</v>
      </c>
      <c r="G35" s="34" t="s">
        <v>57</v>
      </c>
      <c r="H35" s="34" t="s">
        <v>45</v>
      </c>
      <c r="I35" s="34" t="s">
        <v>65</v>
      </c>
      <c r="J35" s="34"/>
      <c r="K35" s="34"/>
      <c r="L35" s="34"/>
      <c r="M35" s="34" t="b">
        <v>0</v>
      </c>
      <c r="N35" s="34" t="b">
        <v>0</v>
      </c>
      <c r="O35" s="34" t="b">
        <v>0</v>
      </c>
    </row>
    <row r="36" spans="1:15" ht="23.25" customHeight="1">
      <c r="A36" s="98"/>
      <c r="B36" s="297"/>
      <c r="C36" s="300"/>
      <c r="D36" s="300"/>
      <c r="E36" s="294"/>
      <c r="F36" s="33" t="s">
        <v>67</v>
      </c>
      <c r="G36" s="34" t="s">
        <v>57</v>
      </c>
      <c r="H36" s="34" t="s">
        <v>45</v>
      </c>
      <c r="I36" s="34" t="s">
        <v>65</v>
      </c>
      <c r="J36" s="34"/>
      <c r="K36" s="34"/>
      <c r="L36" s="34"/>
      <c r="M36" s="34" t="b">
        <v>0</v>
      </c>
      <c r="N36" s="34" t="b">
        <v>0</v>
      </c>
      <c r="O36" s="34" t="b">
        <v>0</v>
      </c>
    </row>
    <row r="37" spans="1:15" ht="23.25" customHeight="1">
      <c r="A37" s="98"/>
      <c r="B37" s="297"/>
      <c r="C37" s="300"/>
      <c r="D37" s="300"/>
      <c r="E37" s="294"/>
      <c r="F37" s="33" t="s">
        <v>68</v>
      </c>
      <c r="G37" s="34" t="s">
        <v>57</v>
      </c>
      <c r="H37" s="34" t="s">
        <v>45</v>
      </c>
      <c r="I37" s="34"/>
      <c r="J37" s="34"/>
      <c r="K37" s="34"/>
      <c r="L37" s="34"/>
      <c r="M37" s="34" t="b">
        <v>0</v>
      </c>
      <c r="N37" s="34" t="b">
        <v>0</v>
      </c>
      <c r="O37" s="34" t="b">
        <v>0</v>
      </c>
    </row>
    <row r="38" spans="1:15" ht="23.25" customHeight="1">
      <c r="A38" s="98"/>
      <c r="B38" s="297"/>
      <c r="C38" s="300"/>
      <c r="D38" s="300"/>
      <c r="E38" s="294"/>
      <c r="F38" s="33" t="s">
        <v>69</v>
      </c>
      <c r="G38" s="34" t="s">
        <v>57</v>
      </c>
      <c r="H38" s="34"/>
      <c r="I38" s="34"/>
      <c r="J38" s="34"/>
      <c r="K38" s="34"/>
      <c r="L38" s="34"/>
      <c r="M38" s="34" t="b">
        <v>0</v>
      </c>
      <c r="N38" s="34" t="b">
        <v>0</v>
      </c>
      <c r="O38" s="34" t="b">
        <v>0</v>
      </c>
    </row>
    <row r="39" spans="1:15" ht="23.25" customHeight="1">
      <c r="A39" s="98"/>
      <c r="B39" s="297"/>
      <c r="C39" s="300"/>
      <c r="D39" s="300"/>
      <c r="E39" s="294"/>
      <c r="F39" s="33"/>
      <c r="G39" s="34"/>
      <c r="H39" s="34"/>
      <c r="I39" s="34"/>
      <c r="J39" s="34"/>
      <c r="K39" s="34"/>
      <c r="L39" s="34"/>
      <c r="M39" s="34" t="b">
        <v>0</v>
      </c>
      <c r="N39" s="34" t="b">
        <v>0</v>
      </c>
      <c r="O39" s="34" t="b">
        <v>0</v>
      </c>
    </row>
    <row r="40" spans="1:15" ht="23.25" customHeight="1">
      <c r="A40" s="98"/>
      <c r="B40" s="297"/>
      <c r="C40" s="300"/>
      <c r="D40" s="300"/>
      <c r="E40" s="294"/>
      <c r="F40" s="33"/>
      <c r="G40" s="34"/>
      <c r="H40" s="34"/>
      <c r="I40" s="34"/>
      <c r="J40" s="34"/>
      <c r="K40" s="34"/>
      <c r="L40" s="34"/>
      <c r="M40" s="34" t="b">
        <v>0</v>
      </c>
      <c r="N40" s="34" t="b">
        <v>0</v>
      </c>
      <c r="O40" s="34" t="b">
        <v>0</v>
      </c>
    </row>
    <row r="41" spans="1:15" ht="23.25" customHeight="1">
      <c r="A41" s="36"/>
      <c r="B41" s="297"/>
      <c r="C41" s="300"/>
      <c r="D41" s="300"/>
      <c r="E41" s="294"/>
      <c r="F41" s="157" t="s">
        <v>70</v>
      </c>
      <c r="G41" s="292"/>
      <c r="H41" s="292"/>
      <c r="I41" s="292"/>
      <c r="J41" s="292"/>
      <c r="K41" s="292"/>
      <c r="L41" s="292"/>
      <c r="M41" s="292"/>
      <c r="N41" s="292"/>
      <c r="O41" s="293"/>
    </row>
    <row r="42" spans="1:15" ht="23.25" customHeight="1">
      <c r="A42" s="36"/>
      <c r="B42" s="297"/>
      <c r="C42" s="300"/>
      <c r="D42" s="300"/>
      <c r="E42" s="294"/>
      <c r="F42" s="190"/>
      <c r="G42" s="301"/>
      <c r="H42" s="301"/>
      <c r="I42" s="301"/>
      <c r="J42" s="301"/>
      <c r="K42" s="301"/>
      <c r="L42" s="301"/>
      <c r="M42" s="301"/>
      <c r="N42" s="301"/>
      <c r="O42" s="302"/>
    </row>
    <row r="43" spans="1:15" ht="23.25" customHeight="1">
      <c r="A43" s="36"/>
      <c r="B43" s="297"/>
      <c r="C43" s="300"/>
      <c r="D43" s="300"/>
      <c r="E43" s="294"/>
      <c r="F43" s="297"/>
      <c r="G43" s="300"/>
      <c r="H43" s="300"/>
      <c r="I43" s="300"/>
      <c r="J43" s="300"/>
      <c r="K43" s="300"/>
      <c r="L43" s="300"/>
      <c r="M43" s="300"/>
      <c r="N43" s="300"/>
      <c r="O43" s="294"/>
    </row>
    <row r="44" spans="1:15" ht="23.25" customHeight="1">
      <c r="A44" s="36"/>
      <c r="B44" s="297"/>
      <c r="C44" s="300"/>
      <c r="D44" s="300"/>
      <c r="E44" s="294"/>
      <c r="F44" s="297"/>
      <c r="G44" s="300"/>
      <c r="H44" s="300"/>
      <c r="I44" s="300"/>
      <c r="J44" s="300"/>
      <c r="K44" s="300"/>
      <c r="L44" s="300"/>
      <c r="M44" s="300"/>
      <c r="N44" s="300"/>
      <c r="O44" s="294"/>
    </row>
    <row r="45" spans="1:15" ht="23.25" customHeight="1">
      <c r="A45" s="36"/>
      <c r="B45" s="297"/>
      <c r="C45" s="300"/>
      <c r="D45" s="300"/>
      <c r="E45" s="294"/>
      <c r="F45" s="297"/>
      <c r="G45" s="300"/>
      <c r="H45" s="300"/>
      <c r="I45" s="300"/>
      <c r="J45" s="300"/>
      <c r="K45" s="300"/>
      <c r="L45" s="300"/>
      <c r="M45" s="300"/>
      <c r="N45" s="300"/>
      <c r="O45" s="294"/>
    </row>
    <row r="46" spans="1:15" ht="23.25" customHeight="1">
      <c r="A46" s="36"/>
      <c r="B46" s="297"/>
      <c r="C46" s="300"/>
      <c r="D46" s="300"/>
      <c r="E46" s="294"/>
      <c r="F46" s="297"/>
      <c r="G46" s="300"/>
      <c r="H46" s="300"/>
      <c r="I46" s="300"/>
      <c r="J46" s="300"/>
      <c r="K46" s="300"/>
      <c r="L46" s="300"/>
      <c r="M46" s="300"/>
      <c r="N46" s="300"/>
      <c r="O46" s="294"/>
    </row>
    <row r="47" spans="1:15" ht="23.25" customHeight="1">
      <c r="A47" s="36"/>
      <c r="B47" s="297"/>
      <c r="C47" s="300"/>
      <c r="D47" s="300"/>
      <c r="E47" s="294"/>
      <c r="F47" s="297"/>
      <c r="G47" s="300"/>
      <c r="H47" s="300"/>
      <c r="I47" s="300"/>
      <c r="J47" s="300"/>
      <c r="K47" s="300"/>
      <c r="L47" s="300"/>
      <c r="M47" s="300"/>
      <c r="N47" s="300"/>
      <c r="O47" s="294"/>
    </row>
    <row r="48" spans="1:15" ht="23.25" customHeight="1">
      <c r="A48" s="36"/>
      <c r="B48" s="305"/>
      <c r="C48" s="306"/>
      <c r="D48" s="306"/>
      <c r="E48" s="307"/>
      <c r="F48" s="305"/>
      <c r="G48" s="306"/>
      <c r="H48" s="306"/>
      <c r="I48" s="306"/>
      <c r="J48" s="306"/>
      <c r="K48" s="306"/>
      <c r="L48" s="306"/>
      <c r="M48" s="306"/>
      <c r="N48" s="306"/>
      <c r="O48" s="307"/>
    </row>
    <row r="51" spans="4:4" ht="15" customHeight="1">
      <c r="D51" s="115" t="s">
        <v>53</v>
      </c>
    </row>
  </sheetData>
  <mergeCells count="26">
    <mergeCell ref="F42:O48"/>
    <mergeCell ref="B29:E29"/>
    <mergeCell ref="B30:E48"/>
    <mergeCell ref="I25:I26"/>
    <mergeCell ref="J25:J26"/>
    <mergeCell ref="K25:K26"/>
    <mergeCell ref="L25:L27"/>
    <mergeCell ref="M25:O26"/>
    <mergeCell ref="F41:O41"/>
    <mergeCell ref="B8:E17"/>
    <mergeCell ref="B18:E18"/>
    <mergeCell ref="F25:H26"/>
    <mergeCell ref="F10:O10"/>
    <mergeCell ref="F11:O17"/>
    <mergeCell ref="F18:O18"/>
    <mergeCell ref="B19:E22"/>
    <mergeCell ref="D2:O2"/>
    <mergeCell ref="F4:O4"/>
    <mergeCell ref="F5:F7"/>
    <mergeCell ref="H5:I5"/>
    <mergeCell ref="N5:O5"/>
    <mergeCell ref="H6:I6"/>
    <mergeCell ref="N6:O6"/>
    <mergeCell ref="N7:O7"/>
    <mergeCell ref="C6:E6"/>
    <mergeCell ref="B7:E7"/>
  </mergeCells>
  <conditionalFormatting sqref="G28:G40">
    <cfRule type="cellIs" dxfId="5" priority="1" operator="equal">
      <formula>"Completa / Concluído"</formula>
    </cfRule>
  </conditionalFormatting>
  <conditionalFormatting sqref="G28:G40">
    <cfRule type="cellIs" dxfId="4" priority="2" operator="equal">
      <formula>"Planeada / Planejada"</formula>
    </cfRule>
  </conditionalFormatting>
  <conditionalFormatting sqref="G28:G40">
    <cfRule type="cellIs" dxfId="3" priority="3" operator="equal">
      <formula>"En Curso / Andamento"</formula>
    </cfRule>
  </conditionalFormatting>
  <conditionalFormatting sqref="G28:G40">
    <cfRule type="cellIs" dxfId="2" priority="4" operator="equal">
      <formula>"Retardo / Atrasada"</formula>
    </cfRule>
  </conditionalFormatting>
  <conditionalFormatting sqref="G28:G40">
    <cfRule type="cellIs" dxfId="1" priority="5" operator="equal">
      <formula>"Cancelada"</formula>
    </cfRule>
  </conditionalFormatting>
  <dataValidations count="2">
    <dataValidation type="list" allowBlank="1" sqref="H28:H40" xr:uid="{00000000-0002-0000-0000-000000000000}">
      <formula1>"Y,N"</formula1>
    </dataValidation>
    <dataValidation type="list" allowBlank="1" sqref="G28:G40" xr:uid="{00000000-0002-0000-0000-000001000000}">
      <formula1>"Planeada / Planejada,En Curso / Andamento,Retardo / Atrasada,Completa / Concluído,Cancelada"</formula1>
    </dataValidation>
  </dataValidations>
  <pageMargins left="0.7" right="0.7" top="0.75" bottom="0.75" header="0" footer="0"/>
  <pageSetup scale="37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H30"/>
  <sheetViews>
    <sheetView showGridLines="0" view="pageBreakPreview" topLeftCell="E1" zoomScale="80" zoomScaleNormal="100" zoomScaleSheetLayoutView="80" workbookViewId="0">
      <selection activeCell="K15" sqref="K15"/>
    </sheetView>
  </sheetViews>
  <sheetFormatPr defaultColWidth="14.42578125" defaultRowHeight="15" customHeight="1"/>
  <cols>
    <col min="1" max="1" width="2.85546875" customWidth="1"/>
    <col min="2" max="2" width="21.85546875" customWidth="1"/>
    <col min="3" max="3" width="16" customWidth="1"/>
    <col min="4" max="4" width="3" customWidth="1"/>
    <col min="5" max="5" width="17.7109375" customWidth="1"/>
    <col min="6" max="6" width="23" customWidth="1"/>
    <col min="7" max="7" width="17.7109375" customWidth="1"/>
    <col min="8" max="8" width="4.7109375" customWidth="1"/>
  </cols>
  <sheetData>
    <row r="1" spans="1:8" ht="9.75" customHeight="1"/>
    <row r="2" spans="1:8" ht="27" customHeight="1">
      <c r="A2" s="37"/>
      <c r="B2" s="193" t="s">
        <v>71</v>
      </c>
      <c r="C2" s="308"/>
      <c r="D2" s="308"/>
      <c r="E2" s="308"/>
      <c r="F2" s="308"/>
      <c r="G2" s="309"/>
      <c r="H2" s="37"/>
    </row>
    <row r="4" spans="1:8" ht="15" customHeight="1">
      <c r="B4" s="38" t="s">
        <v>72</v>
      </c>
      <c r="C4" s="39" t="s">
        <v>73</v>
      </c>
      <c r="E4" s="201" t="s">
        <v>74</v>
      </c>
      <c r="F4" s="202"/>
      <c r="G4" s="203"/>
    </row>
    <row r="5" spans="1:8" ht="14.45">
      <c r="B5" s="40" t="s">
        <v>75</v>
      </c>
      <c r="C5" s="40" t="s">
        <v>76</v>
      </c>
      <c r="E5" s="204" t="s">
        <v>77</v>
      </c>
      <c r="F5" s="205"/>
      <c r="G5" s="206"/>
    </row>
    <row r="6" spans="1:8" ht="14.45">
      <c r="B6" s="40" t="s">
        <v>78</v>
      </c>
      <c r="C6" s="40" t="s">
        <v>79</v>
      </c>
    </row>
    <row r="7" spans="1:8" ht="14.45">
      <c r="B7" s="40" t="s">
        <v>80</v>
      </c>
      <c r="C7" s="40" t="s">
        <v>81</v>
      </c>
    </row>
    <row r="8" spans="1:8" ht="14.45">
      <c r="B8" s="40" t="s">
        <v>82</v>
      </c>
      <c r="C8" s="40" t="s">
        <v>83</v>
      </c>
      <c r="E8" s="194" t="s">
        <v>84</v>
      </c>
      <c r="F8" s="310"/>
      <c r="G8" s="311"/>
    </row>
    <row r="9" spans="1:8" ht="15" customHeight="1">
      <c r="B9" s="40" t="s">
        <v>85</v>
      </c>
      <c r="C9" s="40" t="s">
        <v>86</v>
      </c>
      <c r="E9" s="207" t="s">
        <v>87</v>
      </c>
      <c r="F9" s="208"/>
      <c r="G9" s="209"/>
    </row>
    <row r="10" spans="1:8" ht="15" customHeight="1">
      <c r="B10" s="40" t="s">
        <v>88</v>
      </c>
      <c r="C10" s="40" t="s">
        <v>89</v>
      </c>
      <c r="E10" s="210"/>
      <c r="F10" s="211"/>
      <c r="G10" s="212"/>
    </row>
    <row r="11" spans="1:8" ht="15" customHeight="1">
      <c r="B11" s="40" t="s">
        <v>90</v>
      </c>
      <c r="C11" s="40" t="s">
        <v>91</v>
      </c>
      <c r="E11" s="213"/>
      <c r="F11" s="214"/>
      <c r="G11" s="215"/>
    </row>
    <row r="12" spans="1:8" ht="14.45">
      <c r="B12" s="40" t="s">
        <v>92</v>
      </c>
      <c r="C12" s="40" t="s">
        <v>93</v>
      </c>
    </row>
    <row r="13" spans="1:8" ht="14.45">
      <c r="B13" s="40" t="s">
        <v>94</v>
      </c>
      <c r="C13" s="40" t="s">
        <v>95</v>
      </c>
      <c r="E13" s="216" t="s">
        <v>96</v>
      </c>
      <c r="F13" s="216"/>
      <c r="G13" s="216"/>
    </row>
    <row r="14" spans="1:8" ht="15" customHeight="1">
      <c r="B14" s="40" t="s">
        <v>97</v>
      </c>
      <c r="C14" s="40" t="s">
        <v>98</v>
      </c>
      <c r="E14" s="195" t="s">
        <v>99</v>
      </c>
      <c r="F14" s="196"/>
      <c r="G14" s="197"/>
    </row>
    <row r="15" spans="1:8" ht="15" customHeight="1">
      <c r="B15" s="40" t="s">
        <v>100</v>
      </c>
      <c r="C15" s="40" t="s">
        <v>101</v>
      </c>
      <c r="E15" s="198"/>
      <c r="F15" s="199"/>
      <c r="G15" s="200"/>
    </row>
    <row r="16" spans="1:8" ht="15" customHeight="1">
      <c r="B16" s="40" t="s">
        <v>102</v>
      </c>
      <c r="C16" s="40" t="s">
        <v>103</v>
      </c>
      <c r="E16" s="198"/>
      <c r="F16" s="199"/>
      <c r="G16" s="200"/>
    </row>
    <row r="17" spans="2:7" ht="15" customHeight="1">
      <c r="B17" s="40" t="s">
        <v>104</v>
      </c>
      <c r="C17" s="40" t="s">
        <v>105</v>
      </c>
      <c r="E17" s="95"/>
      <c r="F17" s="94"/>
      <c r="G17" s="95"/>
    </row>
    <row r="18" spans="2:7" ht="15" customHeight="1">
      <c r="B18" s="40" t="s">
        <v>106</v>
      </c>
      <c r="C18" s="40" t="s">
        <v>107</v>
      </c>
    </row>
    <row r="19" spans="2:7" ht="15" customHeight="1">
      <c r="B19" s="40" t="s">
        <v>108</v>
      </c>
      <c r="C19" s="40" t="s">
        <v>109</v>
      </c>
    </row>
    <row r="20" spans="2:7" ht="15" customHeight="1">
      <c r="B20" s="40" t="s">
        <v>110</v>
      </c>
      <c r="C20" s="40" t="s">
        <v>111</v>
      </c>
    </row>
    <row r="21" spans="2:7" ht="14.45">
      <c r="B21" s="40" t="s">
        <v>112</v>
      </c>
      <c r="C21" s="40" t="s">
        <v>113</v>
      </c>
    </row>
    <row r="22" spans="2:7" ht="14.45">
      <c r="B22" s="40" t="s">
        <v>114</v>
      </c>
      <c r="C22" s="40" t="s">
        <v>115</v>
      </c>
    </row>
    <row r="23" spans="2:7" ht="15.75" customHeight="1">
      <c r="B23" s="40" t="s">
        <v>116</v>
      </c>
      <c r="C23" s="40" t="s">
        <v>117</v>
      </c>
    </row>
    <row r="24" spans="2:7" ht="15.75" customHeight="1">
      <c r="B24" s="40" t="s">
        <v>118</v>
      </c>
      <c r="C24" s="40" t="s">
        <v>119</v>
      </c>
    </row>
    <row r="25" spans="2:7" ht="15.75" customHeight="1">
      <c r="B25" s="40" t="s">
        <v>120</v>
      </c>
      <c r="C25" s="40" t="s">
        <v>121</v>
      </c>
    </row>
    <row r="26" spans="2:7" ht="15.75" customHeight="1">
      <c r="B26" s="40" t="s">
        <v>122</v>
      </c>
      <c r="C26" s="40" t="s">
        <v>123</v>
      </c>
    </row>
    <row r="27" spans="2:7" ht="15.75" customHeight="1">
      <c r="B27" s="40" t="s">
        <v>124</v>
      </c>
      <c r="C27" s="40" t="s">
        <v>125</v>
      </c>
    </row>
    <row r="28" spans="2:7" ht="15.75" customHeight="1">
      <c r="B28" s="40" t="s">
        <v>126</v>
      </c>
      <c r="C28" s="40" t="s">
        <v>127</v>
      </c>
    </row>
    <row r="29" spans="2:7" ht="15.75" customHeight="1">
      <c r="B29" s="40" t="s">
        <v>128</v>
      </c>
      <c r="C29" s="40" t="s">
        <v>129</v>
      </c>
    </row>
    <row r="30" spans="2:7" ht="15.75" customHeight="1"/>
  </sheetData>
  <mergeCells count="7">
    <mergeCell ref="B2:G2"/>
    <mergeCell ref="E8:G8"/>
    <mergeCell ref="E14:G16"/>
    <mergeCell ref="E4:G4"/>
    <mergeCell ref="E5:G5"/>
    <mergeCell ref="E9:G11"/>
    <mergeCell ref="E13:G13"/>
  </mergeCells>
  <pageMargins left="0.7" right="0.7" top="0.75" bottom="0.75" header="0" footer="0"/>
  <pageSetup paperSize="9" scale="48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6"/>
  <sheetViews>
    <sheetView showGridLines="0" view="pageBreakPreview" topLeftCell="N1" zoomScale="60" zoomScaleNormal="100" workbookViewId="0">
      <selection activeCell="AH3" sqref="AH3"/>
    </sheetView>
  </sheetViews>
  <sheetFormatPr defaultColWidth="14.42578125" defaultRowHeight="15" customHeight="1"/>
  <cols>
    <col min="1" max="1" width="2.140625" customWidth="1"/>
    <col min="2" max="18" width="8.7109375" customWidth="1"/>
    <col min="19" max="49" width="3.28515625" customWidth="1"/>
  </cols>
  <sheetData>
    <row r="1" spans="1:49" ht="8.25" customHeight="1">
      <c r="A1" s="9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2"/>
      <c r="O1" s="42"/>
      <c r="P1" s="42"/>
      <c r="Q1" s="42"/>
      <c r="R1" s="42"/>
      <c r="S1" s="42"/>
      <c r="T1" s="90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42"/>
      <c r="AH1" s="42"/>
      <c r="AI1" s="42"/>
      <c r="AJ1" s="42"/>
      <c r="AK1" s="42"/>
      <c r="AL1" s="42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18" customHeight="1">
      <c r="A2" s="90"/>
      <c r="B2" s="217" t="s">
        <v>130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3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3"/>
      <c r="AP2" s="43"/>
      <c r="AQ2" s="43"/>
      <c r="AR2" s="43"/>
      <c r="AS2" s="43"/>
      <c r="AT2" s="43"/>
      <c r="AU2" s="43"/>
      <c r="AV2" s="43"/>
      <c r="AW2" s="43"/>
    </row>
    <row r="3" spans="1:49" ht="18" customHeight="1">
      <c r="A3" s="90"/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6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43"/>
      <c r="AQ3" s="43"/>
      <c r="AR3" s="43"/>
      <c r="AS3" s="43"/>
      <c r="AT3" s="43"/>
      <c r="AU3" s="43"/>
      <c r="AV3" s="43"/>
      <c r="AW3" s="43"/>
    </row>
    <row r="4" spans="1:49" ht="23.25" customHeight="1">
      <c r="A4" s="99"/>
      <c r="B4" s="218" t="s">
        <v>131</v>
      </c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8"/>
      <c r="S4" s="100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</row>
    <row r="5" spans="1:49" ht="27.75" customHeight="1">
      <c r="A5" s="99"/>
      <c r="B5" s="66"/>
      <c r="C5" s="99"/>
      <c r="D5" s="99"/>
      <c r="E5" s="99"/>
      <c r="F5" s="99"/>
      <c r="G5" s="99"/>
      <c r="H5" s="99"/>
      <c r="I5" s="99"/>
      <c r="J5" s="99"/>
      <c r="K5" s="99"/>
      <c r="L5" s="99"/>
      <c r="M5" s="101"/>
      <c r="N5" s="101"/>
      <c r="O5" s="101"/>
      <c r="P5" s="101"/>
      <c r="Q5" s="101"/>
      <c r="R5" s="67"/>
      <c r="S5" s="101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</row>
    <row r="6" spans="1:49" ht="27.75" customHeight="1">
      <c r="A6" s="101"/>
      <c r="B6" s="102"/>
      <c r="R6" s="103"/>
    </row>
    <row r="7" spans="1:49" ht="27.75" customHeight="1">
      <c r="A7" s="101"/>
      <c r="B7" s="102"/>
      <c r="R7" s="103"/>
    </row>
    <row r="8" spans="1:49" ht="27.75" customHeight="1">
      <c r="A8" s="101"/>
      <c r="B8" s="102"/>
      <c r="R8" s="103"/>
    </row>
    <row r="9" spans="1:49" ht="27.75" customHeight="1">
      <c r="A9" s="101"/>
      <c r="B9" s="102"/>
      <c r="R9" s="103"/>
    </row>
    <row r="10" spans="1:49" ht="27.75" customHeight="1">
      <c r="A10" s="101"/>
      <c r="B10" s="102"/>
      <c r="R10" s="103"/>
    </row>
    <row r="11" spans="1:49" ht="27.75" customHeight="1">
      <c r="A11" s="101"/>
      <c r="B11" s="102"/>
      <c r="R11" s="103"/>
    </row>
    <row r="12" spans="1:49" ht="27.75" customHeight="1">
      <c r="A12" s="101"/>
      <c r="B12" s="102"/>
      <c r="R12" s="103"/>
    </row>
    <row r="13" spans="1:49" ht="27.75" customHeight="1">
      <c r="A13" s="101"/>
      <c r="B13" s="102"/>
      <c r="R13" s="103"/>
    </row>
    <row r="14" spans="1:49" ht="27.75" customHeight="1">
      <c r="A14" s="101"/>
      <c r="B14" s="102"/>
      <c r="R14" s="103"/>
    </row>
    <row r="15" spans="1:49" ht="27.75" customHeight="1">
      <c r="A15" s="101"/>
      <c r="B15" s="102"/>
      <c r="R15" s="103"/>
    </row>
    <row r="16" spans="1:49" ht="27.75" customHeight="1">
      <c r="A16" s="101"/>
      <c r="B16" s="102"/>
      <c r="R16" s="103"/>
    </row>
    <row r="17" spans="1:18" ht="27.75" customHeight="1">
      <c r="A17" s="101"/>
      <c r="B17" s="102"/>
      <c r="R17" s="103"/>
    </row>
    <row r="18" spans="1:18" ht="27.75" customHeight="1">
      <c r="A18" s="101"/>
      <c r="B18" s="111"/>
      <c r="R18" s="103"/>
    </row>
    <row r="19" spans="1:18" ht="27.75" customHeight="1">
      <c r="A19" s="101"/>
      <c r="B19" s="102"/>
      <c r="R19" s="103"/>
    </row>
    <row r="20" spans="1:18" ht="27.75" customHeight="1">
      <c r="A20" s="101"/>
      <c r="B20" s="102"/>
      <c r="R20" s="103"/>
    </row>
    <row r="21" spans="1:18" ht="27.75" customHeight="1">
      <c r="A21" s="101"/>
      <c r="B21" s="102"/>
      <c r="R21" s="103"/>
    </row>
    <row r="22" spans="1:18" ht="27.75" customHeight="1">
      <c r="A22" s="101"/>
      <c r="B22" s="102"/>
      <c r="R22" s="103"/>
    </row>
    <row r="23" spans="1:18" ht="27.75" customHeight="1">
      <c r="A23" s="101"/>
      <c r="B23" s="102"/>
      <c r="R23" s="103"/>
    </row>
    <row r="24" spans="1:18" ht="27.75" customHeight="1">
      <c r="A24" s="101"/>
      <c r="B24" s="102"/>
      <c r="R24" s="103"/>
    </row>
    <row r="25" spans="1:18" ht="27.75" customHeight="1">
      <c r="A25" s="101"/>
      <c r="B25" s="102"/>
      <c r="R25" s="103"/>
    </row>
    <row r="26" spans="1:18" ht="27.75" customHeight="1">
      <c r="A26" s="101"/>
      <c r="B26" s="102"/>
      <c r="R26" s="103"/>
    </row>
    <row r="27" spans="1:18" ht="27.75" customHeight="1">
      <c r="A27" s="101"/>
      <c r="B27" s="102"/>
      <c r="R27" s="103"/>
    </row>
    <row r="28" spans="1:18" ht="27.75" customHeight="1">
      <c r="A28" s="101"/>
      <c r="B28" s="102"/>
      <c r="R28" s="103"/>
    </row>
    <row r="29" spans="1:18" ht="27.75" customHeight="1">
      <c r="A29" s="101"/>
      <c r="B29" s="102"/>
      <c r="R29" s="103"/>
    </row>
    <row r="30" spans="1:18" ht="27.75" customHeight="1">
      <c r="A30" s="101"/>
      <c r="B30" s="102"/>
      <c r="R30" s="103"/>
    </row>
    <row r="31" spans="1:18" ht="27.75" customHeight="1">
      <c r="A31" s="101"/>
      <c r="B31" s="102"/>
      <c r="R31" s="103"/>
    </row>
    <row r="32" spans="1:18" ht="27.75" customHeight="1">
      <c r="A32" s="101"/>
      <c r="B32" s="102"/>
      <c r="R32" s="103"/>
    </row>
    <row r="33" spans="1:18" ht="27.75" customHeight="1">
      <c r="A33" s="101"/>
      <c r="B33" s="102"/>
      <c r="R33" s="103"/>
    </row>
    <row r="34" spans="1:18" ht="27.75" customHeight="1">
      <c r="A34" s="101"/>
      <c r="B34" s="102"/>
      <c r="R34" s="103"/>
    </row>
    <row r="35" spans="1:18" ht="27.75" customHeight="1">
      <c r="A35" s="101"/>
      <c r="B35" s="104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6"/>
    </row>
    <row r="36" spans="1:18" ht="15.75" customHeight="1">
      <c r="A36" s="101"/>
    </row>
  </sheetData>
  <mergeCells count="2">
    <mergeCell ref="B2:R3"/>
    <mergeCell ref="B4:R4"/>
  </mergeCells>
  <pageMargins left="0.7" right="0.7" top="0.75" bottom="0.75" header="0" footer="0"/>
  <pageSetup paperSize="9" scale="53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colBreaks count="1" manualBreakCount="1">
    <brk id="19" max="1048575" man="1"/>
  </col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7"/>
  <sheetViews>
    <sheetView showGridLines="0" view="pageBreakPreview" topLeftCell="A9" zoomScale="60" zoomScaleNormal="100" workbookViewId="0">
      <selection activeCell="C31" sqref="C31"/>
    </sheetView>
  </sheetViews>
  <sheetFormatPr defaultColWidth="14.42578125" defaultRowHeight="15" customHeight="1"/>
  <cols>
    <col min="1" max="1" width="2.140625" customWidth="1"/>
    <col min="2" max="19" width="3.85546875" customWidth="1"/>
    <col min="20" max="25" width="4.140625" customWidth="1"/>
    <col min="26" max="49" width="3.7109375" customWidth="1"/>
  </cols>
  <sheetData>
    <row r="1" spans="1:49" ht="8.25" customHeight="1">
      <c r="A1" s="9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2"/>
      <c r="O1" s="42"/>
      <c r="P1" s="42"/>
      <c r="Q1" s="42"/>
      <c r="R1" s="42"/>
      <c r="S1" s="42"/>
      <c r="T1" s="90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42"/>
      <c r="AH1" s="42"/>
      <c r="AI1" s="42"/>
      <c r="AJ1" s="42"/>
      <c r="AK1" s="42"/>
      <c r="AL1" s="42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20.25" customHeight="1">
      <c r="A2" s="90"/>
      <c r="B2" s="217" t="s">
        <v>132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3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3"/>
      <c r="AP2" s="43"/>
      <c r="AQ2" s="43"/>
      <c r="AR2" s="43"/>
      <c r="AS2" s="43"/>
      <c r="AT2" s="43"/>
      <c r="AU2" s="43"/>
      <c r="AV2" s="43"/>
      <c r="AW2" s="43"/>
    </row>
    <row r="3" spans="1:49" ht="17.25" customHeight="1">
      <c r="A3" s="90"/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6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43"/>
      <c r="AQ3" s="43"/>
      <c r="AR3" s="43"/>
      <c r="AS3" s="43"/>
      <c r="AT3" s="43"/>
      <c r="AU3" s="43"/>
      <c r="AV3" s="43"/>
      <c r="AW3" s="43"/>
    </row>
    <row r="4" spans="1:49" ht="20.25" customHeight="1">
      <c r="A4" s="46"/>
      <c r="B4" s="221" t="s">
        <v>133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20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</row>
    <row r="5" spans="1:49" ht="17.25" customHeight="1">
      <c r="A5" s="46"/>
      <c r="B5" s="47">
        <v>1</v>
      </c>
      <c r="C5" s="222" t="s">
        <v>62</v>
      </c>
      <c r="D5" s="321"/>
      <c r="E5" s="321"/>
      <c r="F5" s="321"/>
      <c r="G5" s="321"/>
      <c r="H5" s="321"/>
      <c r="I5" s="322"/>
      <c r="J5" s="48">
        <v>8</v>
      </c>
      <c r="K5" s="222" t="s">
        <v>134</v>
      </c>
      <c r="L5" s="321"/>
      <c r="M5" s="321"/>
      <c r="N5" s="321"/>
      <c r="O5" s="321"/>
      <c r="P5" s="321"/>
      <c r="Q5" s="322"/>
      <c r="R5" s="47">
        <v>15</v>
      </c>
      <c r="S5" s="222"/>
      <c r="T5" s="321"/>
      <c r="U5" s="321"/>
      <c r="V5" s="321"/>
      <c r="W5" s="321"/>
      <c r="X5" s="321"/>
      <c r="Y5" s="323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</row>
    <row r="6" spans="1:49" ht="17.25" customHeight="1">
      <c r="A6" s="46"/>
      <c r="B6" s="49">
        <v>2</v>
      </c>
      <c r="C6" s="219" t="s">
        <v>135</v>
      </c>
      <c r="D6" s="324"/>
      <c r="E6" s="324"/>
      <c r="F6" s="324"/>
      <c r="G6" s="324"/>
      <c r="H6" s="324"/>
      <c r="I6" s="325"/>
      <c r="J6" s="50">
        <v>9</v>
      </c>
      <c r="K6" s="219"/>
      <c r="L6" s="324"/>
      <c r="M6" s="324"/>
      <c r="N6" s="324"/>
      <c r="O6" s="324"/>
      <c r="P6" s="324"/>
      <c r="Q6" s="325"/>
      <c r="R6" s="49">
        <v>16</v>
      </c>
      <c r="S6" s="219"/>
      <c r="T6" s="324"/>
      <c r="U6" s="324"/>
      <c r="V6" s="324"/>
      <c r="W6" s="324"/>
      <c r="X6" s="324"/>
      <c r="Y6" s="32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1:49" ht="17.25" customHeight="1">
      <c r="A7" s="46"/>
      <c r="B7" s="49">
        <v>3</v>
      </c>
      <c r="C7" s="219" t="s">
        <v>136</v>
      </c>
      <c r="D7" s="324"/>
      <c r="E7" s="324"/>
      <c r="F7" s="324"/>
      <c r="G7" s="324"/>
      <c r="H7" s="324"/>
      <c r="I7" s="325"/>
      <c r="J7" s="50">
        <v>10</v>
      </c>
      <c r="K7" s="219"/>
      <c r="L7" s="324"/>
      <c r="M7" s="324"/>
      <c r="N7" s="324"/>
      <c r="O7" s="324"/>
      <c r="P7" s="324"/>
      <c r="Q7" s="325"/>
      <c r="R7" s="49">
        <v>17</v>
      </c>
      <c r="S7" s="219"/>
      <c r="T7" s="324"/>
      <c r="U7" s="324"/>
      <c r="V7" s="324"/>
      <c r="W7" s="324"/>
      <c r="X7" s="324"/>
      <c r="Y7" s="32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</row>
    <row r="8" spans="1:49" ht="17.25" customHeight="1">
      <c r="A8" s="46"/>
      <c r="B8" s="49">
        <v>4</v>
      </c>
      <c r="C8" s="219" t="s">
        <v>137</v>
      </c>
      <c r="D8" s="324"/>
      <c r="E8" s="324"/>
      <c r="F8" s="324"/>
      <c r="G8" s="324"/>
      <c r="H8" s="324"/>
      <c r="I8" s="325"/>
      <c r="J8" s="50">
        <v>11</v>
      </c>
      <c r="K8" s="219"/>
      <c r="L8" s="324"/>
      <c r="M8" s="324"/>
      <c r="N8" s="324"/>
      <c r="O8" s="324"/>
      <c r="P8" s="324"/>
      <c r="Q8" s="325"/>
      <c r="R8" s="49">
        <v>18</v>
      </c>
      <c r="S8" s="219"/>
      <c r="T8" s="324"/>
      <c r="U8" s="324"/>
      <c r="V8" s="324"/>
      <c r="W8" s="324"/>
      <c r="X8" s="324"/>
      <c r="Y8" s="32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</row>
    <row r="9" spans="1:49" ht="17.25" customHeight="1">
      <c r="A9" s="46"/>
      <c r="B9" s="49">
        <v>5</v>
      </c>
      <c r="C9" s="219" t="s">
        <v>138</v>
      </c>
      <c r="D9" s="324"/>
      <c r="E9" s="324"/>
      <c r="F9" s="324"/>
      <c r="G9" s="324"/>
      <c r="H9" s="324"/>
      <c r="I9" s="325"/>
      <c r="J9" s="50">
        <v>12</v>
      </c>
      <c r="K9" s="219"/>
      <c r="L9" s="324"/>
      <c r="M9" s="324"/>
      <c r="N9" s="324"/>
      <c r="O9" s="324"/>
      <c r="P9" s="324"/>
      <c r="Q9" s="325"/>
      <c r="R9" s="49">
        <v>19</v>
      </c>
      <c r="S9" s="219"/>
      <c r="T9" s="324"/>
      <c r="U9" s="324"/>
      <c r="V9" s="324"/>
      <c r="W9" s="324"/>
      <c r="X9" s="324"/>
      <c r="Y9" s="32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</row>
    <row r="10" spans="1:49" ht="17.25" customHeight="1">
      <c r="A10" s="46"/>
      <c r="B10" s="49">
        <v>6</v>
      </c>
      <c r="C10" s="219" t="s">
        <v>51</v>
      </c>
      <c r="D10" s="324"/>
      <c r="E10" s="324"/>
      <c r="F10" s="324"/>
      <c r="G10" s="324"/>
      <c r="H10" s="324"/>
      <c r="I10" s="325"/>
      <c r="J10" s="50">
        <v>13</v>
      </c>
      <c r="K10" s="219"/>
      <c r="L10" s="324"/>
      <c r="M10" s="324"/>
      <c r="N10" s="324"/>
      <c r="O10" s="324"/>
      <c r="P10" s="324"/>
      <c r="Q10" s="325"/>
      <c r="R10" s="49">
        <v>20</v>
      </c>
      <c r="S10" s="219"/>
      <c r="T10" s="324"/>
      <c r="U10" s="324"/>
      <c r="V10" s="324"/>
      <c r="W10" s="324"/>
      <c r="X10" s="324"/>
      <c r="Y10" s="32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</row>
    <row r="11" spans="1:49" ht="16.5" customHeight="1">
      <c r="A11" s="46"/>
      <c r="B11" s="51">
        <v>7</v>
      </c>
      <c r="C11" s="220" t="s">
        <v>139</v>
      </c>
      <c r="D11" s="327"/>
      <c r="E11" s="327"/>
      <c r="F11" s="327"/>
      <c r="G11" s="327"/>
      <c r="H11" s="327"/>
      <c r="I11" s="328"/>
      <c r="J11" s="52">
        <v>14</v>
      </c>
      <c r="K11" s="220"/>
      <c r="L11" s="327"/>
      <c r="M11" s="327"/>
      <c r="N11" s="327"/>
      <c r="O11" s="327"/>
      <c r="P11" s="327"/>
      <c r="Q11" s="328"/>
      <c r="R11" s="51">
        <v>21</v>
      </c>
      <c r="S11" s="220"/>
      <c r="T11" s="327"/>
      <c r="U11" s="327"/>
      <c r="V11" s="327"/>
      <c r="W11" s="327"/>
      <c r="X11" s="327"/>
      <c r="Y11" s="329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</row>
    <row r="12" spans="1:49" ht="16.5" customHeight="1">
      <c r="A12" s="46"/>
      <c r="B12" s="221" t="s">
        <v>140</v>
      </c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20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</row>
    <row r="13" spans="1:49" ht="14.25" customHeight="1">
      <c r="A13" s="46"/>
      <c r="B13" s="223" t="s">
        <v>2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1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</row>
    <row r="14" spans="1:49" ht="14.25" customHeight="1">
      <c r="A14" s="46"/>
      <c r="B14" s="332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18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</row>
    <row r="15" spans="1:49" ht="14.25" customHeight="1">
      <c r="A15" s="46"/>
      <c r="B15" s="333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20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</row>
    <row r="16" spans="1:49" ht="14.25" customHeight="1">
      <c r="A16" s="46"/>
      <c r="B16" s="221" t="s">
        <v>141</v>
      </c>
      <c r="C16" s="319"/>
      <c r="D16" s="319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20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</row>
    <row r="17" spans="1:49" ht="60.75" customHeight="1">
      <c r="A17" s="53"/>
      <c r="B17" s="47">
        <v>1</v>
      </c>
      <c r="C17" s="224" t="s">
        <v>142</v>
      </c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6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</row>
    <row r="18" spans="1:49" ht="60" customHeight="1">
      <c r="A18" s="53"/>
      <c r="B18" s="49">
        <v>2</v>
      </c>
      <c r="C18" s="227" t="s">
        <v>143</v>
      </c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9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</row>
    <row r="19" spans="1:49" ht="40.5" customHeight="1">
      <c r="A19" s="53"/>
      <c r="B19" s="49">
        <v>3</v>
      </c>
      <c r="C19" s="227" t="s">
        <v>144</v>
      </c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9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</row>
    <row r="20" spans="1:49" ht="31.5" customHeight="1">
      <c r="A20" s="53"/>
      <c r="B20" s="49">
        <v>4</v>
      </c>
      <c r="C20" s="227" t="s">
        <v>145</v>
      </c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9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</row>
    <row r="21" spans="1:49" ht="31.5" customHeight="1">
      <c r="A21" s="53"/>
      <c r="B21" s="49">
        <v>5</v>
      </c>
      <c r="C21" s="227" t="s">
        <v>146</v>
      </c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9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</row>
    <row r="22" spans="1:49" ht="31.5" customHeight="1">
      <c r="A22" s="53"/>
      <c r="B22" s="49">
        <v>6</v>
      </c>
      <c r="C22" s="227" t="s">
        <v>147</v>
      </c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9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</row>
    <row r="23" spans="1:49" ht="31.5" customHeight="1">
      <c r="A23" s="53"/>
      <c r="B23" s="49">
        <v>7</v>
      </c>
      <c r="C23" s="227" t="s">
        <v>148</v>
      </c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9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</row>
    <row r="24" spans="1:49" ht="31.5" customHeight="1">
      <c r="A24" s="53"/>
      <c r="B24" s="49">
        <v>8</v>
      </c>
      <c r="C24" s="227" t="s">
        <v>149</v>
      </c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9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</row>
    <row r="25" spans="1:49" ht="31.5" customHeight="1">
      <c r="A25" s="53"/>
      <c r="B25" s="49">
        <v>9</v>
      </c>
      <c r="C25" s="230" t="s">
        <v>150</v>
      </c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6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</row>
    <row r="26" spans="1:49" ht="31.5" customHeight="1">
      <c r="A26" s="53"/>
      <c r="B26" s="49">
        <v>10</v>
      </c>
      <c r="C26" s="231" t="s">
        <v>151</v>
      </c>
      <c r="D26" s="334"/>
      <c r="E26" s="334"/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5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</row>
    <row r="27" spans="1:49" ht="31.5" customHeight="1">
      <c r="A27" s="53"/>
      <c r="B27" s="49">
        <v>11</v>
      </c>
      <c r="C27" s="227" t="s">
        <v>152</v>
      </c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9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</row>
    <row r="28" spans="1:49" ht="32.25" customHeight="1">
      <c r="A28" s="53"/>
      <c r="B28" s="49">
        <v>12</v>
      </c>
      <c r="C28" s="227" t="s">
        <v>153</v>
      </c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9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</row>
    <row r="29" spans="1:49" ht="31.5" customHeight="1">
      <c r="A29" s="53"/>
      <c r="B29" s="49">
        <v>13</v>
      </c>
      <c r="C29" s="227" t="s">
        <v>154</v>
      </c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9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</row>
    <row r="30" spans="1:49" ht="31.5" customHeight="1">
      <c r="A30" s="53"/>
      <c r="B30" s="49">
        <v>14</v>
      </c>
      <c r="C30" s="219" t="s">
        <v>155</v>
      </c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6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</row>
    <row r="31" spans="1:49" ht="37.5" customHeight="1">
      <c r="A31" s="53"/>
      <c r="B31" s="49">
        <v>15</v>
      </c>
      <c r="C31" s="219" t="s">
        <v>156</v>
      </c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6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</row>
    <row r="32" spans="1:49" ht="31.5" customHeight="1">
      <c r="A32" s="53"/>
      <c r="B32" s="49">
        <v>16</v>
      </c>
      <c r="C32" s="219" t="s">
        <v>157</v>
      </c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6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</row>
    <row r="33" spans="1:49" ht="31.5" customHeight="1">
      <c r="A33" s="53"/>
      <c r="B33" s="49">
        <v>17</v>
      </c>
      <c r="C33" s="219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6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</row>
    <row r="34" spans="1:49" ht="31.5" customHeight="1">
      <c r="A34" s="53"/>
      <c r="B34" s="49">
        <v>18</v>
      </c>
      <c r="C34" s="219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6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</row>
    <row r="35" spans="1:49" ht="31.5" customHeight="1">
      <c r="A35" s="53"/>
      <c r="B35" s="49">
        <v>19</v>
      </c>
      <c r="C35" s="219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6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</row>
    <row r="36" spans="1:49" ht="31.5" customHeight="1">
      <c r="A36" s="53"/>
      <c r="B36" s="49">
        <v>20</v>
      </c>
      <c r="C36" s="219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6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</row>
    <row r="37" spans="1:49" ht="31.5" customHeight="1">
      <c r="A37" s="53"/>
      <c r="B37" s="49">
        <v>21</v>
      </c>
      <c r="C37" s="219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6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</row>
    <row r="38" spans="1:49" ht="31.5" customHeight="1">
      <c r="A38" s="53"/>
      <c r="B38" s="49">
        <v>22</v>
      </c>
      <c r="C38" s="219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6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</row>
    <row r="39" spans="1:49" ht="31.5" customHeight="1">
      <c r="A39" s="53"/>
      <c r="B39" s="49">
        <v>23</v>
      </c>
      <c r="C39" s="219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6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</row>
    <row r="40" spans="1:49" ht="31.5" customHeight="1">
      <c r="A40" s="53"/>
      <c r="B40" s="49">
        <v>24</v>
      </c>
      <c r="C40" s="219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6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</row>
    <row r="41" spans="1:49" ht="31.5" customHeight="1">
      <c r="A41" s="53"/>
      <c r="B41" s="49">
        <v>25</v>
      </c>
      <c r="C41" s="219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6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</row>
    <row r="42" spans="1:49" ht="31.5" customHeight="1">
      <c r="A42" s="53"/>
      <c r="B42" s="49">
        <v>26</v>
      </c>
      <c r="C42" s="219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6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</row>
    <row r="43" spans="1:49" ht="31.5" customHeight="1">
      <c r="A43" s="53"/>
      <c r="B43" s="49">
        <v>27</v>
      </c>
      <c r="C43" s="219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6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</row>
    <row r="44" spans="1:49" ht="31.5" customHeight="1">
      <c r="A44" s="53"/>
      <c r="B44" s="49">
        <v>28</v>
      </c>
      <c r="C44" s="219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6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</row>
    <row r="45" spans="1:49" ht="31.5" customHeight="1">
      <c r="A45" s="53"/>
      <c r="B45" s="49">
        <v>29</v>
      </c>
      <c r="C45" s="219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6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</row>
    <row r="46" spans="1:49" ht="31.5" customHeight="1">
      <c r="A46" s="53"/>
      <c r="B46" s="51">
        <v>30</v>
      </c>
      <c r="C46" s="220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329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</row>
    <row r="47" spans="1:49" ht="16.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</row>
  </sheetData>
  <mergeCells count="56">
    <mergeCell ref="C28:Y28"/>
    <mergeCell ref="C29:Y29"/>
    <mergeCell ref="C30:Y30"/>
    <mergeCell ref="C31:Y31"/>
    <mergeCell ref="C32:Y32"/>
    <mergeCell ref="C23:Y23"/>
    <mergeCell ref="C24:Y24"/>
    <mergeCell ref="C25:Y25"/>
    <mergeCell ref="C26:Y26"/>
    <mergeCell ref="C27:Y27"/>
    <mergeCell ref="C18:Y18"/>
    <mergeCell ref="C19:Y19"/>
    <mergeCell ref="C20:Y20"/>
    <mergeCell ref="C21:Y21"/>
    <mergeCell ref="C22:Y22"/>
    <mergeCell ref="B12:Y12"/>
    <mergeCell ref="B13:Y15"/>
    <mergeCell ref="B16:Y16"/>
    <mergeCell ref="C17:Y17"/>
    <mergeCell ref="K11:Q11"/>
    <mergeCell ref="C10:I10"/>
    <mergeCell ref="C11:I11"/>
    <mergeCell ref="C6:I6"/>
    <mergeCell ref="C7:I7"/>
    <mergeCell ref="S11:Y11"/>
    <mergeCell ref="C8:I8"/>
    <mergeCell ref="K6:Q6"/>
    <mergeCell ref="S6:Y6"/>
    <mergeCell ref="K8:Q8"/>
    <mergeCell ref="C9:I9"/>
    <mergeCell ref="K9:Q9"/>
    <mergeCell ref="K10:Q10"/>
    <mergeCell ref="S7:Y7"/>
    <mergeCell ref="S8:Y8"/>
    <mergeCell ref="S9:Y9"/>
    <mergeCell ref="S10:Y10"/>
    <mergeCell ref="K7:Q7"/>
    <mergeCell ref="B2:Y3"/>
    <mergeCell ref="B4:Y4"/>
    <mergeCell ref="C5:I5"/>
    <mergeCell ref="K5:Q5"/>
    <mergeCell ref="S5:Y5"/>
    <mergeCell ref="C45:Y45"/>
    <mergeCell ref="C46:Y46"/>
    <mergeCell ref="C33:Y33"/>
    <mergeCell ref="C34:Y34"/>
    <mergeCell ref="C35:Y35"/>
    <mergeCell ref="C36:Y36"/>
    <mergeCell ref="C37:Y37"/>
    <mergeCell ref="C38:Y38"/>
    <mergeCell ref="C39:Y39"/>
    <mergeCell ref="C40:Y40"/>
    <mergeCell ref="C41:Y41"/>
    <mergeCell ref="C42:Y42"/>
    <mergeCell ref="C43:Y43"/>
    <mergeCell ref="C44:Y44"/>
  </mergeCells>
  <pageMargins left="0.7" right="0.7" top="0.75" bottom="0.75" header="0" footer="0"/>
  <pageSetup paperSize="9" scale="41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X35"/>
  <sheetViews>
    <sheetView showGridLines="0" view="pageBreakPreview" topLeftCell="A4" zoomScale="60" zoomScaleNormal="100" workbookViewId="0">
      <selection activeCell="R13" sqref="R13:X14"/>
    </sheetView>
  </sheetViews>
  <sheetFormatPr defaultColWidth="14.42578125" defaultRowHeight="15" customHeight="1"/>
  <cols>
    <col min="2" max="2" width="5.28515625" customWidth="1"/>
    <col min="3" max="31" width="4.140625" customWidth="1"/>
    <col min="32" max="32" width="6" customWidth="1"/>
    <col min="33" max="34" width="4.140625" customWidth="1"/>
    <col min="35" max="35" width="7.140625" customWidth="1"/>
    <col min="36" max="45" width="4.140625" customWidth="1"/>
    <col min="46" max="46" width="5.42578125" customWidth="1"/>
    <col min="47" max="50" width="8.42578125" customWidth="1"/>
    <col min="51" max="51" width="3.42578125" customWidth="1"/>
  </cols>
  <sheetData>
    <row r="1" spans="2:50" ht="8.25" customHeight="1">
      <c r="B1" s="9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2"/>
      <c r="P1" s="42"/>
      <c r="Q1" s="42"/>
      <c r="R1" s="42"/>
      <c r="S1" s="42"/>
      <c r="T1" s="42"/>
      <c r="U1" s="90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2"/>
      <c r="AH1" s="42"/>
      <c r="AI1" s="42"/>
      <c r="AJ1" s="42"/>
      <c r="AK1" s="42"/>
      <c r="AL1" s="42"/>
      <c r="AM1" s="42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</row>
    <row r="2" spans="2:50" ht="18" customHeight="1">
      <c r="B2" s="90"/>
      <c r="C2" s="236" t="s">
        <v>158</v>
      </c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3"/>
    </row>
    <row r="3" spans="2:50" ht="18" customHeight="1">
      <c r="B3" s="90"/>
      <c r="C3" s="314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6"/>
    </row>
    <row r="4" spans="2:50" ht="24" customHeight="1">
      <c r="B4" s="101"/>
    </row>
    <row r="5" spans="2:50" ht="23.25" customHeight="1">
      <c r="B5" s="101"/>
      <c r="C5" s="237" t="s">
        <v>159</v>
      </c>
      <c r="D5" s="300"/>
      <c r="E5" s="300"/>
      <c r="F5" s="300"/>
      <c r="G5" s="300"/>
      <c r="H5" s="54"/>
      <c r="I5" s="54"/>
      <c r="J5" s="54"/>
      <c r="K5" s="54"/>
      <c r="L5" s="54"/>
      <c r="M5" s="54"/>
      <c r="N5" s="237" t="s">
        <v>160</v>
      </c>
      <c r="O5" s="300"/>
      <c r="P5" s="300"/>
      <c r="Q5" s="300"/>
      <c r="R5" s="300"/>
      <c r="S5" s="300"/>
      <c r="T5" s="300"/>
      <c r="V5" s="54"/>
      <c r="W5" s="54"/>
      <c r="X5" s="54"/>
      <c r="Y5" s="54"/>
      <c r="Z5" s="54"/>
      <c r="AA5" s="54"/>
      <c r="AB5" s="237" t="s">
        <v>161</v>
      </c>
      <c r="AC5" s="300"/>
      <c r="AD5" s="300"/>
      <c r="AE5" s="300"/>
      <c r="AF5" s="300"/>
      <c r="AG5" s="300"/>
      <c r="AH5" s="300"/>
      <c r="AI5" s="55"/>
      <c r="AJ5" s="55"/>
      <c r="AK5" s="55"/>
      <c r="AL5" s="55"/>
      <c r="AM5" s="55"/>
      <c r="AN5" s="56"/>
      <c r="AO5" s="55"/>
      <c r="AP5" s="55"/>
      <c r="AQ5" s="55"/>
      <c r="AR5" s="55"/>
      <c r="AS5" s="55"/>
      <c r="AT5" s="55"/>
      <c r="AU5" s="55"/>
      <c r="AV5" s="55"/>
      <c r="AW5" s="55"/>
      <c r="AX5" s="55"/>
    </row>
    <row r="6" spans="2:50">
      <c r="B6" s="101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</row>
    <row r="7" spans="2:50" ht="16.5" customHeight="1">
      <c r="B7" s="232"/>
      <c r="C7" s="238" t="s">
        <v>162</v>
      </c>
      <c r="D7" s="336"/>
      <c r="E7" s="336"/>
      <c r="F7" s="336"/>
      <c r="G7" s="336"/>
      <c r="H7" s="336"/>
      <c r="I7" s="337"/>
      <c r="J7" s="58"/>
      <c r="K7" s="58"/>
      <c r="L7" s="58"/>
      <c r="M7" s="58"/>
      <c r="N7" s="234"/>
      <c r="O7" s="338"/>
      <c r="P7" s="338"/>
      <c r="Q7" s="338"/>
      <c r="R7" s="338"/>
      <c r="S7" s="338"/>
      <c r="T7" s="339"/>
      <c r="U7" s="58"/>
      <c r="V7" s="58"/>
      <c r="W7" s="58"/>
      <c r="X7" s="58"/>
      <c r="Y7" s="58"/>
      <c r="Z7" s="58"/>
      <c r="AA7" s="58"/>
      <c r="AB7" s="238"/>
      <c r="AC7" s="336"/>
      <c r="AD7" s="336"/>
      <c r="AE7" s="336"/>
      <c r="AF7" s="336"/>
      <c r="AG7" s="336"/>
      <c r="AH7" s="337"/>
      <c r="AI7" s="58"/>
      <c r="AJ7" s="58"/>
      <c r="AK7" s="58"/>
      <c r="AL7" s="58"/>
      <c r="AM7" s="58"/>
      <c r="AN7" s="57"/>
      <c r="AO7" s="57"/>
      <c r="AP7" s="57"/>
      <c r="AQ7" s="57"/>
      <c r="AR7" s="57"/>
      <c r="AS7" s="57"/>
      <c r="AT7" s="57"/>
      <c r="AU7" s="57"/>
      <c r="AV7" s="59"/>
      <c r="AW7" s="57"/>
      <c r="AX7" s="57"/>
    </row>
    <row r="8" spans="2:50" ht="16.5" customHeight="1">
      <c r="B8" s="232"/>
      <c r="C8" s="340"/>
      <c r="D8" s="341"/>
      <c r="E8" s="341"/>
      <c r="F8" s="341"/>
      <c r="G8" s="341"/>
      <c r="H8" s="341"/>
      <c r="I8" s="342"/>
      <c r="J8" s="58"/>
      <c r="K8" s="58"/>
      <c r="L8" s="58"/>
      <c r="M8" s="58"/>
      <c r="N8" s="343"/>
      <c r="O8" s="344"/>
      <c r="P8" s="344"/>
      <c r="Q8" s="344"/>
      <c r="R8" s="344"/>
      <c r="S8" s="344"/>
      <c r="T8" s="345"/>
      <c r="U8" s="58"/>
      <c r="V8" s="58"/>
      <c r="W8" s="58"/>
      <c r="X8" s="58"/>
      <c r="Y8" s="58"/>
      <c r="Z8" s="58"/>
      <c r="AA8" s="58"/>
      <c r="AB8" s="340"/>
      <c r="AC8" s="341"/>
      <c r="AD8" s="341"/>
      <c r="AE8" s="341"/>
      <c r="AF8" s="341"/>
      <c r="AG8" s="341"/>
      <c r="AH8" s="342"/>
      <c r="AI8" s="58"/>
      <c r="AJ8" s="58"/>
      <c r="AK8" s="58"/>
      <c r="AL8" s="58"/>
      <c r="AM8" s="58"/>
      <c r="AN8" s="57"/>
      <c r="AO8" s="57"/>
      <c r="AP8" s="57"/>
      <c r="AQ8" s="57"/>
      <c r="AR8" s="57"/>
      <c r="AS8" s="57"/>
      <c r="AT8" s="57"/>
      <c r="AU8" s="57"/>
      <c r="AV8" s="59"/>
      <c r="AW8" s="57"/>
      <c r="AX8" s="57"/>
    </row>
    <row r="9" spans="2:50" ht="16.5" customHeight="1">
      <c r="B9" s="101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7"/>
      <c r="AO9" s="57"/>
      <c r="AP9" s="57"/>
      <c r="AQ9" s="57"/>
      <c r="AR9" s="57"/>
      <c r="AS9" s="57"/>
      <c r="AT9" s="57"/>
      <c r="AU9" s="57"/>
      <c r="AV9" s="59"/>
      <c r="AW9" s="57"/>
      <c r="AX9" s="57"/>
    </row>
    <row r="10" spans="2:50" ht="16.5" customHeight="1">
      <c r="B10" s="101"/>
      <c r="C10" s="58"/>
      <c r="D10" s="234" t="s">
        <v>163</v>
      </c>
      <c r="E10" s="338"/>
      <c r="F10" s="338"/>
      <c r="G10" s="338"/>
      <c r="H10" s="338"/>
      <c r="I10" s="338"/>
      <c r="J10" s="339"/>
      <c r="K10" s="58"/>
      <c r="L10" s="58"/>
      <c r="M10" s="58"/>
      <c r="N10" s="58"/>
      <c r="O10" s="58"/>
      <c r="P10" s="291" t="s">
        <v>164</v>
      </c>
      <c r="Q10" s="346"/>
      <c r="R10" s="346"/>
      <c r="S10" s="346"/>
      <c r="T10" s="346"/>
      <c r="U10" s="346"/>
      <c r="V10" s="347"/>
      <c r="W10" s="58"/>
      <c r="X10" s="58"/>
      <c r="Y10" s="58"/>
      <c r="Z10" s="58"/>
      <c r="AA10" s="58"/>
      <c r="AB10" s="58"/>
      <c r="AC10" s="247"/>
      <c r="AD10" s="239"/>
      <c r="AE10" s="348"/>
      <c r="AF10" s="348"/>
      <c r="AG10" s="348"/>
      <c r="AH10" s="348"/>
      <c r="AI10" s="348"/>
      <c r="AJ10" s="349"/>
      <c r="AK10" s="58"/>
      <c r="AL10" s="58"/>
      <c r="AM10" s="58"/>
      <c r="AO10" s="57"/>
      <c r="AP10" s="57"/>
      <c r="AQ10" s="57"/>
      <c r="AR10" s="57"/>
      <c r="AS10" s="57"/>
      <c r="AT10" s="57"/>
      <c r="AU10" s="57"/>
      <c r="AV10" s="59"/>
      <c r="AW10" s="57"/>
      <c r="AX10" s="57"/>
    </row>
    <row r="11" spans="2:50" ht="16.5" customHeight="1">
      <c r="B11" s="101"/>
      <c r="C11" s="58"/>
      <c r="D11" s="343"/>
      <c r="E11" s="344"/>
      <c r="F11" s="344"/>
      <c r="G11" s="344"/>
      <c r="H11" s="344"/>
      <c r="I11" s="344"/>
      <c r="J11" s="345"/>
      <c r="K11" s="58"/>
      <c r="L11" s="58"/>
      <c r="M11" s="58"/>
      <c r="N11" s="58"/>
      <c r="O11" s="58"/>
      <c r="P11" s="350"/>
      <c r="Q11" s="351"/>
      <c r="R11" s="351"/>
      <c r="S11" s="351"/>
      <c r="T11" s="351"/>
      <c r="U11" s="351"/>
      <c r="V11" s="352"/>
      <c r="W11" s="58"/>
      <c r="X11" s="58"/>
      <c r="Y11" s="58"/>
      <c r="Z11" s="58"/>
      <c r="AA11" s="58"/>
      <c r="AB11" s="58"/>
      <c r="AC11" s="247"/>
      <c r="AD11" s="353"/>
      <c r="AE11" s="354"/>
      <c r="AF11" s="354"/>
      <c r="AG11" s="354"/>
      <c r="AH11" s="354"/>
      <c r="AI11" s="354"/>
      <c r="AJ11" s="355"/>
      <c r="AK11" s="58"/>
      <c r="AL11" s="58"/>
      <c r="AM11" s="58"/>
      <c r="AO11" s="57"/>
      <c r="AP11" s="57"/>
      <c r="AQ11" s="57"/>
      <c r="AR11" s="57"/>
      <c r="AS11" s="57"/>
      <c r="AT11" s="57"/>
      <c r="AU11" s="240" t="s">
        <v>165</v>
      </c>
      <c r="AV11" s="317"/>
      <c r="AW11" s="317"/>
      <c r="AX11" s="317"/>
    </row>
    <row r="12" spans="2:50" ht="16.5" customHeight="1">
      <c r="B12" s="101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7"/>
      <c r="AO12" s="57"/>
      <c r="AP12" s="57"/>
      <c r="AQ12" s="57"/>
      <c r="AR12" s="57"/>
      <c r="AS12" s="57"/>
      <c r="AT12" s="57"/>
      <c r="AU12" s="317"/>
      <c r="AV12" s="317"/>
      <c r="AW12" s="317"/>
      <c r="AX12" s="317"/>
    </row>
    <row r="13" spans="2:50" ht="16.5" customHeight="1">
      <c r="B13" s="101"/>
      <c r="C13" s="58"/>
      <c r="D13" s="58"/>
      <c r="E13" s="234"/>
      <c r="F13" s="242"/>
      <c r="G13" s="242"/>
      <c r="H13" s="242"/>
      <c r="I13" s="242"/>
      <c r="J13" s="242"/>
      <c r="K13" s="243"/>
      <c r="L13" s="58"/>
      <c r="M13" s="58"/>
      <c r="N13" s="58"/>
      <c r="O13" s="58"/>
      <c r="P13" s="58"/>
      <c r="Q13" s="248"/>
      <c r="R13" s="238" t="s">
        <v>166</v>
      </c>
      <c r="S13" s="336"/>
      <c r="T13" s="336"/>
      <c r="U13" s="336"/>
      <c r="V13" s="336"/>
      <c r="W13" s="336"/>
      <c r="X13" s="337"/>
      <c r="Y13" s="58"/>
      <c r="Z13" s="58"/>
      <c r="AA13" s="58"/>
      <c r="AB13" s="58"/>
      <c r="AC13" s="58"/>
      <c r="AD13" s="58"/>
      <c r="AE13" s="58"/>
      <c r="AF13" s="235"/>
      <c r="AG13" s="356"/>
      <c r="AH13" s="356"/>
      <c r="AI13" s="356"/>
      <c r="AJ13" s="356"/>
      <c r="AK13" s="356"/>
      <c r="AL13" s="357"/>
      <c r="AM13" s="58"/>
      <c r="AP13" s="57"/>
      <c r="AQ13" s="57"/>
      <c r="AR13" s="57"/>
      <c r="AS13" s="57"/>
      <c r="AT13" s="57"/>
      <c r="AU13" s="57"/>
      <c r="AV13" s="57"/>
      <c r="AW13" s="57"/>
      <c r="AX13" s="57"/>
    </row>
    <row r="14" spans="2:50" ht="16.5" customHeight="1">
      <c r="B14" s="101"/>
      <c r="C14" s="58"/>
      <c r="D14" s="58"/>
      <c r="E14" s="244"/>
      <c r="F14" s="245"/>
      <c r="G14" s="245"/>
      <c r="H14" s="245"/>
      <c r="I14" s="245"/>
      <c r="J14" s="245"/>
      <c r="K14" s="246"/>
      <c r="L14" s="58"/>
      <c r="M14" s="58"/>
      <c r="N14" s="58"/>
      <c r="O14" s="58"/>
      <c r="P14" s="60"/>
      <c r="Q14" s="248"/>
      <c r="R14" s="340"/>
      <c r="S14" s="341"/>
      <c r="T14" s="341"/>
      <c r="U14" s="341"/>
      <c r="V14" s="341"/>
      <c r="W14" s="341"/>
      <c r="X14" s="342"/>
      <c r="Y14" s="58"/>
      <c r="Z14" s="58"/>
      <c r="AA14" s="58"/>
      <c r="AB14" s="58"/>
      <c r="AC14" s="60"/>
      <c r="AD14" s="58"/>
      <c r="AE14" s="58"/>
      <c r="AF14" s="358"/>
      <c r="AG14" s="359"/>
      <c r="AH14" s="359"/>
      <c r="AI14" s="359"/>
      <c r="AJ14" s="359"/>
      <c r="AK14" s="359"/>
      <c r="AL14" s="360"/>
      <c r="AM14" s="58"/>
      <c r="AP14" s="57"/>
      <c r="AQ14" s="57"/>
      <c r="AR14" s="57"/>
      <c r="AS14" s="57"/>
      <c r="AT14" s="57"/>
      <c r="AU14" s="241" t="s">
        <v>2</v>
      </c>
      <c r="AV14" s="361"/>
      <c r="AW14" s="361"/>
      <c r="AX14" s="362"/>
    </row>
    <row r="15" spans="2:50" ht="16.5" customHeight="1">
      <c r="B15" s="101"/>
      <c r="C15" s="58"/>
      <c r="D15" s="58"/>
      <c r="E15" s="60"/>
      <c r="F15" s="60"/>
      <c r="G15" s="60"/>
      <c r="H15" s="60"/>
      <c r="I15" s="60"/>
      <c r="J15" s="60"/>
      <c r="K15" s="60"/>
      <c r="L15" s="58"/>
      <c r="M15" s="58"/>
      <c r="N15" s="58"/>
      <c r="O15" s="58"/>
      <c r="P15" s="60"/>
      <c r="Q15" s="58"/>
      <c r="R15" s="60"/>
      <c r="S15" s="60"/>
      <c r="T15" s="60"/>
      <c r="U15" s="60"/>
      <c r="V15" s="60"/>
      <c r="W15" s="60"/>
      <c r="X15" s="60"/>
      <c r="Y15" s="58"/>
      <c r="Z15" s="58"/>
      <c r="AA15" s="58"/>
      <c r="AB15" s="58"/>
      <c r="AC15" s="60"/>
      <c r="AD15" s="58"/>
      <c r="AE15" s="58"/>
      <c r="AF15" s="60"/>
      <c r="AG15" s="60"/>
      <c r="AH15" s="60"/>
      <c r="AI15" s="60"/>
      <c r="AJ15" s="60"/>
      <c r="AK15" s="60"/>
      <c r="AL15" s="60"/>
      <c r="AM15" s="58"/>
      <c r="AP15" s="57"/>
      <c r="AQ15" s="57"/>
      <c r="AR15" s="57"/>
      <c r="AS15" s="57"/>
      <c r="AT15" s="57"/>
      <c r="AU15" s="363"/>
      <c r="AV15" s="364"/>
      <c r="AW15" s="364"/>
      <c r="AX15" s="365"/>
    </row>
    <row r="16" spans="2:50" ht="16.5" customHeight="1">
      <c r="B16" s="101"/>
      <c r="C16" s="58"/>
      <c r="D16" s="58"/>
      <c r="E16" s="60"/>
      <c r="F16" s="233" t="s">
        <v>167</v>
      </c>
      <c r="G16" s="338"/>
      <c r="H16" s="338"/>
      <c r="I16" s="338"/>
      <c r="J16" s="338"/>
      <c r="K16" s="338"/>
      <c r="L16" s="339"/>
      <c r="M16" s="58"/>
      <c r="N16" s="58"/>
      <c r="O16" s="58"/>
      <c r="P16" s="60"/>
      <c r="Q16" s="58"/>
      <c r="R16" s="232"/>
      <c r="S16" s="234" t="s">
        <v>168</v>
      </c>
      <c r="T16" s="338"/>
      <c r="U16" s="338"/>
      <c r="V16" s="338"/>
      <c r="W16" s="338"/>
      <c r="X16" s="338"/>
      <c r="Y16" s="339"/>
      <c r="Z16" s="60"/>
      <c r="AA16" s="58"/>
      <c r="AB16" s="58"/>
      <c r="AC16" s="60"/>
      <c r="AD16" s="58"/>
      <c r="AE16" s="58"/>
      <c r="AF16" s="60"/>
      <c r="AG16" s="233"/>
      <c r="AH16" s="338"/>
      <c r="AI16" s="338"/>
      <c r="AJ16" s="338"/>
      <c r="AK16" s="338"/>
      <c r="AL16" s="338"/>
      <c r="AM16" s="339"/>
      <c r="AP16" s="57"/>
      <c r="AQ16" s="57"/>
      <c r="AR16" s="57"/>
      <c r="AS16" s="57"/>
      <c r="AT16" s="57"/>
      <c r="AU16" s="363"/>
      <c r="AV16" s="364"/>
      <c r="AW16" s="364"/>
      <c r="AX16" s="365"/>
    </row>
    <row r="17" spans="2:50" ht="16.5" customHeight="1">
      <c r="B17" s="101"/>
      <c r="C17" s="60"/>
      <c r="D17" s="58"/>
      <c r="E17" s="58"/>
      <c r="F17" s="343"/>
      <c r="G17" s="344"/>
      <c r="H17" s="344"/>
      <c r="I17" s="344"/>
      <c r="J17" s="344"/>
      <c r="K17" s="344"/>
      <c r="L17" s="345"/>
      <c r="M17" s="58"/>
      <c r="N17" s="58"/>
      <c r="O17" s="58"/>
      <c r="P17" s="58"/>
      <c r="Q17" s="58"/>
      <c r="R17" s="232"/>
      <c r="S17" s="343"/>
      <c r="T17" s="344"/>
      <c r="U17" s="344"/>
      <c r="V17" s="344"/>
      <c r="W17" s="344"/>
      <c r="X17" s="344"/>
      <c r="Y17" s="345"/>
      <c r="Z17" s="60"/>
      <c r="AA17" s="60"/>
      <c r="AB17" s="60"/>
      <c r="AC17" s="60"/>
      <c r="AD17" s="58"/>
      <c r="AE17" s="58"/>
      <c r="AF17" s="58"/>
      <c r="AG17" s="343"/>
      <c r="AH17" s="344"/>
      <c r="AI17" s="344"/>
      <c r="AJ17" s="344"/>
      <c r="AK17" s="344"/>
      <c r="AL17" s="344"/>
      <c r="AM17" s="345"/>
      <c r="AO17" s="57"/>
      <c r="AP17" s="57"/>
      <c r="AQ17" s="57"/>
      <c r="AR17" s="57"/>
      <c r="AS17" s="57"/>
      <c r="AT17" s="57"/>
      <c r="AU17" s="363"/>
      <c r="AV17" s="364"/>
      <c r="AW17" s="364"/>
      <c r="AX17" s="365"/>
    </row>
    <row r="18" spans="2:50" ht="16.5" customHeight="1">
      <c r="B18" s="101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7"/>
      <c r="AO18" s="57"/>
      <c r="AP18" s="57"/>
      <c r="AQ18" s="57"/>
      <c r="AR18" s="57"/>
      <c r="AS18" s="57"/>
      <c r="AT18" s="57"/>
      <c r="AU18" s="363"/>
      <c r="AV18" s="364"/>
      <c r="AW18" s="364"/>
      <c r="AX18" s="365"/>
    </row>
    <row r="19" spans="2:50" ht="16.5" customHeight="1">
      <c r="B19" s="101"/>
      <c r="C19" s="58"/>
      <c r="D19" s="58"/>
      <c r="E19" s="58"/>
      <c r="F19" s="58"/>
      <c r="G19" s="58"/>
      <c r="H19" s="58"/>
      <c r="I19" s="61"/>
      <c r="J19" s="58"/>
      <c r="K19" s="58"/>
      <c r="L19" s="58"/>
      <c r="M19" s="58"/>
      <c r="N19" s="58"/>
      <c r="O19" s="61"/>
      <c r="P19" s="58"/>
      <c r="Q19" s="58"/>
      <c r="R19" s="58"/>
      <c r="S19" s="61"/>
      <c r="T19" s="58"/>
      <c r="U19" s="58"/>
      <c r="V19" s="58"/>
      <c r="W19" s="58"/>
      <c r="X19" s="61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61"/>
      <c r="AJ19" s="58"/>
      <c r="AK19" s="58"/>
      <c r="AL19" s="58"/>
      <c r="AM19" s="58"/>
      <c r="AN19" s="57"/>
      <c r="AO19" s="62"/>
      <c r="AP19" s="57"/>
      <c r="AQ19" s="57"/>
      <c r="AR19" s="57"/>
      <c r="AS19" s="62"/>
      <c r="AT19" s="57"/>
      <c r="AU19" s="363"/>
      <c r="AV19" s="364"/>
      <c r="AW19" s="364"/>
      <c r="AX19" s="365"/>
    </row>
    <row r="20" spans="2:50" ht="16.5" customHeight="1">
      <c r="B20" s="101"/>
      <c r="C20" s="63"/>
      <c r="D20" s="58"/>
      <c r="E20" s="58"/>
      <c r="F20" s="58"/>
      <c r="G20" s="235"/>
      <c r="H20" s="356"/>
      <c r="I20" s="356"/>
      <c r="J20" s="356"/>
      <c r="K20" s="356"/>
      <c r="L20" s="356"/>
      <c r="M20" s="357"/>
      <c r="N20" s="58"/>
      <c r="O20" s="58"/>
      <c r="P20" s="58"/>
      <c r="Q20" s="58"/>
      <c r="R20" s="58"/>
      <c r="S20" s="58"/>
      <c r="T20" s="233" t="s">
        <v>169</v>
      </c>
      <c r="U20" s="338"/>
      <c r="V20" s="338"/>
      <c r="W20" s="338"/>
      <c r="X20" s="338"/>
      <c r="Y20" s="338"/>
      <c r="Z20" s="339"/>
      <c r="AA20" s="58"/>
      <c r="AB20" s="58"/>
      <c r="AC20" s="58"/>
      <c r="AD20" s="58"/>
      <c r="AE20" s="58"/>
      <c r="AF20" s="58"/>
      <c r="AG20" s="233"/>
      <c r="AH20" s="338"/>
      <c r="AI20" s="338"/>
      <c r="AJ20" s="338"/>
      <c r="AK20" s="338"/>
      <c r="AL20" s="338"/>
      <c r="AM20" s="339"/>
      <c r="AN20" s="57"/>
      <c r="AO20" s="57"/>
      <c r="AP20" s="57"/>
      <c r="AQ20" s="57"/>
      <c r="AR20" s="57"/>
      <c r="AS20" s="57"/>
      <c r="AT20" s="57"/>
      <c r="AU20" s="363"/>
      <c r="AV20" s="364"/>
      <c r="AW20" s="364"/>
      <c r="AX20" s="365"/>
    </row>
    <row r="21" spans="2:50" ht="16.5" customHeight="1">
      <c r="B21" s="101"/>
      <c r="C21" s="63"/>
      <c r="D21" s="58"/>
      <c r="E21" s="58"/>
      <c r="F21" s="58"/>
      <c r="G21" s="358"/>
      <c r="H21" s="359"/>
      <c r="I21" s="359"/>
      <c r="J21" s="359"/>
      <c r="K21" s="359"/>
      <c r="L21" s="359"/>
      <c r="M21" s="360"/>
      <c r="N21" s="58"/>
      <c r="O21" s="58"/>
      <c r="P21" s="58"/>
      <c r="Q21" s="58"/>
      <c r="R21" s="58"/>
      <c r="S21" s="58"/>
      <c r="T21" s="343"/>
      <c r="U21" s="344"/>
      <c r="V21" s="344"/>
      <c r="W21" s="344"/>
      <c r="X21" s="344"/>
      <c r="Y21" s="344"/>
      <c r="Z21" s="345"/>
      <c r="AA21" s="60"/>
      <c r="AB21" s="60"/>
      <c r="AC21" s="58"/>
      <c r="AD21" s="58"/>
      <c r="AE21" s="58"/>
      <c r="AF21" s="58"/>
      <c r="AG21" s="343"/>
      <c r="AH21" s="344"/>
      <c r="AI21" s="344"/>
      <c r="AJ21" s="344"/>
      <c r="AK21" s="344"/>
      <c r="AL21" s="344"/>
      <c r="AM21" s="345"/>
      <c r="AN21" s="64"/>
      <c r="AO21" s="64"/>
      <c r="AP21" s="57"/>
      <c r="AQ21" s="57"/>
      <c r="AR21" s="57"/>
      <c r="AS21" s="57"/>
      <c r="AT21" s="57"/>
      <c r="AU21" s="366"/>
      <c r="AV21" s="367"/>
      <c r="AW21" s="367"/>
      <c r="AX21" s="368"/>
    </row>
    <row r="22" spans="2:50" ht="16.5" customHeight="1">
      <c r="B22" s="101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60"/>
      <c r="W22" s="60"/>
      <c r="X22" s="60"/>
      <c r="Y22" s="60"/>
      <c r="Z22" s="60"/>
      <c r="AA22" s="60"/>
      <c r="AB22" s="60"/>
      <c r="AC22" s="58"/>
      <c r="AD22" s="58"/>
      <c r="AE22" s="58"/>
      <c r="AF22" s="58"/>
      <c r="AG22" s="58"/>
      <c r="AH22" s="58"/>
      <c r="AI22" s="60"/>
      <c r="AJ22" s="60"/>
      <c r="AK22" s="60"/>
      <c r="AL22" s="60"/>
      <c r="AM22" s="60"/>
      <c r="AN22" s="64"/>
      <c r="AO22" s="64"/>
      <c r="AP22" s="57"/>
      <c r="AQ22" s="57"/>
      <c r="AR22" s="57"/>
      <c r="AS22" s="57"/>
      <c r="AT22" s="57"/>
      <c r="AU22" s="57"/>
      <c r="AV22" s="57"/>
      <c r="AW22" s="57"/>
      <c r="AX22" s="57"/>
    </row>
    <row r="23" spans="2:50" ht="16.5" customHeight="1">
      <c r="B23" s="101"/>
      <c r="C23" s="58"/>
      <c r="D23" s="58"/>
      <c r="E23" s="58"/>
      <c r="F23" s="233"/>
      <c r="G23" s="338"/>
      <c r="H23" s="338"/>
      <c r="I23" s="338"/>
      <c r="J23" s="338"/>
      <c r="K23" s="338"/>
      <c r="L23" s="339"/>
      <c r="M23" s="60"/>
      <c r="N23" s="60"/>
      <c r="O23" s="60"/>
      <c r="P23" s="60"/>
      <c r="Q23" s="60"/>
      <c r="R23" s="60"/>
      <c r="S23" s="233" t="s">
        <v>170</v>
      </c>
      <c r="T23" s="338"/>
      <c r="U23" s="338"/>
      <c r="V23" s="338"/>
      <c r="W23" s="338"/>
      <c r="X23" s="338"/>
      <c r="Y23" s="339"/>
      <c r="Z23" s="58"/>
      <c r="AA23" s="58"/>
      <c r="AB23" s="58"/>
      <c r="AC23" s="58"/>
      <c r="AD23" s="58"/>
      <c r="AE23" s="58"/>
      <c r="AF23" s="233"/>
      <c r="AG23" s="338"/>
      <c r="AH23" s="338"/>
      <c r="AI23" s="338"/>
      <c r="AJ23" s="338"/>
      <c r="AK23" s="338"/>
      <c r="AL23" s="339"/>
      <c r="AM23" s="58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</row>
    <row r="24" spans="2:50" ht="16.5" customHeight="1">
      <c r="B24" s="101"/>
      <c r="C24" s="58"/>
      <c r="D24" s="58"/>
      <c r="E24" s="58"/>
      <c r="F24" s="343"/>
      <c r="G24" s="344"/>
      <c r="H24" s="344"/>
      <c r="I24" s="344"/>
      <c r="J24" s="344"/>
      <c r="K24" s="344"/>
      <c r="L24" s="345"/>
      <c r="M24" s="60"/>
      <c r="N24" s="60"/>
      <c r="O24" s="60"/>
      <c r="P24" s="60"/>
      <c r="Q24" s="60"/>
      <c r="R24" s="60"/>
      <c r="S24" s="343"/>
      <c r="T24" s="344"/>
      <c r="U24" s="344"/>
      <c r="V24" s="344"/>
      <c r="W24" s="344"/>
      <c r="X24" s="344"/>
      <c r="Y24" s="345"/>
      <c r="Z24" s="60"/>
      <c r="AA24" s="60"/>
      <c r="AB24" s="58"/>
      <c r="AC24" s="58"/>
      <c r="AD24" s="58"/>
      <c r="AE24" s="58"/>
      <c r="AF24" s="343"/>
      <c r="AG24" s="344"/>
      <c r="AH24" s="344"/>
      <c r="AI24" s="344"/>
      <c r="AJ24" s="344"/>
      <c r="AK24" s="344"/>
      <c r="AL24" s="345"/>
      <c r="AM24" s="60"/>
      <c r="AN24" s="64"/>
      <c r="AO24" s="57"/>
      <c r="AP24" s="57"/>
      <c r="AQ24" s="57"/>
      <c r="AR24" s="57"/>
      <c r="AS24" s="57"/>
      <c r="AT24" s="57"/>
      <c r="AU24" s="57"/>
      <c r="AV24" s="57"/>
      <c r="AW24" s="57"/>
      <c r="AX24" s="57"/>
    </row>
    <row r="25" spans="2:50" ht="16.5" customHeight="1">
      <c r="B25" s="101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0"/>
      <c r="V25" s="60"/>
      <c r="W25" s="60"/>
      <c r="X25" s="60"/>
      <c r="Y25" s="60"/>
      <c r="Z25" s="60"/>
      <c r="AA25" s="60"/>
      <c r="AB25" s="58"/>
      <c r="AC25" s="58"/>
      <c r="AD25" s="58"/>
      <c r="AE25" s="58"/>
      <c r="AF25" s="58"/>
      <c r="AG25" s="58"/>
      <c r="AH25" s="60"/>
      <c r="AI25" s="60"/>
      <c r="AJ25" s="60"/>
      <c r="AK25" s="60"/>
      <c r="AL25" s="60"/>
      <c r="AM25" s="60"/>
      <c r="AN25" s="64"/>
      <c r="AO25" s="57"/>
      <c r="AP25" s="57"/>
      <c r="AQ25" s="57"/>
      <c r="AR25" s="57"/>
      <c r="AS25" s="57"/>
      <c r="AT25" s="57"/>
      <c r="AU25" s="57"/>
      <c r="AV25" s="57"/>
      <c r="AW25" s="57"/>
      <c r="AX25" s="57"/>
    </row>
    <row r="26" spans="2:50" ht="16.5" customHeight="1">
      <c r="B26" s="101"/>
      <c r="C26" s="58"/>
      <c r="D26" s="58"/>
      <c r="E26" s="233"/>
      <c r="F26" s="338"/>
      <c r="G26" s="338"/>
      <c r="H26" s="338"/>
      <c r="I26" s="338"/>
      <c r="J26" s="338"/>
      <c r="K26" s="339"/>
      <c r="L26" s="58"/>
      <c r="M26" s="58"/>
      <c r="N26" s="58"/>
      <c r="O26" s="58"/>
      <c r="P26" s="58"/>
      <c r="Q26" s="58"/>
      <c r="R26" s="233"/>
      <c r="S26" s="338"/>
      <c r="T26" s="338"/>
      <c r="U26" s="338"/>
      <c r="V26" s="338"/>
      <c r="W26" s="338"/>
      <c r="X26" s="339"/>
      <c r="Y26" s="58"/>
      <c r="Z26" s="58"/>
      <c r="AA26" s="58"/>
      <c r="AB26" s="58"/>
      <c r="AC26" s="58"/>
      <c r="AD26" s="58"/>
      <c r="AE26" s="233"/>
      <c r="AF26" s="338"/>
      <c r="AG26" s="338"/>
      <c r="AH26" s="338"/>
      <c r="AI26" s="338"/>
      <c r="AJ26" s="338"/>
      <c r="AK26" s="339"/>
      <c r="AL26" s="58"/>
      <c r="AM26" s="58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</row>
    <row r="27" spans="2:50" ht="16.5" customHeight="1">
      <c r="B27" s="101"/>
      <c r="C27" s="58"/>
      <c r="D27" s="58"/>
      <c r="E27" s="343"/>
      <c r="F27" s="344"/>
      <c r="G27" s="344"/>
      <c r="H27" s="344"/>
      <c r="I27" s="344"/>
      <c r="J27" s="344"/>
      <c r="K27" s="345"/>
      <c r="L27" s="58"/>
      <c r="M27" s="58"/>
      <c r="N27" s="58"/>
      <c r="O27" s="58"/>
      <c r="P27" s="58"/>
      <c r="Q27" s="58"/>
      <c r="R27" s="343"/>
      <c r="S27" s="344"/>
      <c r="T27" s="344"/>
      <c r="U27" s="344"/>
      <c r="V27" s="344"/>
      <c r="W27" s="344"/>
      <c r="X27" s="345"/>
      <c r="Y27" s="60"/>
      <c r="Z27" s="60"/>
      <c r="AA27" s="58"/>
      <c r="AB27" s="58"/>
      <c r="AC27" s="58"/>
      <c r="AD27" s="58"/>
      <c r="AE27" s="343"/>
      <c r="AF27" s="344"/>
      <c r="AG27" s="344"/>
      <c r="AH27" s="344"/>
      <c r="AI27" s="344"/>
      <c r="AJ27" s="344"/>
      <c r="AK27" s="345"/>
      <c r="AL27" s="60"/>
      <c r="AM27" s="60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</row>
    <row r="28" spans="2:50" ht="16.5" customHeight="1">
      <c r="B28" s="101"/>
      <c r="C28" s="58"/>
      <c r="D28" s="58"/>
      <c r="E28" s="60"/>
      <c r="F28" s="60"/>
      <c r="G28" s="60"/>
      <c r="H28" s="60"/>
      <c r="I28" s="60"/>
      <c r="J28" s="60"/>
      <c r="K28" s="60"/>
      <c r="L28" s="58"/>
      <c r="M28" s="58"/>
      <c r="N28" s="58"/>
      <c r="O28" s="58"/>
      <c r="P28" s="58"/>
      <c r="Q28" s="58"/>
      <c r="R28" s="58"/>
      <c r="S28" s="58"/>
      <c r="T28" s="60"/>
      <c r="U28" s="60"/>
      <c r="V28" s="60"/>
      <c r="W28" s="60"/>
      <c r="X28" s="60"/>
      <c r="Y28" s="60"/>
      <c r="Z28" s="60"/>
      <c r="AA28" s="58"/>
      <c r="AB28" s="58"/>
      <c r="AC28" s="58"/>
      <c r="AD28" s="58"/>
      <c r="AE28" s="58"/>
      <c r="AF28" s="58"/>
      <c r="AG28" s="60"/>
      <c r="AH28" s="60"/>
      <c r="AI28" s="60"/>
      <c r="AJ28" s="60"/>
      <c r="AK28" s="60"/>
      <c r="AL28" s="60"/>
      <c r="AM28" s="60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</row>
    <row r="29" spans="2:50" ht="16.5" customHeight="1">
      <c r="B29" s="101"/>
      <c r="C29" s="58"/>
      <c r="D29" s="233"/>
      <c r="E29" s="338"/>
      <c r="F29" s="338"/>
      <c r="G29" s="338"/>
      <c r="H29" s="338"/>
      <c r="I29" s="338"/>
      <c r="J29" s="339"/>
      <c r="K29" s="60"/>
      <c r="L29" s="58"/>
      <c r="M29" s="58"/>
      <c r="N29" s="58"/>
      <c r="O29" s="58"/>
      <c r="P29" s="58"/>
      <c r="Q29" s="238"/>
      <c r="R29" s="336"/>
      <c r="S29" s="336"/>
      <c r="T29" s="336"/>
      <c r="U29" s="336"/>
      <c r="V29" s="336"/>
      <c r="W29" s="337"/>
      <c r="X29" s="60"/>
      <c r="Y29" s="60"/>
      <c r="Z29" s="60"/>
      <c r="AA29" s="58"/>
      <c r="AB29" s="58"/>
      <c r="AC29" s="58"/>
      <c r="AD29" s="238"/>
      <c r="AE29" s="336"/>
      <c r="AF29" s="336"/>
      <c r="AG29" s="336"/>
      <c r="AH29" s="336"/>
      <c r="AI29" s="336"/>
      <c r="AJ29" s="337"/>
      <c r="AK29" s="60"/>
      <c r="AL29" s="60"/>
      <c r="AM29" s="60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</row>
    <row r="30" spans="2:50" ht="16.5" customHeight="1">
      <c r="B30" s="101"/>
      <c r="C30" s="58"/>
      <c r="D30" s="343"/>
      <c r="E30" s="344"/>
      <c r="F30" s="344"/>
      <c r="G30" s="344"/>
      <c r="H30" s="344"/>
      <c r="I30" s="344"/>
      <c r="J30" s="345"/>
      <c r="K30" s="58"/>
      <c r="L30" s="58"/>
      <c r="M30" s="58"/>
      <c r="N30" s="58"/>
      <c r="O30" s="58"/>
      <c r="P30" s="58"/>
      <c r="Q30" s="340"/>
      <c r="R30" s="341"/>
      <c r="S30" s="341"/>
      <c r="T30" s="341"/>
      <c r="U30" s="341"/>
      <c r="V30" s="341"/>
      <c r="W30" s="342"/>
      <c r="X30" s="60"/>
      <c r="Y30" s="60"/>
      <c r="Z30" s="60"/>
      <c r="AA30" s="58"/>
      <c r="AB30" s="58"/>
      <c r="AC30" s="58"/>
      <c r="AD30" s="340"/>
      <c r="AE30" s="341"/>
      <c r="AF30" s="341"/>
      <c r="AG30" s="341"/>
      <c r="AH30" s="341"/>
      <c r="AI30" s="341"/>
      <c r="AJ30" s="342"/>
      <c r="AK30" s="60"/>
      <c r="AL30" s="60"/>
      <c r="AM30" s="60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</row>
    <row r="31" spans="2:50" ht="16.5" customHeight="1">
      <c r="B31" s="101"/>
      <c r="C31" s="58"/>
      <c r="D31" s="58"/>
      <c r="E31" s="58"/>
      <c r="F31" s="58"/>
      <c r="G31" s="63"/>
      <c r="H31" s="63"/>
      <c r="I31" s="63"/>
      <c r="J31" s="63"/>
      <c r="K31" s="63"/>
      <c r="L31" s="63"/>
      <c r="M31" s="63"/>
      <c r="N31" s="58"/>
      <c r="O31" s="58"/>
      <c r="P31" s="58"/>
      <c r="Q31" s="58"/>
      <c r="R31" s="58"/>
      <c r="S31" s="58"/>
      <c r="T31" s="60"/>
      <c r="U31" s="60"/>
      <c r="V31" s="60"/>
      <c r="W31" s="60"/>
      <c r="X31" s="60"/>
      <c r="Y31" s="60"/>
      <c r="Z31" s="60"/>
      <c r="AA31" s="58"/>
      <c r="AB31" s="58"/>
      <c r="AC31" s="58"/>
      <c r="AD31" s="58"/>
      <c r="AE31" s="58"/>
      <c r="AF31" s="58"/>
      <c r="AG31" s="60"/>
      <c r="AH31" s="60"/>
      <c r="AI31" s="60"/>
      <c r="AJ31" s="60"/>
      <c r="AK31" s="60"/>
      <c r="AL31" s="60"/>
      <c r="AM31" s="60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</row>
    <row r="32" spans="2:50" ht="15.75" customHeight="1">
      <c r="B32" s="101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</row>
    <row r="33" spans="2:50" ht="23.25" customHeight="1">
      <c r="B33" s="101"/>
      <c r="C33" s="237" t="s">
        <v>171</v>
      </c>
      <c r="D33" s="300"/>
      <c r="E33" s="300"/>
      <c r="F33" s="300"/>
      <c r="G33" s="300"/>
      <c r="H33" s="300"/>
      <c r="I33" s="65"/>
      <c r="J33" s="65"/>
      <c r="K33" s="65"/>
      <c r="L33" s="65"/>
      <c r="M33" s="65"/>
      <c r="N33" s="65"/>
      <c r="O33" s="237" t="s">
        <v>172</v>
      </c>
      <c r="P33" s="300"/>
      <c r="Q33" s="300"/>
      <c r="R33" s="300"/>
      <c r="S33" s="300"/>
      <c r="T33" s="300"/>
      <c r="U33" s="300"/>
      <c r="V33" s="300"/>
      <c r="W33" s="65"/>
      <c r="X33" s="65"/>
      <c r="Y33" s="65"/>
      <c r="Z33" s="65"/>
      <c r="AA33" s="65"/>
      <c r="AB33" s="65"/>
      <c r="AC33" s="237" t="s">
        <v>173</v>
      </c>
      <c r="AD33" s="300"/>
      <c r="AE33" s="300"/>
      <c r="AF33" s="300"/>
      <c r="AG33" s="300"/>
      <c r="AH33" s="300"/>
      <c r="AI33" s="55"/>
      <c r="AJ33" s="55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</row>
    <row r="34" spans="2:50" ht="15.75" customHeight="1">
      <c r="B34" s="101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</row>
    <row r="35" spans="2:50" ht="15.75" customHeight="1">
      <c r="B35" s="90"/>
    </row>
  </sheetData>
  <mergeCells count="37">
    <mergeCell ref="AC33:AH33"/>
    <mergeCell ref="G20:M21"/>
    <mergeCell ref="T20:Z21"/>
    <mergeCell ref="S23:Y24"/>
    <mergeCell ref="R26:X27"/>
    <mergeCell ref="AF23:AL24"/>
    <mergeCell ref="AE26:AK27"/>
    <mergeCell ref="AD29:AJ30"/>
    <mergeCell ref="Q29:W30"/>
    <mergeCell ref="O33:V33"/>
    <mergeCell ref="D29:J30"/>
    <mergeCell ref="C33:H33"/>
    <mergeCell ref="AD10:AJ11"/>
    <mergeCell ref="AU11:AX12"/>
    <mergeCell ref="R13:X14"/>
    <mergeCell ref="AU14:AX21"/>
    <mergeCell ref="E13:K14"/>
    <mergeCell ref="AG20:AM21"/>
    <mergeCell ref="AC10:AC11"/>
    <mergeCell ref="Q13:Q14"/>
    <mergeCell ref="R16:R17"/>
    <mergeCell ref="AF13:AL14"/>
    <mergeCell ref="AG16:AM17"/>
    <mergeCell ref="S16:Y17"/>
    <mergeCell ref="F16:L17"/>
    <mergeCell ref="C2:AX3"/>
    <mergeCell ref="C5:G5"/>
    <mergeCell ref="N5:T5"/>
    <mergeCell ref="AB5:AH5"/>
    <mergeCell ref="C7:I8"/>
    <mergeCell ref="N7:T8"/>
    <mergeCell ref="AB7:AH8"/>
    <mergeCell ref="B7:B8"/>
    <mergeCell ref="F23:L24"/>
    <mergeCell ref="E26:K27"/>
    <mergeCell ref="D10:J11"/>
    <mergeCell ref="P10:V11"/>
  </mergeCells>
  <conditionalFormatting sqref="N7:T8 AB7:AH8 D10:J11 P10:V11 AD10:AJ11 E13:K14 R13:X14 AF13:AL14 AU14:AX21 AG16:AM17 G20:M21 T20:Z21 AG20:AM21 F23:L24 S23:Y24 AF23:AL24 E26:K27 R26:X27 AE26:AK27 D29:J30 Q29:W30 AD29:AJ30 C7:I8 F16:L17 S16:Y17">
    <cfRule type="cellIs" dxfId="0" priority="1" operator="equal">
      <formula>0</formula>
    </cfRule>
  </conditionalFormatting>
  <pageMargins left="0.7" right="0.7" top="0.75" bottom="0.75" header="0" footer="0"/>
  <pageSetup scale="51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showGridLines="0" view="pageBreakPreview" zoomScale="60" zoomScaleNormal="100" workbookViewId="0">
      <selection activeCell="D7" sqref="D7"/>
    </sheetView>
  </sheetViews>
  <sheetFormatPr defaultColWidth="14.42578125" defaultRowHeight="15" customHeight="1"/>
  <cols>
    <col min="1" max="1" width="2.140625" customWidth="1"/>
    <col min="2" max="2" width="22.5703125" customWidth="1"/>
    <col min="3" max="3" width="64.42578125" customWidth="1"/>
    <col min="4" max="4" width="66.85546875" customWidth="1"/>
    <col min="5" max="5" width="2.140625" customWidth="1"/>
    <col min="6" max="6" width="3" customWidth="1"/>
    <col min="7" max="7" width="28.140625" customWidth="1"/>
    <col min="8" max="9" width="64.7109375" customWidth="1"/>
  </cols>
  <sheetData>
    <row r="1" spans="1:7" ht="8.25" customHeight="1">
      <c r="A1" s="90"/>
      <c r="B1" s="132"/>
      <c r="C1" s="132"/>
      <c r="D1" s="132"/>
      <c r="E1" s="131"/>
      <c r="F1" s="42"/>
    </row>
    <row r="2" spans="1:7" ht="18" customHeight="1">
      <c r="A2" s="90"/>
      <c r="B2" s="317"/>
      <c r="C2" s="317"/>
      <c r="D2" s="317"/>
      <c r="E2" s="317"/>
      <c r="F2" s="131"/>
    </row>
    <row r="3" spans="1:7" ht="18" customHeight="1">
      <c r="A3" s="90"/>
      <c r="B3" s="317"/>
      <c r="C3" s="317"/>
      <c r="D3" s="317"/>
      <c r="E3" s="317"/>
      <c r="F3" s="131"/>
    </row>
    <row r="4" spans="1:7" ht="38.25" customHeight="1">
      <c r="A4" s="99"/>
      <c r="B4" s="146" t="s">
        <v>1</v>
      </c>
      <c r="C4" s="261" t="s">
        <v>174</v>
      </c>
      <c r="D4" s="262"/>
      <c r="E4" s="133"/>
      <c r="F4" s="100"/>
    </row>
    <row r="5" spans="1:7" ht="15.75" customHeight="1">
      <c r="A5" s="99"/>
      <c r="B5" s="147"/>
      <c r="C5" s="263"/>
      <c r="D5" s="264"/>
      <c r="E5" s="101"/>
      <c r="F5" s="101"/>
    </row>
    <row r="6" spans="1:7" ht="27.75" customHeight="1">
      <c r="A6" s="101"/>
      <c r="B6" s="148"/>
      <c r="C6" s="129" t="s">
        <v>175</v>
      </c>
      <c r="D6" s="129" t="s">
        <v>176</v>
      </c>
      <c r="E6" s="121"/>
      <c r="F6" s="121"/>
    </row>
    <row r="7" spans="1:7" ht="44.25" customHeight="1">
      <c r="A7" s="101"/>
      <c r="B7" s="127" t="s">
        <v>177</v>
      </c>
      <c r="C7" s="128" t="s">
        <v>178</v>
      </c>
      <c r="D7" s="130"/>
      <c r="E7" s="121"/>
      <c r="F7" s="121"/>
    </row>
    <row r="8" spans="1:7" ht="38.25" customHeight="1">
      <c r="A8" s="101"/>
      <c r="B8" s="127" t="s">
        <v>179</v>
      </c>
      <c r="C8" s="128"/>
      <c r="D8" s="130"/>
      <c r="E8" s="121"/>
      <c r="F8" s="121"/>
    </row>
    <row r="9" spans="1:7" ht="37.5" customHeight="1">
      <c r="A9" s="101"/>
      <c r="B9" s="127" t="s">
        <v>180</v>
      </c>
      <c r="C9" s="130"/>
      <c r="D9" s="130"/>
      <c r="E9" s="121"/>
      <c r="F9" s="121"/>
    </row>
    <row r="10" spans="1:7" ht="34.5" customHeight="1">
      <c r="A10" s="101"/>
      <c r="B10" s="127" t="s">
        <v>181</v>
      </c>
      <c r="C10" s="128"/>
      <c r="D10" s="130"/>
      <c r="E10" s="121"/>
    </row>
    <row r="11" spans="1:7" ht="34.5" customHeight="1">
      <c r="A11" s="101"/>
      <c r="B11" s="127" t="s">
        <v>182</v>
      </c>
      <c r="C11" s="128"/>
      <c r="D11" s="130"/>
      <c r="E11" s="121"/>
      <c r="F11" s="121"/>
    </row>
    <row r="12" spans="1:7" ht="27.75" customHeight="1">
      <c r="A12" s="101"/>
      <c r="B12" s="259" t="s">
        <v>183</v>
      </c>
      <c r="C12" s="369"/>
      <c r="D12" s="369"/>
      <c r="E12" s="121"/>
      <c r="F12" s="121"/>
    </row>
    <row r="13" spans="1:7" ht="27.75" customHeight="1">
      <c r="A13" s="101"/>
      <c r="B13" s="249"/>
      <c r="C13" s="250"/>
      <c r="D13" s="251"/>
      <c r="E13" s="121"/>
      <c r="F13" s="121"/>
    </row>
    <row r="14" spans="1:7" ht="27.75" customHeight="1">
      <c r="A14" s="101"/>
      <c r="B14" s="252"/>
      <c r="C14" s="253"/>
      <c r="D14" s="254"/>
      <c r="E14" s="121"/>
      <c r="F14" s="121"/>
    </row>
    <row r="15" spans="1:7" ht="27.75" customHeight="1">
      <c r="A15" s="101"/>
      <c r="B15" s="255"/>
      <c r="C15" s="256"/>
      <c r="D15" s="257"/>
      <c r="E15" s="121"/>
      <c r="F15" s="121"/>
    </row>
    <row r="16" spans="1:7" ht="27.75" customHeight="1">
      <c r="A16" s="101"/>
      <c r="B16" s="121"/>
      <c r="C16" s="121"/>
      <c r="D16" s="121"/>
      <c r="E16" s="121"/>
      <c r="F16" s="121"/>
      <c r="G16" s="137"/>
    </row>
    <row r="17" spans="1:6" ht="27.75" customHeight="1">
      <c r="A17" s="101"/>
      <c r="B17" s="121"/>
      <c r="C17" s="121"/>
      <c r="D17" s="121"/>
      <c r="E17" s="121"/>
      <c r="F17" s="121"/>
    </row>
    <row r="18" spans="1:6" ht="27.75" customHeight="1">
      <c r="A18" s="101"/>
      <c r="B18" s="139" t="s">
        <v>1</v>
      </c>
      <c r="C18" s="258" t="s">
        <v>168</v>
      </c>
      <c r="D18" s="258"/>
    </row>
    <row r="19" spans="1:6" ht="27.75" customHeight="1">
      <c r="A19" s="101"/>
      <c r="B19" s="140"/>
      <c r="C19" s="258"/>
      <c r="D19" s="258"/>
    </row>
    <row r="20" spans="1:6" ht="27.75" customHeight="1">
      <c r="A20" s="101"/>
      <c r="B20" s="141"/>
      <c r="C20" s="138" t="s">
        <v>175</v>
      </c>
      <c r="D20" s="138" t="s">
        <v>176</v>
      </c>
    </row>
    <row r="21" spans="1:6" ht="48.75" customHeight="1">
      <c r="A21" s="101"/>
      <c r="B21" s="127" t="s">
        <v>177</v>
      </c>
      <c r="C21" s="136" t="s">
        <v>184</v>
      </c>
      <c r="D21" s="153" t="s">
        <v>185</v>
      </c>
      <c r="E21" s="121"/>
      <c r="F21" s="121"/>
    </row>
    <row r="22" spans="1:6" ht="54.75" customHeight="1">
      <c r="A22" s="101"/>
      <c r="B22" s="134" t="s">
        <v>179</v>
      </c>
      <c r="C22" s="260" t="s">
        <v>186</v>
      </c>
      <c r="D22" s="130" t="s">
        <v>187</v>
      </c>
      <c r="E22" s="121"/>
      <c r="F22" s="121"/>
    </row>
    <row r="23" spans="1:6" ht="45.75" customHeight="1">
      <c r="A23" s="101"/>
      <c r="B23" s="134" t="s">
        <v>180</v>
      </c>
      <c r="C23" s="260"/>
      <c r="D23" s="130" t="s">
        <v>188</v>
      </c>
      <c r="E23" s="121"/>
      <c r="F23" s="121"/>
    </row>
    <row r="24" spans="1:6" ht="34.5" customHeight="1">
      <c r="A24" s="101"/>
      <c r="B24" s="134" t="s">
        <v>181</v>
      </c>
      <c r="C24" s="154" t="s">
        <v>189</v>
      </c>
      <c r="D24" s="155" t="s">
        <v>190</v>
      </c>
      <c r="E24" s="121"/>
      <c r="F24" s="121"/>
    </row>
    <row r="25" spans="1:6" ht="34.5" customHeight="1">
      <c r="A25" s="101"/>
      <c r="B25" s="127" t="s">
        <v>182</v>
      </c>
      <c r="C25" s="128"/>
      <c r="D25" s="135"/>
      <c r="E25" s="121"/>
      <c r="F25" s="121"/>
    </row>
    <row r="26" spans="1:6" ht="27.75" customHeight="1">
      <c r="A26" s="101"/>
      <c r="B26" s="259" t="s">
        <v>183</v>
      </c>
      <c r="C26" s="369"/>
      <c r="D26" s="369"/>
      <c r="E26" s="121"/>
      <c r="F26" s="121"/>
    </row>
    <row r="27" spans="1:6" ht="27.75" customHeight="1">
      <c r="A27" s="101"/>
      <c r="B27" s="249" t="s">
        <v>191</v>
      </c>
      <c r="C27" s="250"/>
      <c r="D27" s="251"/>
      <c r="E27" s="121"/>
      <c r="F27" s="121"/>
    </row>
    <row r="28" spans="1:6" ht="27.75" customHeight="1">
      <c r="A28" s="101"/>
      <c r="B28" s="252"/>
      <c r="C28" s="253"/>
      <c r="D28" s="254"/>
      <c r="E28" s="121"/>
      <c r="F28" s="121"/>
    </row>
    <row r="29" spans="1:6" ht="27.75" customHeight="1">
      <c r="A29" s="101"/>
      <c r="B29" s="255"/>
      <c r="C29" s="256"/>
      <c r="D29" s="257"/>
      <c r="E29" s="121"/>
      <c r="F29" s="121"/>
    </row>
    <row r="30" spans="1:6" ht="34.5" customHeight="1">
      <c r="A30" s="101"/>
      <c r="B30" s="121"/>
      <c r="C30" s="121"/>
      <c r="D30" s="121"/>
      <c r="E30" s="121"/>
      <c r="F30" s="121"/>
    </row>
    <row r="31" spans="1:6" ht="34.5" customHeight="1">
      <c r="A31" s="121"/>
      <c r="B31" s="146" t="s">
        <v>1</v>
      </c>
      <c r="C31" s="261" t="s">
        <v>170</v>
      </c>
      <c r="D31" s="262"/>
      <c r="E31" s="121"/>
      <c r="F31" s="121"/>
    </row>
    <row r="32" spans="1:6" ht="34.5" customHeight="1">
      <c r="B32" s="147"/>
      <c r="C32" s="263"/>
      <c r="D32" s="264"/>
      <c r="E32" s="121"/>
    </row>
    <row r="33" spans="2:4" ht="34.5" customHeight="1">
      <c r="B33" s="148"/>
      <c r="C33" s="129" t="s">
        <v>175</v>
      </c>
      <c r="D33" s="129" t="s">
        <v>176</v>
      </c>
    </row>
    <row r="34" spans="2:4" ht="34.5" customHeight="1">
      <c r="B34" s="127" t="s">
        <v>177</v>
      </c>
      <c r="C34" s="128" t="s">
        <v>192</v>
      </c>
      <c r="D34" s="130"/>
    </row>
    <row r="35" spans="2:4" ht="34.5" customHeight="1">
      <c r="B35" s="127" t="s">
        <v>179</v>
      </c>
      <c r="C35" s="128"/>
      <c r="D35" s="130"/>
    </row>
    <row r="36" spans="2:4" ht="34.5" customHeight="1">
      <c r="B36" s="127" t="s">
        <v>180</v>
      </c>
      <c r="C36" s="130"/>
      <c r="D36" s="130"/>
    </row>
    <row r="37" spans="2:4" ht="34.5" customHeight="1">
      <c r="B37" s="127" t="s">
        <v>181</v>
      </c>
      <c r="C37" s="128"/>
      <c r="D37" s="130"/>
    </row>
    <row r="38" spans="2:4" ht="34.5" customHeight="1">
      <c r="B38" s="127" t="s">
        <v>182</v>
      </c>
      <c r="C38" s="128"/>
      <c r="D38" s="130"/>
    </row>
    <row r="39" spans="2:4" ht="15" customHeight="1">
      <c r="B39" s="259" t="s">
        <v>183</v>
      </c>
      <c r="C39" s="369"/>
      <c r="D39" s="369"/>
    </row>
    <row r="40" spans="2:4" ht="15" customHeight="1">
      <c r="B40" s="249"/>
      <c r="C40" s="250"/>
      <c r="D40" s="251"/>
    </row>
    <row r="41" spans="2:4" ht="15" customHeight="1">
      <c r="B41" s="252"/>
      <c r="C41" s="253"/>
      <c r="D41" s="254"/>
    </row>
    <row r="42" spans="2:4" ht="15" customHeight="1">
      <c r="B42" s="255"/>
      <c r="C42" s="256"/>
      <c r="D42" s="257"/>
    </row>
    <row r="45" spans="2:4" ht="34.5" customHeight="1">
      <c r="B45" s="146" t="s">
        <v>1</v>
      </c>
      <c r="C45" s="261" t="s">
        <v>170</v>
      </c>
      <c r="D45" s="262"/>
    </row>
    <row r="46" spans="2:4" ht="34.5" customHeight="1">
      <c r="B46" s="147"/>
      <c r="C46" s="263"/>
      <c r="D46" s="264"/>
    </row>
    <row r="47" spans="2:4" ht="34.5" customHeight="1">
      <c r="B47" s="148"/>
      <c r="C47" s="129" t="s">
        <v>175</v>
      </c>
      <c r="D47" s="129" t="s">
        <v>176</v>
      </c>
    </row>
    <row r="48" spans="2:4" ht="34.5" customHeight="1">
      <c r="B48" s="127" t="s">
        <v>177</v>
      </c>
      <c r="C48" s="128" t="s">
        <v>192</v>
      </c>
      <c r="D48" s="130" t="s">
        <v>193</v>
      </c>
    </row>
    <row r="49" spans="2:4" ht="34.5" customHeight="1">
      <c r="B49" s="127" t="s">
        <v>179</v>
      </c>
      <c r="C49" s="128"/>
      <c r="D49" s="130"/>
    </row>
    <row r="50" spans="2:4" ht="34.5" customHeight="1">
      <c r="B50" s="127" t="s">
        <v>180</v>
      </c>
      <c r="C50" s="130"/>
      <c r="D50" s="130"/>
    </row>
    <row r="51" spans="2:4" ht="34.5" customHeight="1">
      <c r="B51" s="127" t="s">
        <v>181</v>
      </c>
      <c r="C51" s="128"/>
      <c r="D51" s="130"/>
    </row>
    <row r="52" spans="2:4" ht="34.5" customHeight="1">
      <c r="B52" s="127" t="s">
        <v>182</v>
      </c>
      <c r="C52" s="128"/>
      <c r="D52" s="130"/>
    </row>
    <row r="53" spans="2:4" ht="34.5" customHeight="1">
      <c r="B53" s="259" t="s">
        <v>183</v>
      </c>
      <c r="C53" s="369"/>
      <c r="D53" s="369"/>
    </row>
    <row r="54" spans="2:4" ht="34.5" customHeight="1">
      <c r="B54" s="249"/>
      <c r="C54" s="250"/>
      <c r="D54" s="251"/>
    </row>
    <row r="55" spans="2:4" ht="34.5" customHeight="1">
      <c r="B55" s="252"/>
      <c r="C55" s="253"/>
      <c r="D55" s="254"/>
    </row>
    <row r="56" spans="2:4" ht="34.5" customHeight="1">
      <c r="B56" s="255"/>
      <c r="C56" s="256"/>
      <c r="D56" s="257"/>
    </row>
    <row r="57" spans="2:4" ht="34.5" customHeight="1"/>
    <row r="58" spans="2:4" ht="34.5" customHeight="1"/>
  </sheetData>
  <mergeCells count="14">
    <mergeCell ref="B53:D53"/>
    <mergeCell ref="B54:D56"/>
    <mergeCell ref="B39:D39"/>
    <mergeCell ref="B40:D42"/>
    <mergeCell ref="C31:D32"/>
    <mergeCell ref="C45:D46"/>
    <mergeCell ref="B27:D29"/>
    <mergeCell ref="C18:D19"/>
    <mergeCell ref="B2:E3"/>
    <mergeCell ref="B12:D12"/>
    <mergeCell ref="B13:D15"/>
    <mergeCell ref="B26:D26"/>
    <mergeCell ref="C22:C23"/>
    <mergeCell ref="C4:D5"/>
  </mergeCells>
  <pageMargins left="0.7" right="0.7" top="0.75" bottom="0.75" header="0" footer="0"/>
  <pageSetup paperSize="9" scale="55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8"/>
  <sheetViews>
    <sheetView showGridLines="0" view="pageBreakPreview" zoomScale="60" zoomScaleNormal="100" workbookViewId="0">
      <selection activeCell="D16" sqref="D16"/>
    </sheetView>
  </sheetViews>
  <sheetFormatPr defaultColWidth="14.42578125" defaultRowHeight="15" customHeight="1"/>
  <cols>
    <col min="1" max="1" width="2.42578125" customWidth="1"/>
    <col min="2" max="3" width="31" customWidth="1"/>
    <col min="4" max="5" width="21.5703125" customWidth="1"/>
    <col min="13" max="13" width="3.28515625" customWidth="1"/>
  </cols>
  <sheetData>
    <row r="1" spans="1:13" ht="8.25" customHeight="1">
      <c r="A1" s="71"/>
      <c r="B1" s="90"/>
      <c r="C1" s="41"/>
      <c r="D1" s="41"/>
      <c r="E1" s="41"/>
      <c r="F1" s="41"/>
      <c r="G1" s="41"/>
      <c r="H1" s="41"/>
      <c r="I1" s="41"/>
      <c r="J1" s="41"/>
      <c r="K1" s="42"/>
      <c r="L1" s="41"/>
      <c r="M1" s="90"/>
    </row>
    <row r="2" spans="1:13" ht="18" customHeight="1">
      <c r="A2" s="71"/>
      <c r="B2" s="236" t="s">
        <v>194</v>
      </c>
      <c r="C2" s="312"/>
      <c r="D2" s="312"/>
      <c r="E2" s="312"/>
      <c r="F2" s="312"/>
      <c r="G2" s="312"/>
      <c r="H2" s="312"/>
      <c r="I2" s="312"/>
      <c r="J2" s="312"/>
      <c r="K2" s="312"/>
      <c r="L2" s="313"/>
      <c r="M2" s="90"/>
    </row>
    <row r="3" spans="1:13" ht="18" customHeight="1">
      <c r="A3" s="71"/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6"/>
      <c r="M3" s="90"/>
    </row>
    <row r="4" spans="1:13" ht="14.45">
      <c r="A4" s="72"/>
      <c r="B4" s="72"/>
      <c r="C4" s="72"/>
      <c r="D4" s="72"/>
      <c r="E4" s="72"/>
      <c r="F4" s="73"/>
      <c r="G4" s="73"/>
      <c r="H4" s="73"/>
      <c r="I4" s="73"/>
      <c r="J4" s="73"/>
      <c r="K4" s="73"/>
      <c r="L4" s="73"/>
      <c r="M4" s="73"/>
    </row>
    <row r="5" spans="1:13" ht="24" customHeight="1">
      <c r="A5" s="72"/>
      <c r="B5" s="122" t="s">
        <v>195</v>
      </c>
      <c r="C5" s="122" t="s">
        <v>196</v>
      </c>
      <c r="D5" s="122" t="s">
        <v>197</v>
      </c>
      <c r="E5" s="122" t="s">
        <v>198</v>
      </c>
    </row>
    <row r="6" spans="1:13" ht="25.5" customHeight="1">
      <c r="A6" s="118"/>
      <c r="B6" s="123"/>
      <c r="C6" s="123"/>
      <c r="D6" s="116" t="e">
        <f>C6/SUM($C$6:$C$14)</f>
        <v>#DIV/0!</v>
      </c>
      <c r="E6" s="117" t="e">
        <f>SUM(($D$5:D6))</f>
        <v>#DIV/0!</v>
      </c>
      <c r="F6" s="120"/>
      <c r="G6" s="58"/>
      <c r="H6" s="58"/>
      <c r="I6" s="58"/>
      <c r="J6" s="58"/>
      <c r="K6" s="58"/>
      <c r="L6" s="58"/>
      <c r="M6" s="58"/>
    </row>
    <row r="7" spans="1:13" ht="25.5" customHeight="1">
      <c r="A7" s="118"/>
      <c r="B7" s="123"/>
      <c r="C7" s="123"/>
      <c r="D7" s="116" t="e">
        <f t="shared" ref="D7:D15" si="0">C7/SUM($C$6:$C$14)</f>
        <v>#DIV/0!</v>
      </c>
      <c r="E7" s="117" t="e">
        <f>SUM(($D$5:D7))</f>
        <v>#DIV/0!</v>
      </c>
      <c r="F7" s="120"/>
      <c r="G7" s="58"/>
      <c r="H7" s="58"/>
      <c r="I7" s="58"/>
      <c r="J7" s="58"/>
      <c r="K7" s="58"/>
      <c r="L7" s="58"/>
      <c r="M7" s="58"/>
    </row>
    <row r="8" spans="1:13" ht="25.5" customHeight="1">
      <c r="A8" s="118"/>
      <c r="B8" s="123"/>
      <c r="C8" s="123"/>
      <c r="D8" s="116" t="e">
        <f t="shared" si="0"/>
        <v>#DIV/0!</v>
      </c>
      <c r="E8" s="117" t="e">
        <f>SUM(($D$5:D8))</f>
        <v>#DIV/0!</v>
      </c>
      <c r="F8" s="120"/>
      <c r="G8" s="58"/>
      <c r="H8" s="58"/>
      <c r="I8" s="58"/>
      <c r="J8" s="58"/>
      <c r="K8" s="58"/>
      <c r="L8" s="58"/>
      <c r="M8" s="58"/>
    </row>
    <row r="9" spans="1:13" ht="25.5" customHeight="1">
      <c r="A9" s="118"/>
      <c r="B9" s="123"/>
      <c r="C9" s="123"/>
      <c r="D9" s="116" t="e">
        <f t="shared" si="0"/>
        <v>#DIV/0!</v>
      </c>
      <c r="E9" s="117" t="e">
        <f>SUM(($D$5:D9))</f>
        <v>#DIV/0!</v>
      </c>
      <c r="F9" s="120"/>
      <c r="G9" s="58"/>
      <c r="H9" s="58"/>
      <c r="I9" s="58"/>
      <c r="J9" s="58"/>
      <c r="K9" s="58"/>
      <c r="L9" s="58"/>
      <c r="M9" s="58"/>
    </row>
    <row r="10" spans="1:13" ht="25.5" customHeight="1">
      <c r="A10" s="118"/>
      <c r="B10" s="123"/>
      <c r="C10" s="123"/>
      <c r="D10" s="116" t="e">
        <f t="shared" si="0"/>
        <v>#DIV/0!</v>
      </c>
      <c r="E10" s="117" t="e">
        <f>SUM(($D$5:D10))</f>
        <v>#DIV/0!</v>
      </c>
      <c r="F10" s="120"/>
      <c r="G10" s="58"/>
      <c r="H10" s="58"/>
      <c r="I10" s="58"/>
      <c r="J10" s="58"/>
      <c r="K10" s="58"/>
      <c r="L10" s="58"/>
      <c r="M10" s="58"/>
    </row>
    <row r="11" spans="1:13" ht="25.5" customHeight="1">
      <c r="A11" s="118"/>
      <c r="B11" s="123"/>
      <c r="C11" s="123"/>
      <c r="D11" s="116" t="e">
        <f t="shared" si="0"/>
        <v>#DIV/0!</v>
      </c>
      <c r="E11" s="117" t="e">
        <f>SUM(($D$5:D11))</f>
        <v>#DIV/0!</v>
      </c>
      <c r="F11" s="120"/>
      <c r="G11" s="58"/>
      <c r="H11" s="58"/>
      <c r="I11" s="58"/>
      <c r="J11" s="58"/>
      <c r="K11" s="58"/>
      <c r="L11" s="58"/>
      <c r="M11" s="58"/>
    </row>
    <row r="12" spans="1:13" ht="25.5" customHeight="1">
      <c r="A12" s="118"/>
      <c r="B12" s="123"/>
      <c r="C12" s="123"/>
      <c r="D12" s="116" t="e">
        <f t="shared" si="0"/>
        <v>#DIV/0!</v>
      </c>
      <c r="E12" s="117" t="e">
        <f>SUM(($D$5:D12))</f>
        <v>#DIV/0!</v>
      </c>
      <c r="F12" s="120"/>
      <c r="G12" s="58"/>
      <c r="H12" s="58"/>
      <c r="I12" s="58"/>
      <c r="J12" s="58"/>
      <c r="K12" s="58"/>
      <c r="L12" s="58"/>
      <c r="M12" s="58"/>
    </row>
    <row r="13" spans="1:13">
      <c r="A13" s="119"/>
      <c r="B13" s="123"/>
      <c r="C13" s="123"/>
      <c r="D13" s="116" t="e">
        <f t="shared" si="0"/>
        <v>#DIV/0!</v>
      </c>
      <c r="E13" s="117" t="e">
        <f>SUM(($D$5:D13))</f>
        <v>#DIV/0!</v>
      </c>
      <c r="F13" s="121"/>
    </row>
    <row r="14" spans="1:13">
      <c r="A14" s="119"/>
      <c r="B14" s="123"/>
      <c r="C14" s="123"/>
      <c r="D14" s="116" t="e">
        <f t="shared" si="0"/>
        <v>#DIV/0!</v>
      </c>
      <c r="E14" s="117" t="e">
        <f>SUM(($D$5:D14))</f>
        <v>#DIV/0!</v>
      </c>
      <c r="F14" s="121"/>
    </row>
    <row r="15" spans="1:13">
      <c r="A15" s="119"/>
      <c r="B15" s="123"/>
      <c r="C15" s="123"/>
      <c r="D15" s="116" t="e">
        <f t="shared" si="0"/>
        <v>#DIV/0!</v>
      </c>
      <c r="E15" s="117"/>
      <c r="F15" s="121"/>
    </row>
    <row r="16" spans="1:13" ht="14.45">
      <c r="A16" s="73"/>
      <c r="B16" s="121"/>
      <c r="C16" s="121"/>
      <c r="D16" s="121"/>
      <c r="E16" s="121"/>
    </row>
    <row r="17" spans="1:1" ht="14.45">
      <c r="A17" s="73"/>
    </row>
    <row r="18" spans="1:1" ht="14.45">
      <c r="A18" s="73"/>
    </row>
  </sheetData>
  <mergeCells count="1">
    <mergeCell ref="B2:L3"/>
  </mergeCells>
  <pageMargins left="0.511811024" right="0.511811024" top="0.78740157499999996" bottom="0.78740157499999996" header="0.31496062000000002" footer="0.31496062000000002"/>
  <pageSetup paperSize="9" scale="64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9"/>
  <sheetViews>
    <sheetView showGridLines="0" view="pageBreakPreview" zoomScale="60" zoomScaleNormal="100" workbookViewId="0"/>
  </sheetViews>
  <sheetFormatPr defaultColWidth="14.42578125" defaultRowHeight="15" customHeight="1"/>
  <cols>
    <col min="1" max="1" width="2.140625" customWidth="1"/>
    <col min="2" max="2" width="2" customWidth="1"/>
    <col min="3" max="3" width="19.42578125" customWidth="1"/>
    <col min="4" max="4" width="56.28515625" customWidth="1"/>
    <col min="5" max="6" width="9.28515625" customWidth="1"/>
    <col min="7" max="7" width="19.7109375" customWidth="1"/>
    <col min="8" max="8" width="10.85546875" customWidth="1"/>
    <col min="9" max="9" width="17" customWidth="1"/>
    <col min="10" max="10" width="2" customWidth="1"/>
    <col min="11" max="11" width="1.7109375" customWidth="1"/>
  </cols>
  <sheetData>
    <row r="1" spans="1:11" ht="8.25" customHeight="1">
      <c r="A1" s="90"/>
      <c r="B1" s="41"/>
      <c r="C1" s="41"/>
      <c r="D1" s="41"/>
      <c r="E1" s="41"/>
      <c r="F1" s="41"/>
      <c r="G1" s="41"/>
      <c r="H1" s="41"/>
      <c r="I1" s="41"/>
      <c r="J1" s="42"/>
      <c r="K1" s="41"/>
    </row>
    <row r="2" spans="1:11" ht="18" customHeight="1">
      <c r="A2" s="90"/>
      <c r="B2" s="236" t="s">
        <v>199</v>
      </c>
      <c r="C2" s="312"/>
      <c r="D2" s="312"/>
      <c r="E2" s="312"/>
      <c r="F2" s="312"/>
      <c r="G2" s="312"/>
      <c r="H2" s="312"/>
      <c r="I2" s="312"/>
      <c r="J2" s="313"/>
      <c r="K2" s="42"/>
    </row>
    <row r="3" spans="1:11" ht="18" customHeight="1">
      <c r="A3" s="90"/>
      <c r="B3" s="314"/>
      <c r="C3" s="315"/>
      <c r="D3" s="315"/>
      <c r="E3" s="315"/>
      <c r="F3" s="315"/>
      <c r="G3" s="315"/>
      <c r="H3" s="315"/>
      <c r="I3" s="315"/>
      <c r="J3" s="316"/>
      <c r="K3" s="42"/>
    </row>
    <row r="4" spans="1:11" ht="27.75" customHeight="1">
      <c r="A4" s="99"/>
      <c r="B4" s="265" t="s">
        <v>200</v>
      </c>
      <c r="C4" s="370"/>
      <c r="D4" s="266"/>
      <c r="E4" s="371"/>
      <c r="F4" s="371"/>
      <c r="H4" s="68" t="s">
        <v>7</v>
      </c>
      <c r="I4" s="267"/>
      <c r="J4" s="370"/>
      <c r="K4" s="45"/>
    </row>
    <row r="5" spans="1:11" ht="8.25" customHeight="1">
      <c r="A5" s="101"/>
      <c r="B5" s="69"/>
      <c r="C5" s="75"/>
      <c r="D5" s="75"/>
      <c r="E5" s="75"/>
      <c r="F5" s="75"/>
      <c r="G5" s="75"/>
      <c r="H5" s="75"/>
      <c r="I5" s="75"/>
      <c r="J5" s="76"/>
    </row>
    <row r="6" spans="1:11" ht="27.75" customHeight="1">
      <c r="A6" s="101"/>
      <c r="B6" s="77"/>
      <c r="C6" s="265" t="s">
        <v>201</v>
      </c>
      <c r="D6" s="370"/>
      <c r="E6" s="68" t="s">
        <v>40</v>
      </c>
      <c r="F6" s="68" t="s">
        <v>41</v>
      </c>
      <c r="G6" s="265" t="s">
        <v>202</v>
      </c>
      <c r="H6" s="371"/>
      <c r="I6" s="370"/>
      <c r="J6" s="78"/>
    </row>
    <row r="7" spans="1:11" ht="33.75" customHeight="1">
      <c r="A7" s="101"/>
      <c r="B7" s="79"/>
      <c r="C7" s="268"/>
      <c r="D7" s="370"/>
      <c r="E7" s="80" t="b">
        <v>0</v>
      </c>
      <c r="F7" s="80" t="b">
        <v>0</v>
      </c>
      <c r="G7" s="268"/>
      <c r="H7" s="371"/>
      <c r="I7" s="370"/>
      <c r="J7" s="78"/>
    </row>
    <row r="8" spans="1:11" ht="33.75" customHeight="1">
      <c r="A8" s="101"/>
      <c r="B8" s="79"/>
      <c r="C8" s="268"/>
      <c r="D8" s="370"/>
      <c r="E8" s="80" t="b">
        <v>0</v>
      </c>
      <c r="F8" s="80" t="b">
        <v>0</v>
      </c>
      <c r="G8" s="268"/>
      <c r="H8" s="371"/>
      <c r="I8" s="370"/>
      <c r="J8" s="78"/>
    </row>
    <row r="9" spans="1:11" ht="33.75" customHeight="1">
      <c r="A9" s="101"/>
      <c r="B9" s="79"/>
      <c r="C9" s="268"/>
      <c r="D9" s="370"/>
      <c r="E9" s="80" t="b">
        <v>0</v>
      </c>
      <c r="F9" s="80" t="b">
        <v>0</v>
      </c>
      <c r="G9" s="268"/>
      <c r="H9" s="371"/>
      <c r="I9" s="370"/>
      <c r="J9" s="78"/>
    </row>
    <row r="10" spans="1:11" ht="33.75" customHeight="1">
      <c r="A10" s="101"/>
      <c r="B10" s="79"/>
      <c r="C10" s="268"/>
      <c r="D10" s="370"/>
      <c r="E10" s="80" t="b">
        <v>0</v>
      </c>
      <c r="F10" s="80" t="b">
        <v>0</v>
      </c>
      <c r="G10" s="268"/>
      <c r="H10" s="371"/>
      <c r="I10" s="370"/>
      <c r="J10" s="78"/>
    </row>
    <row r="11" spans="1:11" ht="33.75" customHeight="1">
      <c r="A11" s="101"/>
      <c r="B11" s="79"/>
      <c r="C11" s="268"/>
      <c r="D11" s="370"/>
      <c r="E11" s="80" t="b">
        <v>0</v>
      </c>
      <c r="F11" s="80" t="b">
        <v>0</v>
      </c>
      <c r="G11" s="268"/>
      <c r="H11" s="371"/>
      <c r="I11" s="370"/>
      <c r="J11" s="78"/>
    </row>
    <row r="12" spans="1:11" ht="33.75" customHeight="1">
      <c r="A12" s="101"/>
      <c r="B12" s="79"/>
      <c r="C12" s="268"/>
      <c r="D12" s="370"/>
      <c r="E12" s="80" t="b">
        <v>0</v>
      </c>
      <c r="F12" s="80" t="b">
        <v>0</v>
      </c>
      <c r="G12" s="268"/>
      <c r="H12" s="371"/>
      <c r="I12" s="370"/>
      <c r="J12" s="78"/>
    </row>
    <row r="13" spans="1:11" ht="33.75" customHeight="1">
      <c r="A13" s="101"/>
      <c r="B13" s="79"/>
      <c r="C13" s="268"/>
      <c r="D13" s="370"/>
      <c r="E13" s="80" t="b">
        <v>0</v>
      </c>
      <c r="F13" s="80" t="b">
        <v>0</v>
      </c>
      <c r="G13" s="268"/>
      <c r="H13" s="371"/>
      <c r="I13" s="370"/>
      <c r="J13" s="78"/>
    </row>
    <row r="14" spans="1:11" ht="33.75" customHeight="1">
      <c r="A14" s="101"/>
      <c r="B14" s="79"/>
      <c r="C14" s="268"/>
      <c r="D14" s="370"/>
      <c r="E14" s="80" t="b">
        <v>0</v>
      </c>
      <c r="F14" s="80" t="b">
        <v>0</v>
      </c>
      <c r="G14" s="268"/>
      <c r="H14" s="371"/>
      <c r="I14" s="370"/>
      <c r="J14" s="78"/>
    </row>
    <row r="15" spans="1:11" ht="33.75" customHeight="1">
      <c r="A15" s="101"/>
      <c r="B15" s="79"/>
      <c r="C15" s="268"/>
      <c r="D15" s="370"/>
      <c r="E15" s="80" t="b">
        <v>0</v>
      </c>
      <c r="F15" s="80" t="b">
        <v>0</v>
      </c>
      <c r="G15" s="268"/>
      <c r="H15" s="371"/>
      <c r="I15" s="370"/>
      <c r="J15" s="78"/>
    </row>
    <row r="16" spans="1:11" ht="33.75" customHeight="1">
      <c r="A16" s="101"/>
      <c r="B16" s="79"/>
      <c r="C16" s="268"/>
      <c r="D16" s="370"/>
      <c r="E16" s="80" t="b">
        <v>0</v>
      </c>
      <c r="F16" s="80" t="b">
        <v>0</v>
      </c>
      <c r="G16" s="268"/>
      <c r="H16" s="371"/>
      <c r="I16" s="370"/>
      <c r="J16" s="78"/>
    </row>
    <row r="17" spans="1:10" ht="33.75" customHeight="1">
      <c r="A17" s="101"/>
      <c r="B17" s="79"/>
      <c r="C17" s="268"/>
      <c r="D17" s="370"/>
      <c r="E17" s="80" t="b">
        <v>0</v>
      </c>
      <c r="F17" s="80" t="b">
        <v>0</v>
      </c>
      <c r="G17" s="268"/>
      <c r="H17" s="371"/>
      <c r="I17" s="370"/>
      <c r="J17" s="78"/>
    </row>
    <row r="18" spans="1:10" ht="33.75" customHeight="1">
      <c r="A18" s="101"/>
      <c r="B18" s="79"/>
      <c r="C18" s="268"/>
      <c r="D18" s="370"/>
      <c r="E18" s="80" t="b">
        <v>0</v>
      </c>
      <c r="F18" s="80" t="b">
        <v>0</v>
      </c>
      <c r="G18" s="268"/>
      <c r="H18" s="371"/>
      <c r="I18" s="370"/>
      <c r="J18" s="78"/>
    </row>
    <row r="19" spans="1:10" ht="33.75" customHeight="1">
      <c r="A19" s="101"/>
      <c r="B19" s="79"/>
      <c r="C19" s="268"/>
      <c r="D19" s="370"/>
      <c r="E19" s="80" t="b">
        <v>0</v>
      </c>
      <c r="F19" s="80" t="b">
        <v>0</v>
      </c>
      <c r="G19" s="268"/>
      <c r="H19" s="371"/>
      <c r="I19" s="370"/>
      <c r="J19" s="78"/>
    </row>
    <row r="20" spans="1:10" ht="33.75" customHeight="1">
      <c r="A20" s="101"/>
      <c r="B20" s="79"/>
      <c r="C20" s="268"/>
      <c r="D20" s="370"/>
      <c r="E20" s="80" t="b">
        <v>0</v>
      </c>
      <c r="F20" s="80" t="b">
        <v>0</v>
      </c>
      <c r="G20" s="268"/>
      <c r="H20" s="371"/>
      <c r="I20" s="370"/>
      <c r="J20" s="78"/>
    </row>
    <row r="21" spans="1:10" ht="33.75" customHeight="1">
      <c r="A21" s="101"/>
      <c r="B21" s="79"/>
      <c r="C21" s="268"/>
      <c r="D21" s="370"/>
      <c r="E21" s="80" t="b">
        <v>0</v>
      </c>
      <c r="F21" s="80" t="b">
        <v>0</v>
      </c>
      <c r="G21" s="268"/>
      <c r="H21" s="371"/>
      <c r="I21" s="370"/>
      <c r="J21" s="78"/>
    </row>
    <row r="22" spans="1:10" ht="33.75" customHeight="1">
      <c r="A22" s="101"/>
      <c r="B22" s="79"/>
      <c r="C22" s="268"/>
      <c r="D22" s="370"/>
      <c r="E22" s="80" t="b">
        <v>0</v>
      </c>
      <c r="F22" s="80" t="b">
        <v>0</v>
      </c>
      <c r="G22" s="268"/>
      <c r="H22" s="371"/>
      <c r="I22" s="370"/>
      <c r="J22" s="78"/>
    </row>
    <row r="23" spans="1:10" ht="33.75" customHeight="1">
      <c r="A23" s="101"/>
      <c r="B23" s="79"/>
      <c r="C23" s="268"/>
      <c r="D23" s="370"/>
      <c r="E23" s="80" t="b">
        <v>0</v>
      </c>
      <c r="F23" s="80" t="b">
        <v>0</v>
      </c>
      <c r="G23" s="268"/>
      <c r="H23" s="371"/>
      <c r="I23" s="370"/>
      <c r="J23" s="78"/>
    </row>
    <row r="24" spans="1:10" ht="33.75" customHeight="1">
      <c r="A24" s="101"/>
      <c r="B24" s="79"/>
      <c r="C24" s="268"/>
      <c r="D24" s="370"/>
      <c r="E24" s="80" t="b">
        <v>0</v>
      </c>
      <c r="F24" s="80" t="b">
        <v>0</v>
      </c>
      <c r="G24" s="268"/>
      <c r="H24" s="371"/>
      <c r="I24" s="370"/>
      <c r="J24" s="78"/>
    </row>
    <row r="25" spans="1:10" ht="33.75" customHeight="1">
      <c r="A25" s="101"/>
      <c r="B25" s="79"/>
      <c r="C25" s="268"/>
      <c r="D25" s="370"/>
      <c r="E25" s="80" t="b">
        <v>0</v>
      </c>
      <c r="F25" s="80" t="b">
        <v>0</v>
      </c>
      <c r="G25" s="268"/>
      <c r="H25" s="371"/>
      <c r="I25" s="370"/>
      <c r="J25" s="78"/>
    </row>
    <row r="26" spans="1:10" ht="33.75" customHeight="1">
      <c r="A26" s="101"/>
      <c r="B26" s="79"/>
      <c r="C26" s="268"/>
      <c r="D26" s="370"/>
      <c r="E26" s="80" t="b">
        <v>0</v>
      </c>
      <c r="F26" s="80" t="b">
        <v>0</v>
      </c>
      <c r="G26" s="268"/>
      <c r="H26" s="371"/>
      <c r="I26" s="370"/>
      <c r="J26" s="78"/>
    </row>
    <row r="27" spans="1:10" ht="33.75" customHeight="1">
      <c r="A27" s="101"/>
      <c r="B27" s="79"/>
      <c r="C27" s="268"/>
      <c r="D27" s="370"/>
      <c r="E27" s="80" t="b">
        <v>0</v>
      </c>
      <c r="F27" s="80" t="b">
        <v>0</v>
      </c>
      <c r="G27" s="268"/>
      <c r="H27" s="371"/>
      <c r="I27" s="370"/>
      <c r="J27" s="78"/>
    </row>
    <row r="28" spans="1:10" ht="12" customHeight="1">
      <c r="A28" s="101"/>
      <c r="B28" s="81"/>
      <c r="C28" s="372"/>
      <c r="D28" s="315"/>
      <c r="E28" s="70"/>
      <c r="F28" s="70"/>
      <c r="G28" s="70"/>
      <c r="H28" s="70"/>
      <c r="I28" s="70"/>
      <c r="J28" s="82"/>
    </row>
    <row r="29" spans="1:10" ht="13.5" customHeight="1">
      <c r="A29" s="101"/>
    </row>
  </sheetData>
  <mergeCells count="49">
    <mergeCell ref="G25:I25"/>
    <mergeCell ref="G26:I26"/>
    <mergeCell ref="G27:I27"/>
    <mergeCell ref="G15:I15"/>
    <mergeCell ref="G16:I16"/>
    <mergeCell ref="G17:I17"/>
    <mergeCell ref="G18:I18"/>
    <mergeCell ref="G19:I19"/>
    <mergeCell ref="G20:I20"/>
    <mergeCell ref="G21:I21"/>
    <mergeCell ref="C25:D25"/>
    <mergeCell ref="C26:D26"/>
    <mergeCell ref="C27:D27"/>
    <mergeCell ref="C28:D28"/>
    <mergeCell ref="C14:D14"/>
    <mergeCell ref="C15:D15"/>
    <mergeCell ref="C16:D16"/>
    <mergeCell ref="C17:D17"/>
    <mergeCell ref="C18:D18"/>
    <mergeCell ref="C19:D19"/>
    <mergeCell ref="C20:D20"/>
    <mergeCell ref="G14:I14"/>
    <mergeCell ref="C21:D21"/>
    <mergeCell ref="C22:D22"/>
    <mergeCell ref="C23:D23"/>
    <mergeCell ref="C24:D24"/>
    <mergeCell ref="G22:I22"/>
    <mergeCell ref="G23:I23"/>
    <mergeCell ref="G24:I24"/>
    <mergeCell ref="C11:D11"/>
    <mergeCell ref="C12:D12"/>
    <mergeCell ref="C13:D13"/>
    <mergeCell ref="G8:I8"/>
    <mergeCell ref="G9:I9"/>
    <mergeCell ref="G10:I10"/>
    <mergeCell ref="G11:I11"/>
    <mergeCell ref="G12:I12"/>
    <mergeCell ref="G13:I13"/>
    <mergeCell ref="G7:I7"/>
    <mergeCell ref="C7:D7"/>
    <mergeCell ref="C8:D8"/>
    <mergeCell ref="C9:D9"/>
    <mergeCell ref="C10:D10"/>
    <mergeCell ref="B2:J3"/>
    <mergeCell ref="B4:C4"/>
    <mergeCell ref="D4:F4"/>
    <mergeCell ref="I4:J4"/>
    <mergeCell ref="C6:D6"/>
    <mergeCell ref="G6:I6"/>
  </mergeCells>
  <pageMargins left="0.7" right="0.7" top="0.75" bottom="0.75" header="0" footer="0"/>
  <pageSetup paperSize="9" scale="55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"/>
  <sheetViews>
    <sheetView showGridLines="0" view="pageBreakPreview" zoomScale="60" zoomScaleNormal="100" workbookViewId="0">
      <selection activeCell="M10" sqref="M10"/>
    </sheetView>
  </sheetViews>
  <sheetFormatPr defaultColWidth="14.42578125" defaultRowHeight="15" customHeight="1"/>
  <cols>
    <col min="1" max="1" width="2.140625" customWidth="1"/>
    <col min="2" max="2" width="28.28515625" customWidth="1"/>
    <col min="3" max="3" width="12.28515625" customWidth="1"/>
    <col min="4" max="4" width="13.42578125" customWidth="1"/>
    <col min="5" max="10" width="8.7109375" customWidth="1"/>
    <col min="11" max="11" width="2.42578125" customWidth="1"/>
  </cols>
  <sheetData>
    <row r="1" spans="1:11" ht="8.25" customHeight="1">
      <c r="A1" s="90"/>
      <c r="B1" s="41"/>
      <c r="C1" s="41"/>
      <c r="D1" s="41"/>
      <c r="E1" s="41"/>
      <c r="F1" s="41"/>
      <c r="G1" s="41"/>
      <c r="H1" s="41"/>
      <c r="I1" s="41"/>
      <c r="J1" s="42"/>
      <c r="K1" s="41"/>
    </row>
    <row r="2" spans="1:11" ht="18" customHeight="1">
      <c r="A2" s="90"/>
      <c r="B2" s="236" t="s">
        <v>203</v>
      </c>
      <c r="C2" s="312"/>
      <c r="D2" s="312"/>
      <c r="E2" s="312"/>
      <c r="F2" s="312"/>
      <c r="G2" s="312"/>
      <c r="H2" s="312"/>
      <c r="I2" s="312"/>
      <c r="J2" s="313"/>
      <c r="K2" s="42"/>
    </row>
    <row r="3" spans="1:11" ht="18" customHeight="1">
      <c r="A3" s="90"/>
      <c r="B3" s="314"/>
      <c r="C3" s="315"/>
      <c r="D3" s="315"/>
      <c r="E3" s="315"/>
      <c r="F3" s="315"/>
      <c r="G3" s="315"/>
      <c r="H3" s="315"/>
      <c r="I3" s="315"/>
      <c r="J3" s="316"/>
      <c r="K3" s="42"/>
    </row>
    <row r="4" spans="1:11" ht="14.45">
      <c r="A4" s="83"/>
      <c r="C4" s="84"/>
      <c r="D4" s="84"/>
    </row>
    <row r="5" spans="1:11" ht="21" customHeight="1">
      <c r="B5" s="265" t="s">
        <v>204</v>
      </c>
      <c r="C5" s="371"/>
      <c r="D5" s="370"/>
    </row>
    <row r="6" spans="1:11" ht="21" customHeight="1">
      <c r="B6" s="85" t="s">
        <v>205</v>
      </c>
      <c r="C6" s="85" t="s">
        <v>206</v>
      </c>
      <c r="D6" s="85" t="s">
        <v>207</v>
      </c>
    </row>
    <row r="7" spans="1:11" ht="21" customHeight="1">
      <c r="A7" s="86"/>
      <c r="B7" s="123"/>
      <c r="C7" s="123"/>
      <c r="D7" s="116"/>
      <c r="E7" s="86"/>
      <c r="F7" s="86"/>
      <c r="G7" s="86"/>
      <c r="H7" s="86"/>
      <c r="I7" s="86"/>
      <c r="J7" s="86"/>
      <c r="K7" s="86"/>
    </row>
    <row r="8" spans="1:11" ht="21" customHeight="1">
      <c r="A8" s="86"/>
      <c r="B8" s="123"/>
      <c r="C8" s="123"/>
      <c r="D8" s="116"/>
      <c r="E8" s="86"/>
      <c r="F8" s="86"/>
      <c r="G8" s="86"/>
      <c r="H8" s="86"/>
      <c r="I8" s="86"/>
      <c r="J8" s="86"/>
      <c r="K8" s="86"/>
    </row>
    <row r="9" spans="1:11" ht="21" customHeight="1">
      <c r="A9" s="86"/>
      <c r="B9" s="123"/>
      <c r="C9" s="123"/>
      <c r="D9" s="116"/>
      <c r="E9" s="86"/>
      <c r="F9" s="86"/>
      <c r="G9" s="86"/>
      <c r="H9" s="86"/>
      <c r="I9" s="86"/>
      <c r="J9" s="86"/>
      <c r="K9" s="86"/>
    </row>
    <row r="10" spans="1:11" ht="21" customHeight="1">
      <c r="A10" s="86"/>
      <c r="B10" s="123"/>
      <c r="C10" s="123"/>
      <c r="D10" s="116"/>
      <c r="E10" s="86"/>
      <c r="F10" s="86"/>
      <c r="G10" s="86"/>
      <c r="H10" s="86"/>
      <c r="I10" s="86"/>
      <c r="J10" s="86"/>
      <c r="K10" s="86"/>
    </row>
    <row r="11" spans="1:11" ht="21" customHeight="1">
      <c r="A11" s="86"/>
      <c r="B11" s="123"/>
      <c r="C11" s="123"/>
      <c r="D11" s="116"/>
      <c r="E11" s="86"/>
      <c r="F11" s="86"/>
      <c r="G11" s="86"/>
      <c r="H11" s="86"/>
      <c r="I11" s="86"/>
      <c r="J11" s="86"/>
      <c r="K11" s="86"/>
    </row>
    <row r="12" spans="1:11" ht="21" customHeight="1">
      <c r="A12" s="86"/>
      <c r="B12" s="123"/>
      <c r="C12" s="123"/>
      <c r="D12" s="116"/>
      <c r="E12" s="86"/>
      <c r="F12" s="86"/>
      <c r="G12" s="86"/>
      <c r="H12" s="86"/>
      <c r="I12" s="86"/>
      <c r="J12" s="86"/>
      <c r="K12" s="86"/>
    </row>
    <row r="13" spans="1:11" ht="21" customHeight="1">
      <c r="A13" s="86"/>
      <c r="B13" s="123"/>
      <c r="C13" s="123"/>
      <c r="D13" s="116"/>
      <c r="E13" s="86"/>
      <c r="F13" s="86"/>
      <c r="G13" s="86"/>
      <c r="H13" s="86"/>
      <c r="I13" s="86"/>
      <c r="J13" s="86"/>
      <c r="K13" s="86"/>
    </row>
    <row r="14" spans="1:11" ht="21" customHeight="1">
      <c r="A14" s="86"/>
      <c r="B14" s="123"/>
      <c r="C14" s="123"/>
      <c r="D14" s="116"/>
      <c r="E14" s="86"/>
      <c r="F14" s="86"/>
      <c r="G14" s="86"/>
      <c r="H14" s="86"/>
      <c r="I14" s="86"/>
      <c r="J14" s="86"/>
      <c r="K14" s="86"/>
    </row>
    <row r="15" spans="1:11" ht="21" customHeight="1">
      <c r="A15" s="86"/>
      <c r="B15" s="123"/>
      <c r="C15" s="123"/>
      <c r="D15" s="116"/>
      <c r="E15" s="86"/>
      <c r="F15" s="86"/>
      <c r="G15" s="86"/>
      <c r="H15" s="86"/>
      <c r="I15" s="86"/>
      <c r="J15" s="86"/>
      <c r="K15" s="86"/>
    </row>
    <row r="16" spans="1:11">
      <c r="B16" s="123"/>
      <c r="C16" s="84"/>
      <c r="D16" s="116"/>
    </row>
    <row r="17" spans="3:4" ht="14.45">
      <c r="C17" s="84"/>
      <c r="D17" s="84"/>
    </row>
    <row r="18" spans="3:4" ht="14.45">
      <c r="C18" s="84"/>
      <c r="D18" s="84"/>
    </row>
  </sheetData>
  <mergeCells count="2">
    <mergeCell ref="B2:J3"/>
    <mergeCell ref="B5:D5"/>
  </mergeCells>
  <pageMargins left="0.7" right="0.7" top="0.75" bottom="0.75" header="0" footer="0"/>
  <pageSetup paperSize="9" scale="72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4"/>
  <sheetViews>
    <sheetView showGridLines="0" view="pageBreakPreview" zoomScale="60" zoomScaleNormal="100" workbookViewId="0">
      <selection activeCell="AP15" sqref="AP15"/>
    </sheetView>
  </sheetViews>
  <sheetFormatPr defaultColWidth="14.42578125" defaultRowHeight="15" customHeight="1"/>
  <cols>
    <col min="1" max="1" width="3.42578125" customWidth="1"/>
    <col min="2" max="2" width="17.7109375" customWidth="1"/>
    <col min="3" max="20" width="8.7109375" customWidth="1"/>
    <col min="21" max="21" width="5.28515625" customWidth="1"/>
    <col min="22" max="32" width="5.7109375" customWidth="1"/>
  </cols>
  <sheetData>
    <row r="1" spans="1:32" ht="8.25" customHeight="1">
      <c r="A1" s="90"/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32" ht="20.25" customHeight="1">
      <c r="A2" s="90"/>
      <c r="B2" s="236" t="s">
        <v>208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3"/>
      <c r="V2" s="42"/>
    </row>
    <row r="3" spans="1:32" ht="12.75" customHeight="1">
      <c r="A3" s="90"/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6"/>
      <c r="V3" s="42"/>
    </row>
    <row r="4" spans="1:32" ht="16.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</row>
    <row r="5" spans="1:32" ht="23.25" customHeight="1">
      <c r="A5" s="83"/>
      <c r="B5" s="87"/>
      <c r="C5" s="124"/>
      <c r="D5" s="125"/>
      <c r="E5" s="125"/>
      <c r="F5" s="125"/>
      <c r="G5" s="125"/>
      <c r="H5" s="126"/>
      <c r="I5" s="124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6"/>
      <c r="U5" s="83"/>
      <c r="V5" s="83"/>
    </row>
    <row r="6" spans="1:32" ht="21" customHeight="1">
      <c r="A6" s="83"/>
      <c r="B6" s="85" t="s">
        <v>209</v>
      </c>
      <c r="C6" s="85">
        <v>1</v>
      </c>
      <c r="D6" s="85">
        <v>2</v>
      </c>
      <c r="E6" s="85">
        <v>3</v>
      </c>
      <c r="F6" s="85">
        <v>4</v>
      </c>
      <c r="G6" s="85">
        <v>5</v>
      </c>
      <c r="H6" s="85">
        <v>6</v>
      </c>
      <c r="I6" s="85">
        <v>7</v>
      </c>
      <c r="J6" s="85">
        <v>8</v>
      </c>
      <c r="K6" s="85">
        <v>9</v>
      </c>
      <c r="L6" s="85">
        <v>10</v>
      </c>
      <c r="M6" s="85">
        <v>11</v>
      </c>
      <c r="N6" s="85">
        <v>12</v>
      </c>
      <c r="O6" s="85">
        <v>13</v>
      </c>
      <c r="P6" s="85">
        <v>14</v>
      </c>
      <c r="Q6" s="85">
        <v>15</v>
      </c>
      <c r="R6" s="85">
        <v>16</v>
      </c>
      <c r="S6" s="85">
        <v>17</v>
      </c>
      <c r="T6" s="85">
        <v>18</v>
      </c>
      <c r="U6" s="85">
        <v>19</v>
      </c>
      <c r="V6" s="85">
        <v>20</v>
      </c>
      <c r="W6" s="85">
        <v>21</v>
      </c>
      <c r="X6" s="85">
        <v>22</v>
      </c>
      <c r="Y6" s="85">
        <v>23</v>
      </c>
      <c r="Z6" s="85">
        <v>24</v>
      </c>
      <c r="AA6" s="85">
        <v>25</v>
      </c>
      <c r="AB6" s="85">
        <v>26</v>
      </c>
      <c r="AC6" s="85">
        <v>27</v>
      </c>
      <c r="AD6" s="85">
        <v>28</v>
      </c>
      <c r="AE6" s="85">
        <v>29</v>
      </c>
      <c r="AF6" s="85">
        <v>30</v>
      </c>
    </row>
    <row r="7" spans="1:32" ht="28.5" customHeight="1">
      <c r="A7" s="83"/>
      <c r="B7" s="88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3"/>
      <c r="AF7" s="143"/>
    </row>
    <row r="8" spans="1:32" ht="16.5" customHeight="1">
      <c r="A8" s="83"/>
      <c r="B8" s="88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3"/>
      <c r="V8" s="83"/>
    </row>
    <row r="9" spans="1:32" ht="16.5" customHeight="1">
      <c r="A9" s="83"/>
      <c r="B9" s="88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3"/>
      <c r="V9" s="83"/>
    </row>
    <row r="10" spans="1:32" ht="16.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</row>
    <row r="11" spans="1:32" ht="16.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</row>
    <row r="12" spans="1:32" ht="16.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</row>
    <row r="13" spans="1:32" ht="16.5" customHeight="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</row>
    <row r="14" spans="1:32" ht="16.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</row>
    <row r="15" spans="1:32" ht="16.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spans="1:32" ht="16.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</row>
    <row r="17" spans="1:22" ht="16.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</row>
    <row r="18" spans="1:22" ht="16.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</row>
    <row r="19" spans="1:22" ht="16.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</row>
    <row r="20" spans="1:22" ht="16.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</row>
    <row r="21" spans="1:22" ht="16.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 spans="1:22" ht="16.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</row>
    <row r="23" spans="1:22" ht="16.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</row>
    <row r="24" spans="1:22" ht="16.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</row>
  </sheetData>
  <mergeCells count="1">
    <mergeCell ref="B2:U3"/>
  </mergeCells>
  <conditionalFormatting sqref="C7:AD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:AD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:AD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scale="65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76"/>
  <sheetViews>
    <sheetView showGridLines="0" view="pageBreakPreview" topLeftCell="A5" zoomScaleNormal="100" zoomScaleSheetLayoutView="100" workbookViewId="0">
      <selection activeCell="B6" sqref="B6:E25"/>
    </sheetView>
  </sheetViews>
  <sheetFormatPr defaultColWidth="14.42578125" defaultRowHeight="15" customHeight="1"/>
  <cols>
    <col min="1" max="1" width="2.42578125" customWidth="1"/>
    <col min="2" max="8" width="9.140625" customWidth="1"/>
    <col min="9" max="9" width="52.28515625" customWidth="1"/>
    <col min="10" max="21" width="9.140625" customWidth="1"/>
    <col min="22" max="22" width="2.7109375" customWidth="1"/>
  </cols>
  <sheetData>
    <row r="1" spans="1:22" ht="8.25" customHeight="1">
      <c r="A1" s="71"/>
      <c r="B1" s="90"/>
      <c r="C1" s="41"/>
      <c r="D1" s="41"/>
      <c r="E1" s="41"/>
      <c r="F1" s="41"/>
      <c r="G1" s="41"/>
      <c r="H1" s="41"/>
      <c r="I1" s="41"/>
      <c r="J1" s="41"/>
      <c r="K1" s="42"/>
      <c r="L1" s="41"/>
      <c r="M1" s="90"/>
      <c r="N1" s="41"/>
      <c r="O1" s="41"/>
      <c r="P1" s="41"/>
      <c r="Q1" s="41"/>
      <c r="R1" s="41"/>
      <c r="S1" s="41"/>
      <c r="T1" s="41"/>
      <c r="U1" s="41"/>
      <c r="V1" s="91"/>
    </row>
    <row r="2" spans="1:22" ht="18" customHeight="1">
      <c r="A2" s="71"/>
      <c r="B2" s="236" t="s">
        <v>210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3"/>
      <c r="V2" s="91"/>
    </row>
    <row r="3" spans="1:22" ht="18" customHeight="1">
      <c r="A3" s="71"/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6"/>
      <c r="V3" s="91"/>
    </row>
    <row r="4" spans="1:22" ht="13.5" customHeight="1">
      <c r="A4" s="72"/>
      <c r="B4" s="92"/>
      <c r="C4" s="92"/>
      <c r="D4" s="92"/>
      <c r="E4" s="92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1"/>
    </row>
    <row r="5" spans="1:22" ht="25.5" customHeight="1">
      <c r="A5" s="74"/>
      <c r="B5" s="279" t="s">
        <v>205</v>
      </c>
      <c r="C5" s="371"/>
      <c r="D5" s="371"/>
      <c r="E5" s="370"/>
      <c r="F5" s="279" t="s">
        <v>211</v>
      </c>
      <c r="G5" s="371"/>
      <c r="H5" s="371"/>
      <c r="I5" s="371"/>
      <c r="J5" s="371"/>
      <c r="K5" s="371"/>
      <c r="L5" s="371"/>
      <c r="M5" s="370"/>
      <c r="N5" s="279" t="s">
        <v>212</v>
      </c>
      <c r="O5" s="371"/>
      <c r="P5" s="371"/>
      <c r="Q5" s="371"/>
      <c r="R5" s="371"/>
      <c r="S5" s="371"/>
      <c r="T5" s="371"/>
      <c r="U5" s="370"/>
      <c r="V5" s="91"/>
    </row>
    <row r="6" spans="1:22" ht="19.5" customHeight="1">
      <c r="A6" s="74"/>
      <c r="B6" s="269"/>
      <c r="C6" s="270"/>
      <c r="D6" s="270"/>
      <c r="E6" s="271"/>
      <c r="F6" s="280" t="s">
        <v>213</v>
      </c>
      <c r="G6" s="312"/>
      <c r="H6" s="312"/>
      <c r="I6" s="313"/>
      <c r="J6" s="281"/>
      <c r="K6" s="282"/>
      <c r="L6" s="282"/>
      <c r="M6" s="283"/>
      <c r="N6" s="280" t="s">
        <v>213</v>
      </c>
      <c r="O6" s="312"/>
      <c r="P6" s="312"/>
      <c r="Q6" s="313"/>
      <c r="R6" s="278"/>
      <c r="S6" s="312"/>
      <c r="T6" s="312"/>
      <c r="U6" s="313"/>
      <c r="V6" s="91"/>
    </row>
    <row r="7" spans="1:22" ht="19.5" customHeight="1">
      <c r="A7" s="74"/>
      <c r="B7" s="272"/>
      <c r="C7" s="273"/>
      <c r="D7" s="273"/>
      <c r="E7" s="274"/>
      <c r="F7" s="373"/>
      <c r="G7" s="300"/>
      <c r="H7" s="300"/>
      <c r="I7" s="374"/>
      <c r="J7" s="284"/>
      <c r="K7" s="285"/>
      <c r="L7" s="285"/>
      <c r="M7" s="286"/>
      <c r="N7" s="373"/>
      <c r="O7" s="300"/>
      <c r="P7" s="300"/>
      <c r="Q7" s="374"/>
      <c r="R7" s="373"/>
      <c r="S7" s="300"/>
      <c r="T7" s="300"/>
      <c r="U7" s="374"/>
      <c r="V7" s="91"/>
    </row>
    <row r="8" spans="1:22" ht="19.5" customHeight="1">
      <c r="A8" s="74"/>
      <c r="B8" s="272"/>
      <c r="C8" s="273"/>
      <c r="D8" s="273"/>
      <c r="E8" s="274"/>
      <c r="F8" s="373"/>
      <c r="G8" s="300"/>
      <c r="H8" s="300"/>
      <c r="I8" s="374"/>
      <c r="J8" s="284"/>
      <c r="K8" s="285"/>
      <c r="L8" s="285"/>
      <c r="M8" s="286"/>
      <c r="N8" s="373"/>
      <c r="O8" s="300"/>
      <c r="P8" s="300"/>
      <c r="Q8" s="374"/>
      <c r="R8" s="373"/>
      <c r="S8" s="300"/>
      <c r="T8" s="300"/>
      <c r="U8" s="374"/>
      <c r="V8" s="91"/>
    </row>
    <row r="9" spans="1:22" ht="19.5" customHeight="1">
      <c r="A9" s="74"/>
      <c r="B9" s="272"/>
      <c r="C9" s="273"/>
      <c r="D9" s="273"/>
      <c r="E9" s="274"/>
      <c r="F9" s="373"/>
      <c r="G9" s="300"/>
      <c r="H9" s="300"/>
      <c r="I9" s="374"/>
      <c r="J9" s="284"/>
      <c r="K9" s="285"/>
      <c r="L9" s="285"/>
      <c r="M9" s="286"/>
      <c r="N9" s="373"/>
      <c r="O9" s="300"/>
      <c r="P9" s="300"/>
      <c r="Q9" s="374"/>
      <c r="R9" s="373"/>
      <c r="S9" s="300"/>
      <c r="T9" s="300"/>
      <c r="U9" s="374"/>
      <c r="V9" s="91"/>
    </row>
    <row r="10" spans="1:22" ht="19.5" customHeight="1">
      <c r="A10" s="74"/>
      <c r="B10" s="272"/>
      <c r="C10" s="273"/>
      <c r="D10" s="273"/>
      <c r="E10" s="274"/>
      <c r="F10" s="373"/>
      <c r="G10" s="300"/>
      <c r="H10" s="300"/>
      <c r="I10" s="374"/>
      <c r="J10" s="284"/>
      <c r="K10" s="285"/>
      <c r="L10" s="285"/>
      <c r="M10" s="286"/>
      <c r="N10" s="373"/>
      <c r="O10" s="300"/>
      <c r="P10" s="300"/>
      <c r="Q10" s="374"/>
      <c r="R10" s="373"/>
      <c r="S10" s="300"/>
      <c r="T10" s="300"/>
      <c r="U10" s="374"/>
      <c r="V10" s="91"/>
    </row>
    <row r="11" spans="1:22" ht="19.5" customHeight="1">
      <c r="A11" s="73"/>
      <c r="B11" s="272"/>
      <c r="C11" s="273"/>
      <c r="D11" s="273"/>
      <c r="E11" s="274"/>
      <c r="F11" s="373"/>
      <c r="G11" s="300"/>
      <c r="H11" s="300"/>
      <c r="I11" s="374"/>
      <c r="J11" s="284"/>
      <c r="K11" s="285"/>
      <c r="L11" s="285"/>
      <c r="M11" s="286"/>
      <c r="N11" s="373"/>
      <c r="O11" s="300"/>
      <c r="P11" s="300"/>
      <c r="Q11" s="374"/>
      <c r="R11" s="373"/>
      <c r="S11" s="300"/>
      <c r="T11" s="300"/>
      <c r="U11" s="374"/>
      <c r="V11" s="91"/>
    </row>
    <row r="12" spans="1:22" ht="19.5" customHeight="1">
      <c r="A12" s="73"/>
      <c r="B12" s="272"/>
      <c r="C12" s="273"/>
      <c r="D12" s="273"/>
      <c r="E12" s="274"/>
      <c r="F12" s="373"/>
      <c r="G12" s="300"/>
      <c r="H12" s="300"/>
      <c r="I12" s="374"/>
      <c r="J12" s="284"/>
      <c r="K12" s="285"/>
      <c r="L12" s="285"/>
      <c r="M12" s="286"/>
      <c r="N12" s="373"/>
      <c r="O12" s="300"/>
      <c r="P12" s="300"/>
      <c r="Q12" s="374"/>
      <c r="R12" s="373"/>
      <c r="S12" s="300"/>
      <c r="T12" s="300"/>
      <c r="U12" s="374"/>
      <c r="V12" s="91"/>
    </row>
    <row r="13" spans="1:22" ht="19.5" customHeight="1">
      <c r="A13" s="73"/>
      <c r="B13" s="272"/>
      <c r="C13" s="273"/>
      <c r="D13" s="273"/>
      <c r="E13" s="274"/>
      <c r="F13" s="373"/>
      <c r="G13" s="300"/>
      <c r="H13" s="300"/>
      <c r="I13" s="374"/>
      <c r="J13" s="284"/>
      <c r="K13" s="285"/>
      <c r="L13" s="285"/>
      <c r="M13" s="286"/>
      <c r="N13" s="373"/>
      <c r="O13" s="300"/>
      <c r="P13" s="300"/>
      <c r="Q13" s="374"/>
      <c r="R13" s="373"/>
      <c r="S13" s="300"/>
      <c r="T13" s="300"/>
      <c r="U13" s="374"/>
      <c r="V13" s="91"/>
    </row>
    <row r="14" spans="1:22" ht="19.5" customHeight="1">
      <c r="A14" s="73"/>
      <c r="B14" s="272"/>
      <c r="C14" s="273"/>
      <c r="D14" s="273"/>
      <c r="E14" s="274"/>
      <c r="F14" s="373"/>
      <c r="G14" s="300"/>
      <c r="H14" s="300"/>
      <c r="I14" s="374"/>
      <c r="J14" s="284"/>
      <c r="K14" s="285"/>
      <c r="L14" s="285"/>
      <c r="M14" s="286"/>
      <c r="N14" s="373"/>
      <c r="O14" s="300"/>
      <c r="P14" s="300"/>
      <c r="Q14" s="374"/>
      <c r="R14" s="373"/>
      <c r="S14" s="300"/>
      <c r="T14" s="300"/>
      <c r="U14" s="374"/>
      <c r="V14" s="91"/>
    </row>
    <row r="15" spans="1:22" ht="19.5" customHeight="1">
      <c r="A15" s="73"/>
      <c r="B15" s="272"/>
      <c r="C15" s="273"/>
      <c r="D15" s="273"/>
      <c r="E15" s="274"/>
      <c r="F15" s="314"/>
      <c r="G15" s="315"/>
      <c r="H15" s="315"/>
      <c r="I15" s="316"/>
      <c r="J15" s="284"/>
      <c r="K15" s="285"/>
      <c r="L15" s="285"/>
      <c r="M15" s="286"/>
      <c r="N15" s="314"/>
      <c r="O15" s="315"/>
      <c r="P15" s="315"/>
      <c r="Q15" s="316"/>
      <c r="R15" s="314"/>
      <c r="S15" s="315"/>
      <c r="T15" s="315"/>
      <c r="U15" s="316"/>
      <c r="V15" s="91"/>
    </row>
    <row r="16" spans="1:22" ht="19.5" customHeight="1">
      <c r="A16" s="73"/>
      <c r="B16" s="272"/>
      <c r="C16" s="273"/>
      <c r="D16" s="273"/>
      <c r="E16" s="274"/>
      <c r="F16" s="280" t="s">
        <v>213</v>
      </c>
      <c r="G16" s="312"/>
      <c r="H16" s="312"/>
      <c r="I16" s="313"/>
      <c r="J16" s="284"/>
      <c r="K16" s="285"/>
      <c r="L16" s="285"/>
      <c r="M16" s="286"/>
      <c r="N16" s="280" t="s">
        <v>213</v>
      </c>
      <c r="O16" s="312"/>
      <c r="P16" s="312"/>
      <c r="Q16" s="313"/>
      <c r="R16" s="278"/>
      <c r="S16" s="312"/>
      <c r="T16" s="312"/>
      <c r="U16" s="313"/>
      <c r="V16" s="91"/>
    </row>
    <row r="17" spans="1:22" ht="19.5" customHeight="1">
      <c r="A17" s="71"/>
      <c r="B17" s="272"/>
      <c r="C17" s="273"/>
      <c r="D17" s="273"/>
      <c r="E17" s="274"/>
      <c r="F17" s="373"/>
      <c r="G17" s="300"/>
      <c r="H17" s="300"/>
      <c r="I17" s="374"/>
      <c r="J17" s="284"/>
      <c r="K17" s="285"/>
      <c r="L17" s="285"/>
      <c r="M17" s="286"/>
      <c r="N17" s="373"/>
      <c r="O17" s="300"/>
      <c r="P17" s="300"/>
      <c r="Q17" s="374"/>
      <c r="R17" s="373"/>
      <c r="S17" s="300"/>
      <c r="T17" s="300"/>
      <c r="U17" s="374"/>
      <c r="V17" s="91"/>
    </row>
    <row r="18" spans="1:22" ht="19.5" customHeight="1">
      <c r="A18" s="71"/>
      <c r="B18" s="272"/>
      <c r="C18" s="273"/>
      <c r="D18" s="273"/>
      <c r="E18" s="274"/>
      <c r="F18" s="373"/>
      <c r="G18" s="300"/>
      <c r="H18" s="300"/>
      <c r="I18" s="374"/>
      <c r="J18" s="284"/>
      <c r="K18" s="285"/>
      <c r="L18" s="285"/>
      <c r="M18" s="286"/>
      <c r="N18" s="373"/>
      <c r="O18" s="300"/>
      <c r="P18" s="300"/>
      <c r="Q18" s="374"/>
      <c r="R18" s="373"/>
      <c r="S18" s="300"/>
      <c r="T18" s="300"/>
      <c r="U18" s="374"/>
      <c r="V18" s="91"/>
    </row>
    <row r="19" spans="1:22" ht="19.5" customHeight="1">
      <c r="A19" s="71"/>
      <c r="B19" s="272"/>
      <c r="C19" s="273"/>
      <c r="D19" s="273"/>
      <c r="E19" s="274"/>
      <c r="F19" s="373"/>
      <c r="G19" s="300"/>
      <c r="H19" s="300"/>
      <c r="I19" s="374"/>
      <c r="J19" s="284"/>
      <c r="K19" s="285"/>
      <c r="L19" s="285"/>
      <c r="M19" s="286"/>
      <c r="N19" s="373"/>
      <c r="O19" s="300"/>
      <c r="P19" s="300"/>
      <c r="Q19" s="374"/>
      <c r="R19" s="373"/>
      <c r="S19" s="300"/>
      <c r="T19" s="300"/>
      <c r="U19" s="374"/>
      <c r="V19" s="91"/>
    </row>
    <row r="20" spans="1:22" ht="19.5" customHeight="1">
      <c r="A20" s="72"/>
      <c r="B20" s="272"/>
      <c r="C20" s="273"/>
      <c r="D20" s="273"/>
      <c r="E20" s="274"/>
      <c r="F20" s="373"/>
      <c r="G20" s="300"/>
      <c r="H20" s="300"/>
      <c r="I20" s="374"/>
      <c r="J20" s="284"/>
      <c r="K20" s="285"/>
      <c r="L20" s="285"/>
      <c r="M20" s="286"/>
      <c r="N20" s="373"/>
      <c r="O20" s="300"/>
      <c r="P20" s="300"/>
      <c r="Q20" s="374"/>
      <c r="R20" s="373"/>
      <c r="S20" s="300"/>
      <c r="T20" s="300"/>
      <c r="U20" s="374"/>
      <c r="V20" s="91"/>
    </row>
    <row r="21" spans="1:22" ht="19.5" customHeight="1">
      <c r="A21" s="72"/>
      <c r="B21" s="272"/>
      <c r="C21" s="273"/>
      <c r="D21" s="273"/>
      <c r="E21" s="274"/>
      <c r="F21" s="373"/>
      <c r="G21" s="300"/>
      <c r="H21" s="300"/>
      <c r="I21" s="374"/>
      <c r="J21" s="284"/>
      <c r="K21" s="285"/>
      <c r="L21" s="285"/>
      <c r="M21" s="286"/>
      <c r="N21" s="373"/>
      <c r="O21" s="300"/>
      <c r="P21" s="300"/>
      <c r="Q21" s="374"/>
      <c r="R21" s="373"/>
      <c r="S21" s="300"/>
      <c r="T21" s="300"/>
      <c r="U21" s="374"/>
      <c r="V21" s="91"/>
    </row>
    <row r="22" spans="1:22" ht="19.5" customHeight="1">
      <c r="A22" s="74"/>
      <c r="B22" s="272"/>
      <c r="C22" s="273"/>
      <c r="D22" s="273"/>
      <c r="E22" s="274"/>
      <c r="F22" s="373"/>
      <c r="G22" s="300"/>
      <c r="H22" s="300"/>
      <c r="I22" s="374"/>
      <c r="J22" s="284"/>
      <c r="K22" s="285"/>
      <c r="L22" s="285"/>
      <c r="M22" s="286"/>
      <c r="N22" s="373"/>
      <c r="O22" s="300"/>
      <c r="P22" s="300"/>
      <c r="Q22" s="374"/>
      <c r="R22" s="373"/>
      <c r="S22" s="300"/>
      <c r="T22" s="300"/>
      <c r="U22" s="374"/>
      <c r="V22" s="91"/>
    </row>
    <row r="23" spans="1:22" ht="19.5" customHeight="1">
      <c r="A23" s="74"/>
      <c r="B23" s="272"/>
      <c r="C23" s="273"/>
      <c r="D23" s="273"/>
      <c r="E23" s="274"/>
      <c r="F23" s="373"/>
      <c r="G23" s="300"/>
      <c r="H23" s="300"/>
      <c r="I23" s="374"/>
      <c r="J23" s="284"/>
      <c r="K23" s="285"/>
      <c r="L23" s="285"/>
      <c r="M23" s="286"/>
      <c r="N23" s="373"/>
      <c r="O23" s="300"/>
      <c r="P23" s="300"/>
      <c r="Q23" s="374"/>
      <c r="R23" s="373"/>
      <c r="S23" s="300"/>
      <c r="T23" s="300"/>
      <c r="U23" s="374"/>
      <c r="V23" s="91"/>
    </row>
    <row r="24" spans="1:22" ht="19.5" customHeight="1">
      <c r="A24" s="74"/>
      <c r="B24" s="272"/>
      <c r="C24" s="273"/>
      <c r="D24" s="273"/>
      <c r="E24" s="274"/>
      <c r="F24" s="373"/>
      <c r="G24" s="300"/>
      <c r="H24" s="300"/>
      <c r="I24" s="374"/>
      <c r="J24" s="284"/>
      <c r="K24" s="285"/>
      <c r="L24" s="285"/>
      <c r="M24" s="286"/>
      <c r="N24" s="373"/>
      <c r="O24" s="300"/>
      <c r="P24" s="300"/>
      <c r="Q24" s="374"/>
      <c r="R24" s="373"/>
      <c r="S24" s="300"/>
      <c r="T24" s="300"/>
      <c r="U24" s="374"/>
      <c r="V24" s="91"/>
    </row>
    <row r="25" spans="1:22" ht="19.5" customHeight="1">
      <c r="A25" s="74"/>
      <c r="B25" s="275"/>
      <c r="C25" s="276"/>
      <c r="D25" s="276"/>
      <c r="E25" s="277"/>
      <c r="F25" s="314"/>
      <c r="G25" s="315"/>
      <c r="H25" s="315"/>
      <c r="I25" s="316"/>
      <c r="J25" s="287"/>
      <c r="K25" s="288"/>
      <c r="L25" s="288"/>
      <c r="M25" s="289"/>
      <c r="N25" s="314"/>
      <c r="O25" s="315"/>
      <c r="P25" s="315"/>
      <c r="Q25" s="316"/>
      <c r="R25" s="314"/>
      <c r="S25" s="315"/>
      <c r="T25" s="315"/>
      <c r="U25" s="316"/>
      <c r="V25" s="91"/>
    </row>
    <row r="26" spans="1:22" ht="19.5" customHeight="1">
      <c r="A26" s="74"/>
      <c r="B26" s="290"/>
      <c r="C26" s="312"/>
      <c r="D26" s="312"/>
      <c r="E26" s="313"/>
      <c r="F26" s="280" t="s">
        <v>213</v>
      </c>
      <c r="G26" s="312"/>
      <c r="H26" s="312"/>
      <c r="I26" s="313"/>
      <c r="J26" s="281"/>
      <c r="K26" s="282"/>
      <c r="L26" s="282"/>
      <c r="M26" s="283"/>
      <c r="N26" s="280" t="s">
        <v>213</v>
      </c>
      <c r="O26" s="312"/>
      <c r="P26" s="312"/>
      <c r="Q26" s="313"/>
      <c r="R26" s="278"/>
      <c r="S26" s="312"/>
      <c r="T26" s="312"/>
      <c r="U26" s="313"/>
      <c r="V26" s="91"/>
    </row>
    <row r="27" spans="1:22" ht="19.5" customHeight="1">
      <c r="A27" s="74"/>
      <c r="B27" s="373"/>
      <c r="C27" s="300"/>
      <c r="D27" s="300"/>
      <c r="E27" s="374"/>
      <c r="F27" s="373"/>
      <c r="G27" s="300"/>
      <c r="H27" s="300"/>
      <c r="I27" s="374"/>
      <c r="J27" s="284"/>
      <c r="K27" s="285"/>
      <c r="L27" s="285"/>
      <c r="M27" s="286"/>
      <c r="N27" s="373"/>
      <c r="O27" s="300"/>
      <c r="P27" s="300"/>
      <c r="Q27" s="374"/>
      <c r="R27" s="373"/>
      <c r="S27" s="300"/>
      <c r="T27" s="300"/>
      <c r="U27" s="374"/>
      <c r="V27" s="91"/>
    </row>
    <row r="28" spans="1:22" ht="19.5" customHeight="1">
      <c r="A28" s="74"/>
      <c r="B28" s="373"/>
      <c r="C28" s="300"/>
      <c r="D28" s="300"/>
      <c r="E28" s="374"/>
      <c r="F28" s="373"/>
      <c r="G28" s="300"/>
      <c r="H28" s="300"/>
      <c r="I28" s="374"/>
      <c r="J28" s="284"/>
      <c r="K28" s="285"/>
      <c r="L28" s="285"/>
      <c r="M28" s="286"/>
      <c r="N28" s="373"/>
      <c r="O28" s="300"/>
      <c r="P28" s="300"/>
      <c r="Q28" s="374"/>
      <c r="R28" s="373"/>
      <c r="S28" s="300"/>
      <c r="T28" s="300"/>
      <c r="U28" s="374"/>
      <c r="V28" s="91"/>
    </row>
    <row r="29" spans="1:22" ht="19.5" customHeight="1">
      <c r="A29" s="73"/>
      <c r="B29" s="373"/>
      <c r="C29" s="300"/>
      <c r="D29" s="300"/>
      <c r="E29" s="374"/>
      <c r="F29" s="373"/>
      <c r="G29" s="300"/>
      <c r="H29" s="300"/>
      <c r="I29" s="374"/>
      <c r="J29" s="284"/>
      <c r="K29" s="285"/>
      <c r="L29" s="285"/>
      <c r="M29" s="286"/>
      <c r="N29" s="373"/>
      <c r="O29" s="300"/>
      <c r="P29" s="300"/>
      <c r="Q29" s="374"/>
      <c r="R29" s="373"/>
      <c r="S29" s="300"/>
      <c r="T29" s="300"/>
      <c r="U29" s="374"/>
      <c r="V29" s="91"/>
    </row>
    <row r="30" spans="1:22" ht="19.5" customHeight="1">
      <c r="A30" s="73"/>
      <c r="B30" s="373"/>
      <c r="C30" s="300"/>
      <c r="D30" s="300"/>
      <c r="E30" s="374"/>
      <c r="F30" s="373"/>
      <c r="G30" s="300"/>
      <c r="H30" s="300"/>
      <c r="I30" s="374"/>
      <c r="J30" s="284"/>
      <c r="K30" s="285"/>
      <c r="L30" s="285"/>
      <c r="M30" s="286"/>
      <c r="N30" s="373"/>
      <c r="O30" s="300"/>
      <c r="P30" s="300"/>
      <c r="Q30" s="374"/>
      <c r="R30" s="373"/>
      <c r="S30" s="300"/>
      <c r="T30" s="300"/>
      <c r="U30" s="374"/>
      <c r="V30" s="91"/>
    </row>
    <row r="31" spans="1:22" ht="19.5" customHeight="1">
      <c r="A31" s="73"/>
      <c r="B31" s="373"/>
      <c r="C31" s="300"/>
      <c r="D31" s="300"/>
      <c r="E31" s="374"/>
      <c r="F31" s="373"/>
      <c r="G31" s="300"/>
      <c r="H31" s="300"/>
      <c r="I31" s="374"/>
      <c r="J31" s="284"/>
      <c r="K31" s="285"/>
      <c r="L31" s="285"/>
      <c r="M31" s="286"/>
      <c r="N31" s="373"/>
      <c r="O31" s="300"/>
      <c r="P31" s="300"/>
      <c r="Q31" s="374"/>
      <c r="R31" s="373"/>
      <c r="S31" s="300"/>
      <c r="T31" s="300"/>
      <c r="U31" s="374"/>
      <c r="V31" s="91"/>
    </row>
    <row r="32" spans="1:22" ht="19.5" customHeight="1">
      <c r="A32" s="73"/>
      <c r="B32" s="373"/>
      <c r="C32" s="300"/>
      <c r="D32" s="300"/>
      <c r="E32" s="374"/>
      <c r="F32" s="373"/>
      <c r="G32" s="300"/>
      <c r="H32" s="300"/>
      <c r="I32" s="374"/>
      <c r="J32" s="284"/>
      <c r="K32" s="285"/>
      <c r="L32" s="285"/>
      <c r="M32" s="286"/>
      <c r="N32" s="373"/>
      <c r="O32" s="300"/>
      <c r="P32" s="300"/>
      <c r="Q32" s="374"/>
      <c r="R32" s="373"/>
      <c r="S32" s="300"/>
      <c r="T32" s="300"/>
      <c r="U32" s="374"/>
      <c r="V32" s="91"/>
    </row>
    <row r="33" spans="1:22" ht="19.5" customHeight="1">
      <c r="A33" s="73"/>
      <c r="B33" s="373"/>
      <c r="C33" s="300"/>
      <c r="D33" s="300"/>
      <c r="E33" s="374"/>
      <c r="F33" s="373"/>
      <c r="G33" s="300"/>
      <c r="H33" s="300"/>
      <c r="I33" s="374"/>
      <c r="J33" s="284"/>
      <c r="K33" s="285"/>
      <c r="L33" s="285"/>
      <c r="M33" s="286"/>
      <c r="N33" s="373"/>
      <c r="O33" s="300"/>
      <c r="P33" s="300"/>
      <c r="Q33" s="374"/>
      <c r="R33" s="373"/>
      <c r="S33" s="300"/>
      <c r="T33" s="300"/>
      <c r="U33" s="374"/>
      <c r="V33" s="91"/>
    </row>
    <row r="34" spans="1:22" ht="19.5" customHeight="1">
      <c r="A34" s="73"/>
      <c r="B34" s="373"/>
      <c r="C34" s="300"/>
      <c r="D34" s="300"/>
      <c r="E34" s="374"/>
      <c r="F34" s="373"/>
      <c r="G34" s="300"/>
      <c r="H34" s="300"/>
      <c r="I34" s="374"/>
      <c r="J34" s="284"/>
      <c r="K34" s="285"/>
      <c r="L34" s="285"/>
      <c r="M34" s="286"/>
      <c r="N34" s="373"/>
      <c r="O34" s="300"/>
      <c r="P34" s="300"/>
      <c r="Q34" s="374"/>
      <c r="R34" s="373"/>
      <c r="S34" s="300"/>
      <c r="T34" s="300"/>
      <c r="U34" s="374"/>
      <c r="V34" s="91"/>
    </row>
    <row r="35" spans="1:22" ht="19.5" customHeight="1">
      <c r="A35" s="71"/>
      <c r="B35" s="314"/>
      <c r="C35" s="315"/>
      <c r="D35" s="315"/>
      <c r="E35" s="316"/>
      <c r="F35" s="314"/>
      <c r="G35" s="315"/>
      <c r="H35" s="315"/>
      <c r="I35" s="316"/>
      <c r="J35" s="284"/>
      <c r="K35" s="285"/>
      <c r="L35" s="285"/>
      <c r="M35" s="286"/>
      <c r="N35" s="314"/>
      <c r="O35" s="315"/>
      <c r="P35" s="315"/>
      <c r="Q35" s="316"/>
      <c r="R35" s="314"/>
      <c r="S35" s="315"/>
      <c r="T35" s="315"/>
      <c r="U35" s="316"/>
      <c r="V35" s="91"/>
    </row>
    <row r="36" spans="1:22" ht="19.5" customHeight="1">
      <c r="A36" s="71"/>
      <c r="B36" s="290"/>
      <c r="C36" s="312"/>
      <c r="D36" s="312"/>
      <c r="E36" s="313"/>
      <c r="F36" s="280" t="s">
        <v>213</v>
      </c>
      <c r="G36" s="312"/>
      <c r="H36" s="312"/>
      <c r="I36" s="313"/>
      <c r="J36" s="278"/>
      <c r="K36" s="312"/>
      <c r="L36" s="312"/>
      <c r="M36" s="313"/>
      <c r="N36" s="280" t="s">
        <v>213</v>
      </c>
      <c r="O36" s="312"/>
      <c r="P36" s="312"/>
      <c r="Q36" s="313"/>
      <c r="R36" s="278"/>
      <c r="S36" s="312"/>
      <c r="T36" s="312"/>
      <c r="U36" s="313"/>
      <c r="V36" s="91"/>
    </row>
    <row r="37" spans="1:22" ht="19.5" customHeight="1">
      <c r="A37" s="71"/>
      <c r="B37" s="373"/>
      <c r="C37" s="300"/>
      <c r="D37" s="300"/>
      <c r="E37" s="374"/>
      <c r="F37" s="373"/>
      <c r="G37" s="300"/>
      <c r="H37" s="300"/>
      <c r="I37" s="374"/>
      <c r="J37" s="373"/>
      <c r="K37" s="300"/>
      <c r="L37" s="300"/>
      <c r="M37" s="374"/>
      <c r="N37" s="373"/>
      <c r="O37" s="300"/>
      <c r="P37" s="300"/>
      <c r="Q37" s="374"/>
      <c r="R37" s="373"/>
      <c r="S37" s="300"/>
      <c r="T37" s="300"/>
      <c r="U37" s="374"/>
      <c r="V37" s="91"/>
    </row>
    <row r="38" spans="1:22" ht="19.5" customHeight="1">
      <c r="A38" s="72"/>
      <c r="B38" s="373"/>
      <c r="C38" s="300"/>
      <c r="D38" s="300"/>
      <c r="E38" s="374"/>
      <c r="F38" s="373"/>
      <c r="G38" s="300"/>
      <c r="H38" s="300"/>
      <c r="I38" s="374"/>
      <c r="J38" s="373"/>
      <c r="K38" s="300"/>
      <c r="L38" s="300"/>
      <c r="M38" s="374"/>
      <c r="N38" s="373"/>
      <c r="O38" s="300"/>
      <c r="P38" s="300"/>
      <c r="Q38" s="374"/>
      <c r="R38" s="373"/>
      <c r="S38" s="300"/>
      <c r="T38" s="300"/>
      <c r="U38" s="374"/>
      <c r="V38" s="91"/>
    </row>
    <row r="39" spans="1:22" ht="19.5" customHeight="1">
      <c r="A39" s="72"/>
      <c r="B39" s="373"/>
      <c r="C39" s="300"/>
      <c r="D39" s="300"/>
      <c r="E39" s="374"/>
      <c r="F39" s="373"/>
      <c r="G39" s="300"/>
      <c r="H39" s="300"/>
      <c r="I39" s="374"/>
      <c r="J39" s="373"/>
      <c r="K39" s="300"/>
      <c r="L39" s="300"/>
      <c r="M39" s="374"/>
      <c r="N39" s="373"/>
      <c r="O39" s="300"/>
      <c r="P39" s="300"/>
      <c r="Q39" s="374"/>
      <c r="R39" s="373"/>
      <c r="S39" s="300"/>
      <c r="T39" s="300"/>
      <c r="U39" s="374"/>
      <c r="V39" s="91"/>
    </row>
    <row r="40" spans="1:22" ht="19.5" customHeight="1">
      <c r="A40" s="74"/>
      <c r="B40" s="373"/>
      <c r="C40" s="300"/>
      <c r="D40" s="300"/>
      <c r="E40" s="374"/>
      <c r="F40" s="373"/>
      <c r="G40" s="300"/>
      <c r="H40" s="300"/>
      <c r="I40" s="374"/>
      <c r="J40" s="373"/>
      <c r="K40" s="300"/>
      <c r="L40" s="300"/>
      <c r="M40" s="374"/>
      <c r="N40" s="373"/>
      <c r="O40" s="300"/>
      <c r="P40" s="300"/>
      <c r="Q40" s="374"/>
      <c r="R40" s="373"/>
      <c r="S40" s="300"/>
      <c r="T40" s="300"/>
      <c r="U40" s="374"/>
      <c r="V40" s="91"/>
    </row>
    <row r="41" spans="1:22" ht="19.5" customHeight="1">
      <c r="A41" s="74"/>
      <c r="B41" s="373"/>
      <c r="C41" s="300"/>
      <c r="D41" s="300"/>
      <c r="E41" s="374"/>
      <c r="F41" s="373"/>
      <c r="G41" s="300"/>
      <c r="H41" s="300"/>
      <c r="I41" s="374"/>
      <c r="J41" s="373"/>
      <c r="K41" s="300"/>
      <c r="L41" s="300"/>
      <c r="M41" s="374"/>
      <c r="N41" s="373"/>
      <c r="O41" s="300"/>
      <c r="P41" s="300"/>
      <c r="Q41" s="374"/>
      <c r="R41" s="373"/>
      <c r="S41" s="300"/>
      <c r="T41" s="300"/>
      <c r="U41" s="374"/>
      <c r="V41" s="91"/>
    </row>
    <row r="42" spans="1:22" ht="19.5" customHeight="1">
      <c r="A42" s="74"/>
      <c r="B42" s="373"/>
      <c r="C42" s="300"/>
      <c r="D42" s="300"/>
      <c r="E42" s="374"/>
      <c r="F42" s="373"/>
      <c r="G42" s="300"/>
      <c r="H42" s="300"/>
      <c r="I42" s="374"/>
      <c r="J42" s="373"/>
      <c r="K42" s="300"/>
      <c r="L42" s="300"/>
      <c r="M42" s="374"/>
      <c r="N42" s="373"/>
      <c r="O42" s="300"/>
      <c r="P42" s="300"/>
      <c r="Q42" s="374"/>
      <c r="R42" s="373"/>
      <c r="S42" s="300"/>
      <c r="T42" s="300"/>
      <c r="U42" s="374"/>
      <c r="V42" s="91"/>
    </row>
    <row r="43" spans="1:22" ht="19.5" customHeight="1">
      <c r="A43" s="74"/>
      <c r="B43" s="373"/>
      <c r="C43" s="300"/>
      <c r="D43" s="300"/>
      <c r="E43" s="374"/>
      <c r="F43" s="373"/>
      <c r="G43" s="300"/>
      <c r="H43" s="300"/>
      <c r="I43" s="374"/>
      <c r="J43" s="373"/>
      <c r="K43" s="300"/>
      <c r="L43" s="300"/>
      <c r="M43" s="374"/>
      <c r="N43" s="373"/>
      <c r="O43" s="300"/>
      <c r="P43" s="300"/>
      <c r="Q43" s="374"/>
      <c r="R43" s="373"/>
      <c r="S43" s="300"/>
      <c r="T43" s="300"/>
      <c r="U43" s="374"/>
      <c r="V43" s="91"/>
    </row>
    <row r="44" spans="1:22" ht="19.5" customHeight="1">
      <c r="A44" s="74"/>
      <c r="B44" s="373"/>
      <c r="C44" s="300"/>
      <c r="D44" s="300"/>
      <c r="E44" s="374"/>
      <c r="F44" s="373"/>
      <c r="G44" s="300"/>
      <c r="H44" s="300"/>
      <c r="I44" s="374"/>
      <c r="J44" s="373"/>
      <c r="K44" s="300"/>
      <c r="L44" s="300"/>
      <c r="M44" s="374"/>
      <c r="N44" s="373"/>
      <c r="O44" s="300"/>
      <c r="P44" s="300"/>
      <c r="Q44" s="374"/>
      <c r="R44" s="373"/>
      <c r="S44" s="300"/>
      <c r="T44" s="300"/>
      <c r="U44" s="374"/>
      <c r="V44" s="91"/>
    </row>
    <row r="45" spans="1:22" ht="19.5" customHeight="1">
      <c r="A45" s="74"/>
      <c r="B45" s="314"/>
      <c r="C45" s="315"/>
      <c r="D45" s="315"/>
      <c r="E45" s="316"/>
      <c r="F45" s="314"/>
      <c r="G45" s="315"/>
      <c r="H45" s="315"/>
      <c r="I45" s="316"/>
      <c r="J45" s="314"/>
      <c r="K45" s="315"/>
      <c r="L45" s="315"/>
      <c r="M45" s="316"/>
      <c r="N45" s="314"/>
      <c r="O45" s="315"/>
      <c r="P45" s="315"/>
      <c r="Q45" s="316"/>
      <c r="R45" s="314"/>
      <c r="S45" s="315"/>
      <c r="T45" s="315"/>
      <c r="U45" s="316"/>
      <c r="V45" s="91"/>
    </row>
    <row r="46" spans="1:22" ht="19.5" customHeight="1">
      <c r="A46" s="74"/>
      <c r="B46" s="290"/>
      <c r="C46" s="312"/>
      <c r="D46" s="312"/>
      <c r="E46" s="313"/>
      <c r="F46" s="280" t="s">
        <v>213</v>
      </c>
      <c r="G46" s="312"/>
      <c r="H46" s="312"/>
      <c r="I46" s="313"/>
      <c r="J46" s="278"/>
      <c r="K46" s="312"/>
      <c r="L46" s="312"/>
      <c r="M46" s="313"/>
      <c r="N46" s="280" t="s">
        <v>213</v>
      </c>
      <c r="O46" s="312"/>
      <c r="P46" s="312"/>
      <c r="Q46" s="313"/>
      <c r="R46" s="278"/>
      <c r="S46" s="312"/>
      <c r="T46" s="312"/>
      <c r="U46" s="313"/>
      <c r="V46" s="91"/>
    </row>
    <row r="47" spans="1:22" ht="19.5" customHeight="1">
      <c r="A47" s="73"/>
      <c r="B47" s="373"/>
      <c r="C47" s="300"/>
      <c r="D47" s="300"/>
      <c r="E47" s="374"/>
      <c r="F47" s="373"/>
      <c r="G47" s="300"/>
      <c r="H47" s="300"/>
      <c r="I47" s="374"/>
      <c r="J47" s="373"/>
      <c r="K47" s="300"/>
      <c r="L47" s="300"/>
      <c r="M47" s="374"/>
      <c r="N47" s="373"/>
      <c r="O47" s="300"/>
      <c r="P47" s="300"/>
      <c r="Q47" s="374"/>
      <c r="R47" s="373"/>
      <c r="S47" s="300"/>
      <c r="T47" s="300"/>
      <c r="U47" s="374"/>
      <c r="V47" s="91"/>
    </row>
    <row r="48" spans="1:22" ht="19.5" customHeight="1">
      <c r="A48" s="73"/>
      <c r="B48" s="373"/>
      <c r="C48" s="300"/>
      <c r="D48" s="300"/>
      <c r="E48" s="374"/>
      <c r="F48" s="373"/>
      <c r="G48" s="300"/>
      <c r="H48" s="300"/>
      <c r="I48" s="374"/>
      <c r="J48" s="373"/>
      <c r="K48" s="300"/>
      <c r="L48" s="300"/>
      <c r="M48" s="374"/>
      <c r="N48" s="373"/>
      <c r="O48" s="300"/>
      <c r="P48" s="300"/>
      <c r="Q48" s="374"/>
      <c r="R48" s="373"/>
      <c r="S48" s="300"/>
      <c r="T48" s="300"/>
      <c r="U48" s="374"/>
      <c r="V48" s="91"/>
    </row>
    <row r="49" spans="1:22" ht="19.5" customHeight="1">
      <c r="A49" s="73"/>
      <c r="B49" s="373"/>
      <c r="C49" s="300"/>
      <c r="D49" s="300"/>
      <c r="E49" s="374"/>
      <c r="F49" s="373"/>
      <c r="G49" s="300"/>
      <c r="H49" s="300"/>
      <c r="I49" s="374"/>
      <c r="J49" s="373"/>
      <c r="K49" s="300"/>
      <c r="L49" s="300"/>
      <c r="M49" s="374"/>
      <c r="N49" s="373"/>
      <c r="O49" s="300"/>
      <c r="P49" s="300"/>
      <c r="Q49" s="374"/>
      <c r="R49" s="373"/>
      <c r="S49" s="300"/>
      <c r="T49" s="300"/>
      <c r="U49" s="374"/>
      <c r="V49" s="91"/>
    </row>
    <row r="50" spans="1:22" ht="19.5" customHeight="1">
      <c r="A50" s="73"/>
      <c r="B50" s="373"/>
      <c r="C50" s="300"/>
      <c r="D50" s="300"/>
      <c r="E50" s="374"/>
      <c r="F50" s="373"/>
      <c r="G50" s="300"/>
      <c r="H50" s="300"/>
      <c r="I50" s="374"/>
      <c r="J50" s="373"/>
      <c r="K50" s="300"/>
      <c r="L50" s="300"/>
      <c r="M50" s="374"/>
      <c r="N50" s="373"/>
      <c r="O50" s="300"/>
      <c r="P50" s="300"/>
      <c r="Q50" s="374"/>
      <c r="R50" s="373"/>
      <c r="S50" s="300"/>
      <c r="T50" s="300"/>
      <c r="U50" s="374"/>
      <c r="V50" s="91"/>
    </row>
    <row r="51" spans="1:22" ht="19.5" customHeight="1">
      <c r="A51" s="73"/>
      <c r="B51" s="373"/>
      <c r="C51" s="300"/>
      <c r="D51" s="300"/>
      <c r="E51" s="374"/>
      <c r="F51" s="373"/>
      <c r="G51" s="300"/>
      <c r="H51" s="300"/>
      <c r="I51" s="374"/>
      <c r="J51" s="373"/>
      <c r="K51" s="300"/>
      <c r="L51" s="300"/>
      <c r="M51" s="374"/>
      <c r="N51" s="373"/>
      <c r="O51" s="300"/>
      <c r="P51" s="300"/>
      <c r="Q51" s="374"/>
      <c r="R51" s="373"/>
      <c r="S51" s="300"/>
      <c r="T51" s="300"/>
      <c r="U51" s="374"/>
      <c r="V51" s="91"/>
    </row>
    <row r="52" spans="1:22" ht="19.5" customHeight="1">
      <c r="A52" s="73"/>
      <c r="B52" s="373"/>
      <c r="C52" s="300"/>
      <c r="D52" s="300"/>
      <c r="E52" s="374"/>
      <c r="F52" s="373"/>
      <c r="G52" s="300"/>
      <c r="H52" s="300"/>
      <c r="I52" s="374"/>
      <c r="J52" s="373"/>
      <c r="K52" s="300"/>
      <c r="L52" s="300"/>
      <c r="M52" s="374"/>
      <c r="N52" s="373"/>
      <c r="O52" s="300"/>
      <c r="P52" s="300"/>
      <c r="Q52" s="374"/>
      <c r="R52" s="373"/>
      <c r="S52" s="300"/>
      <c r="T52" s="300"/>
      <c r="U52" s="374"/>
      <c r="V52" s="91"/>
    </row>
    <row r="53" spans="1:22" ht="19.5" customHeight="1">
      <c r="A53" s="71"/>
      <c r="B53" s="373"/>
      <c r="C53" s="300"/>
      <c r="D53" s="300"/>
      <c r="E53" s="374"/>
      <c r="F53" s="373"/>
      <c r="G53" s="300"/>
      <c r="H53" s="300"/>
      <c r="I53" s="374"/>
      <c r="J53" s="373"/>
      <c r="K53" s="300"/>
      <c r="L53" s="300"/>
      <c r="M53" s="374"/>
      <c r="N53" s="373"/>
      <c r="O53" s="300"/>
      <c r="P53" s="300"/>
      <c r="Q53" s="374"/>
      <c r="R53" s="373"/>
      <c r="S53" s="300"/>
      <c r="T53" s="300"/>
      <c r="U53" s="374"/>
      <c r="V53" s="91"/>
    </row>
    <row r="54" spans="1:22" ht="19.5" customHeight="1">
      <c r="A54" s="71"/>
      <c r="B54" s="373"/>
      <c r="C54" s="300"/>
      <c r="D54" s="300"/>
      <c r="E54" s="374"/>
      <c r="F54" s="373"/>
      <c r="G54" s="300"/>
      <c r="H54" s="300"/>
      <c r="I54" s="374"/>
      <c r="J54" s="373"/>
      <c r="K54" s="300"/>
      <c r="L54" s="300"/>
      <c r="M54" s="374"/>
      <c r="N54" s="373"/>
      <c r="O54" s="300"/>
      <c r="P54" s="300"/>
      <c r="Q54" s="374"/>
      <c r="R54" s="373"/>
      <c r="S54" s="300"/>
      <c r="T54" s="300"/>
      <c r="U54" s="374"/>
      <c r="V54" s="91"/>
    </row>
    <row r="55" spans="1:22" ht="19.5" customHeight="1">
      <c r="A55" s="71"/>
      <c r="B55" s="314"/>
      <c r="C55" s="315"/>
      <c r="D55" s="315"/>
      <c r="E55" s="316"/>
      <c r="F55" s="314"/>
      <c r="G55" s="315"/>
      <c r="H55" s="315"/>
      <c r="I55" s="316"/>
      <c r="J55" s="314"/>
      <c r="K55" s="315"/>
      <c r="L55" s="315"/>
      <c r="M55" s="316"/>
      <c r="N55" s="314"/>
      <c r="O55" s="315"/>
      <c r="P55" s="315"/>
      <c r="Q55" s="316"/>
      <c r="R55" s="314"/>
      <c r="S55" s="315"/>
      <c r="T55" s="315"/>
      <c r="U55" s="316"/>
      <c r="V55" s="91"/>
    </row>
    <row r="56" spans="1:22" ht="19.5" customHeight="1">
      <c r="A56" s="72"/>
      <c r="B56" s="290"/>
      <c r="C56" s="312"/>
      <c r="D56" s="312"/>
      <c r="E56" s="313"/>
      <c r="F56" s="280" t="s">
        <v>213</v>
      </c>
      <c r="G56" s="312"/>
      <c r="H56" s="312"/>
      <c r="I56" s="313"/>
      <c r="J56" s="278"/>
      <c r="K56" s="312"/>
      <c r="L56" s="312"/>
      <c r="M56" s="313"/>
      <c r="N56" s="280" t="s">
        <v>213</v>
      </c>
      <c r="O56" s="312"/>
      <c r="P56" s="312"/>
      <c r="Q56" s="313"/>
      <c r="R56" s="278"/>
      <c r="S56" s="312"/>
      <c r="T56" s="312"/>
      <c r="U56" s="313"/>
      <c r="V56" s="91"/>
    </row>
    <row r="57" spans="1:22" ht="19.5" customHeight="1">
      <c r="A57" s="72"/>
      <c r="B57" s="373"/>
      <c r="C57" s="300"/>
      <c r="D57" s="300"/>
      <c r="E57" s="374"/>
      <c r="F57" s="373"/>
      <c r="G57" s="300"/>
      <c r="H57" s="300"/>
      <c r="I57" s="374"/>
      <c r="J57" s="373"/>
      <c r="K57" s="300"/>
      <c r="L57" s="300"/>
      <c r="M57" s="374"/>
      <c r="N57" s="373"/>
      <c r="O57" s="300"/>
      <c r="P57" s="300"/>
      <c r="Q57" s="374"/>
      <c r="R57" s="373"/>
      <c r="S57" s="300"/>
      <c r="T57" s="300"/>
      <c r="U57" s="374"/>
      <c r="V57" s="91"/>
    </row>
    <row r="58" spans="1:22" ht="19.5" customHeight="1">
      <c r="A58" s="74"/>
      <c r="B58" s="373"/>
      <c r="C58" s="300"/>
      <c r="D58" s="300"/>
      <c r="E58" s="374"/>
      <c r="F58" s="373"/>
      <c r="G58" s="300"/>
      <c r="H58" s="300"/>
      <c r="I58" s="374"/>
      <c r="J58" s="373"/>
      <c r="K58" s="300"/>
      <c r="L58" s="300"/>
      <c r="M58" s="374"/>
      <c r="N58" s="373"/>
      <c r="O58" s="300"/>
      <c r="P58" s="300"/>
      <c r="Q58" s="374"/>
      <c r="R58" s="373"/>
      <c r="S58" s="300"/>
      <c r="T58" s="300"/>
      <c r="U58" s="374"/>
      <c r="V58" s="91"/>
    </row>
    <row r="59" spans="1:22" ht="19.5" customHeight="1">
      <c r="A59" s="74"/>
      <c r="B59" s="373"/>
      <c r="C59" s="300"/>
      <c r="D59" s="300"/>
      <c r="E59" s="374"/>
      <c r="F59" s="373"/>
      <c r="G59" s="300"/>
      <c r="H59" s="300"/>
      <c r="I59" s="374"/>
      <c r="J59" s="373"/>
      <c r="K59" s="300"/>
      <c r="L59" s="300"/>
      <c r="M59" s="374"/>
      <c r="N59" s="373"/>
      <c r="O59" s="300"/>
      <c r="P59" s="300"/>
      <c r="Q59" s="374"/>
      <c r="R59" s="373"/>
      <c r="S59" s="300"/>
      <c r="T59" s="300"/>
      <c r="U59" s="374"/>
      <c r="V59" s="91"/>
    </row>
    <row r="60" spans="1:22" ht="19.5" customHeight="1">
      <c r="A60" s="74"/>
      <c r="B60" s="373"/>
      <c r="C60" s="300"/>
      <c r="D60" s="300"/>
      <c r="E60" s="374"/>
      <c r="F60" s="373"/>
      <c r="G60" s="300"/>
      <c r="H60" s="300"/>
      <c r="I60" s="374"/>
      <c r="J60" s="373"/>
      <c r="K60" s="300"/>
      <c r="L60" s="300"/>
      <c r="M60" s="374"/>
      <c r="N60" s="373"/>
      <c r="O60" s="300"/>
      <c r="P60" s="300"/>
      <c r="Q60" s="374"/>
      <c r="R60" s="373"/>
      <c r="S60" s="300"/>
      <c r="T60" s="300"/>
      <c r="U60" s="374"/>
      <c r="V60" s="91"/>
    </row>
    <row r="61" spans="1:22" ht="19.5" customHeight="1">
      <c r="A61" s="74"/>
      <c r="B61" s="373"/>
      <c r="C61" s="300"/>
      <c r="D61" s="300"/>
      <c r="E61" s="374"/>
      <c r="F61" s="373"/>
      <c r="G61" s="300"/>
      <c r="H61" s="300"/>
      <c r="I61" s="374"/>
      <c r="J61" s="373"/>
      <c r="K61" s="300"/>
      <c r="L61" s="300"/>
      <c r="M61" s="374"/>
      <c r="N61" s="373"/>
      <c r="O61" s="300"/>
      <c r="P61" s="300"/>
      <c r="Q61" s="374"/>
      <c r="R61" s="373"/>
      <c r="S61" s="300"/>
      <c r="T61" s="300"/>
      <c r="U61" s="374"/>
      <c r="V61" s="91"/>
    </row>
    <row r="62" spans="1:22" ht="19.5" customHeight="1">
      <c r="A62" s="74"/>
      <c r="B62" s="373"/>
      <c r="C62" s="300"/>
      <c r="D62" s="300"/>
      <c r="E62" s="374"/>
      <c r="F62" s="373"/>
      <c r="G62" s="300"/>
      <c r="H62" s="300"/>
      <c r="I62" s="374"/>
      <c r="J62" s="373"/>
      <c r="K62" s="300"/>
      <c r="L62" s="300"/>
      <c r="M62" s="374"/>
      <c r="N62" s="373"/>
      <c r="O62" s="300"/>
      <c r="P62" s="300"/>
      <c r="Q62" s="374"/>
      <c r="R62" s="373"/>
      <c r="S62" s="300"/>
      <c r="T62" s="300"/>
      <c r="U62" s="374"/>
      <c r="V62" s="91"/>
    </row>
    <row r="63" spans="1:22" ht="19.5" customHeight="1">
      <c r="A63" s="74"/>
      <c r="B63" s="373"/>
      <c r="C63" s="300"/>
      <c r="D63" s="300"/>
      <c r="E63" s="374"/>
      <c r="F63" s="373"/>
      <c r="G63" s="300"/>
      <c r="H63" s="300"/>
      <c r="I63" s="374"/>
      <c r="J63" s="373"/>
      <c r="K63" s="300"/>
      <c r="L63" s="300"/>
      <c r="M63" s="374"/>
      <c r="N63" s="373"/>
      <c r="O63" s="300"/>
      <c r="P63" s="300"/>
      <c r="Q63" s="374"/>
      <c r="R63" s="373"/>
      <c r="S63" s="300"/>
      <c r="T63" s="300"/>
      <c r="U63" s="374"/>
      <c r="V63" s="91"/>
    </row>
    <row r="64" spans="1:22" ht="19.5" customHeight="1">
      <c r="A64" s="74"/>
      <c r="B64" s="373"/>
      <c r="C64" s="300"/>
      <c r="D64" s="300"/>
      <c r="E64" s="374"/>
      <c r="F64" s="373"/>
      <c r="G64" s="300"/>
      <c r="H64" s="300"/>
      <c r="I64" s="374"/>
      <c r="J64" s="373"/>
      <c r="K64" s="300"/>
      <c r="L64" s="300"/>
      <c r="M64" s="374"/>
      <c r="N64" s="373"/>
      <c r="O64" s="300"/>
      <c r="P64" s="300"/>
      <c r="Q64" s="374"/>
      <c r="R64" s="373"/>
      <c r="S64" s="300"/>
      <c r="T64" s="300"/>
      <c r="U64" s="374"/>
      <c r="V64" s="91"/>
    </row>
    <row r="65" spans="1:22" ht="19.5" customHeight="1">
      <c r="A65" s="73"/>
      <c r="B65" s="314"/>
      <c r="C65" s="315"/>
      <c r="D65" s="315"/>
      <c r="E65" s="316"/>
      <c r="F65" s="314"/>
      <c r="G65" s="315"/>
      <c r="H65" s="315"/>
      <c r="I65" s="316"/>
      <c r="J65" s="314"/>
      <c r="K65" s="315"/>
      <c r="L65" s="315"/>
      <c r="M65" s="316"/>
      <c r="N65" s="314"/>
      <c r="O65" s="315"/>
      <c r="P65" s="315"/>
      <c r="Q65" s="316"/>
      <c r="R65" s="314"/>
      <c r="S65" s="315"/>
      <c r="T65" s="315"/>
      <c r="U65" s="316"/>
      <c r="V65" s="91"/>
    </row>
    <row r="66" spans="1:22" ht="19.5" customHeight="1">
      <c r="A66" s="73"/>
      <c r="B66" s="290"/>
      <c r="C66" s="312"/>
      <c r="D66" s="312"/>
      <c r="E66" s="313"/>
      <c r="F66" s="280" t="s">
        <v>213</v>
      </c>
      <c r="G66" s="312"/>
      <c r="H66" s="312"/>
      <c r="I66" s="313"/>
      <c r="J66" s="278"/>
      <c r="K66" s="312"/>
      <c r="L66" s="312"/>
      <c r="M66" s="313"/>
      <c r="N66" s="280" t="s">
        <v>213</v>
      </c>
      <c r="O66" s="312"/>
      <c r="P66" s="312"/>
      <c r="Q66" s="313"/>
      <c r="R66" s="278"/>
      <c r="S66" s="312"/>
      <c r="T66" s="312"/>
      <c r="U66" s="313"/>
      <c r="V66" s="91"/>
    </row>
    <row r="67" spans="1:22" ht="19.5" customHeight="1">
      <c r="A67" s="73"/>
      <c r="B67" s="373"/>
      <c r="C67" s="300"/>
      <c r="D67" s="300"/>
      <c r="E67" s="374"/>
      <c r="F67" s="373"/>
      <c r="G67" s="300"/>
      <c r="H67" s="300"/>
      <c r="I67" s="374"/>
      <c r="J67" s="373"/>
      <c r="K67" s="300"/>
      <c r="L67" s="300"/>
      <c r="M67" s="374"/>
      <c r="N67" s="373"/>
      <c r="O67" s="300"/>
      <c r="P67" s="300"/>
      <c r="Q67" s="374"/>
      <c r="R67" s="373"/>
      <c r="S67" s="300"/>
      <c r="T67" s="300"/>
      <c r="U67" s="374"/>
      <c r="V67" s="91"/>
    </row>
    <row r="68" spans="1:22" ht="19.5" customHeight="1">
      <c r="A68" s="73"/>
      <c r="B68" s="373"/>
      <c r="C68" s="300"/>
      <c r="D68" s="300"/>
      <c r="E68" s="374"/>
      <c r="F68" s="373"/>
      <c r="G68" s="300"/>
      <c r="H68" s="300"/>
      <c r="I68" s="374"/>
      <c r="J68" s="373"/>
      <c r="K68" s="300"/>
      <c r="L68" s="300"/>
      <c r="M68" s="374"/>
      <c r="N68" s="373"/>
      <c r="O68" s="300"/>
      <c r="P68" s="300"/>
      <c r="Q68" s="374"/>
      <c r="R68" s="373"/>
      <c r="S68" s="300"/>
      <c r="T68" s="300"/>
      <c r="U68" s="374"/>
      <c r="V68" s="91"/>
    </row>
    <row r="69" spans="1:22" ht="19.5" customHeight="1">
      <c r="A69" s="73"/>
      <c r="B69" s="373"/>
      <c r="C69" s="300"/>
      <c r="D69" s="300"/>
      <c r="E69" s="374"/>
      <c r="F69" s="373"/>
      <c r="G69" s="300"/>
      <c r="H69" s="300"/>
      <c r="I69" s="374"/>
      <c r="J69" s="373"/>
      <c r="K69" s="300"/>
      <c r="L69" s="300"/>
      <c r="M69" s="374"/>
      <c r="N69" s="373"/>
      <c r="O69" s="300"/>
      <c r="P69" s="300"/>
      <c r="Q69" s="374"/>
      <c r="R69" s="373"/>
      <c r="S69" s="300"/>
      <c r="T69" s="300"/>
      <c r="U69" s="374"/>
      <c r="V69" s="91"/>
    </row>
    <row r="70" spans="1:22" ht="19.5" customHeight="1">
      <c r="A70" s="73"/>
      <c r="B70" s="373"/>
      <c r="C70" s="300"/>
      <c r="D70" s="300"/>
      <c r="E70" s="374"/>
      <c r="F70" s="373"/>
      <c r="G70" s="300"/>
      <c r="H70" s="300"/>
      <c r="I70" s="374"/>
      <c r="J70" s="373"/>
      <c r="K70" s="300"/>
      <c r="L70" s="300"/>
      <c r="M70" s="374"/>
      <c r="N70" s="373"/>
      <c r="O70" s="300"/>
      <c r="P70" s="300"/>
      <c r="Q70" s="374"/>
      <c r="R70" s="373"/>
      <c r="S70" s="300"/>
      <c r="T70" s="300"/>
      <c r="U70" s="374"/>
      <c r="V70" s="91"/>
    </row>
    <row r="71" spans="1:22" ht="19.5" customHeight="1">
      <c r="A71" s="71"/>
      <c r="B71" s="373"/>
      <c r="C71" s="300"/>
      <c r="D71" s="300"/>
      <c r="E71" s="374"/>
      <c r="F71" s="373"/>
      <c r="G71" s="300"/>
      <c r="H71" s="300"/>
      <c r="I71" s="374"/>
      <c r="J71" s="373"/>
      <c r="K71" s="300"/>
      <c r="L71" s="300"/>
      <c r="M71" s="374"/>
      <c r="N71" s="373"/>
      <c r="O71" s="300"/>
      <c r="P71" s="300"/>
      <c r="Q71" s="374"/>
      <c r="R71" s="373"/>
      <c r="S71" s="300"/>
      <c r="T71" s="300"/>
      <c r="U71" s="374"/>
      <c r="V71" s="91"/>
    </row>
    <row r="72" spans="1:22" ht="19.5" customHeight="1">
      <c r="A72" s="71"/>
      <c r="B72" s="373"/>
      <c r="C72" s="300"/>
      <c r="D72" s="300"/>
      <c r="E72" s="374"/>
      <c r="F72" s="373"/>
      <c r="G72" s="300"/>
      <c r="H72" s="300"/>
      <c r="I72" s="374"/>
      <c r="J72" s="373"/>
      <c r="K72" s="300"/>
      <c r="L72" s="300"/>
      <c r="M72" s="374"/>
      <c r="N72" s="373"/>
      <c r="O72" s="300"/>
      <c r="P72" s="300"/>
      <c r="Q72" s="374"/>
      <c r="R72" s="373"/>
      <c r="S72" s="300"/>
      <c r="T72" s="300"/>
      <c r="U72" s="374"/>
      <c r="V72" s="91"/>
    </row>
    <row r="73" spans="1:22" ht="19.5" customHeight="1">
      <c r="A73" s="71"/>
      <c r="B73" s="373"/>
      <c r="C73" s="300"/>
      <c r="D73" s="300"/>
      <c r="E73" s="374"/>
      <c r="F73" s="373"/>
      <c r="G73" s="300"/>
      <c r="H73" s="300"/>
      <c r="I73" s="374"/>
      <c r="J73" s="373"/>
      <c r="K73" s="300"/>
      <c r="L73" s="300"/>
      <c r="M73" s="374"/>
      <c r="N73" s="373"/>
      <c r="O73" s="300"/>
      <c r="P73" s="300"/>
      <c r="Q73" s="374"/>
      <c r="R73" s="373"/>
      <c r="S73" s="300"/>
      <c r="T73" s="300"/>
      <c r="U73" s="374"/>
      <c r="V73" s="91"/>
    </row>
    <row r="74" spans="1:22" ht="19.5" customHeight="1">
      <c r="A74" s="72"/>
      <c r="B74" s="373"/>
      <c r="C74" s="300"/>
      <c r="D74" s="300"/>
      <c r="E74" s="374"/>
      <c r="F74" s="373"/>
      <c r="G74" s="300"/>
      <c r="H74" s="300"/>
      <c r="I74" s="374"/>
      <c r="J74" s="373"/>
      <c r="K74" s="300"/>
      <c r="L74" s="300"/>
      <c r="M74" s="374"/>
      <c r="N74" s="373"/>
      <c r="O74" s="300"/>
      <c r="P74" s="300"/>
      <c r="Q74" s="374"/>
      <c r="R74" s="373"/>
      <c r="S74" s="300"/>
      <c r="T74" s="300"/>
      <c r="U74" s="374"/>
      <c r="V74" s="91"/>
    </row>
    <row r="75" spans="1:22" ht="19.5" customHeight="1">
      <c r="A75" s="72"/>
      <c r="B75" s="314"/>
      <c r="C75" s="315"/>
      <c r="D75" s="315"/>
      <c r="E75" s="316"/>
      <c r="F75" s="314"/>
      <c r="G75" s="315"/>
      <c r="H75" s="315"/>
      <c r="I75" s="316"/>
      <c r="J75" s="314"/>
      <c r="K75" s="315"/>
      <c r="L75" s="315"/>
      <c r="M75" s="316"/>
      <c r="N75" s="314"/>
      <c r="O75" s="315"/>
      <c r="P75" s="315"/>
      <c r="Q75" s="316"/>
      <c r="R75" s="314"/>
      <c r="S75" s="315"/>
      <c r="T75" s="315"/>
      <c r="U75" s="316"/>
      <c r="V75" s="91"/>
    </row>
    <row r="76" spans="1:22" ht="12.75" customHeight="1">
      <c r="A76" s="74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91"/>
    </row>
  </sheetData>
  <mergeCells count="37">
    <mergeCell ref="B46:E55"/>
    <mergeCell ref="B56:E65"/>
    <mergeCell ref="F56:I65"/>
    <mergeCell ref="J56:M65"/>
    <mergeCell ref="B66:E75"/>
    <mergeCell ref="F66:I75"/>
    <mergeCell ref="J66:M75"/>
    <mergeCell ref="B26:E35"/>
    <mergeCell ref="B36:E45"/>
    <mergeCell ref="F36:I45"/>
    <mergeCell ref="J36:M45"/>
    <mergeCell ref="N36:Q45"/>
    <mergeCell ref="F26:I35"/>
    <mergeCell ref="R26:U35"/>
    <mergeCell ref="F46:I55"/>
    <mergeCell ref="J46:M55"/>
    <mergeCell ref="N46:Q55"/>
    <mergeCell ref="R46:U55"/>
    <mergeCell ref="J26:M35"/>
    <mergeCell ref="N26:Q35"/>
    <mergeCell ref="N56:Q65"/>
    <mergeCell ref="R56:U65"/>
    <mergeCell ref="N66:Q75"/>
    <mergeCell ref="R66:U75"/>
    <mergeCell ref="R36:U45"/>
    <mergeCell ref="B6:E25"/>
    <mergeCell ref="R6:U15"/>
    <mergeCell ref="B2:U3"/>
    <mergeCell ref="B5:E5"/>
    <mergeCell ref="F5:M5"/>
    <mergeCell ref="N5:U5"/>
    <mergeCell ref="F6:I15"/>
    <mergeCell ref="R16:U25"/>
    <mergeCell ref="J6:M25"/>
    <mergeCell ref="F16:I25"/>
    <mergeCell ref="N16:Q25"/>
    <mergeCell ref="N6:Q15"/>
  </mergeCells>
  <pageMargins left="0.7" right="0.7" top="0.75" bottom="0.75" header="0" footer="0"/>
  <pageSetup paperSize="9" scale="34" orientation="landscape" r:id="rId1"/>
  <headerFooter>
    <oddHeader xml:space="preserve">&amp;L         &amp;G&amp;CFormulário
Formulário A3  - Método para Solução de Problemas&amp;R&amp;"Arial,Normal"&amp;8Código: FOR.114  -  Revisão: 2
Elaboração: 16/09/2022 - Aprovação: 19/09/2024
Página: &amp;N   </oddHeader>
    <oddFooter>&amp;L&amp;8Elaborado por: Lucineide Pereira
Setor: Qualidade&amp;C&amp;8Verificado por: Nathália Brandão
Setor: Qualidade&amp;R&amp;8Aprovado por: Soraia Gomes de Almeida
Setor: Ger. Qualidade Brasil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2497F9E1AC8A4EAC92ECBC176BFE35" ma:contentTypeVersion="25" ma:contentTypeDescription="Crie um novo documento." ma:contentTypeScope="" ma:versionID="dc3a5892340f7102f13650408676b3ab">
  <xsd:schema xmlns:xsd="http://www.w3.org/2001/XMLSchema" xmlns:xs="http://www.w3.org/2001/XMLSchema" xmlns:p="http://schemas.microsoft.com/office/2006/metadata/properties" xmlns:ns2="786710cf-db93-43eb-8436-a18dae16cd0e" xmlns:ns3="c7b56bdc-396d-4620-999e-f0bc34c60f92" targetNamespace="http://schemas.microsoft.com/office/2006/metadata/properties" ma:root="true" ma:fieldsID="de20ef5acb1e36ffad12d1c3897177ce" ns2:_="" ns3:_="">
    <xsd:import namespace="786710cf-db93-43eb-8436-a18dae16cd0e"/>
    <xsd:import namespace="c7b56bdc-396d-4620-999e-f0bc34c60f92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10cf-db93-43eb-8436-a18dae16cd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56bdc-396d-4620-999e-f0bc34c60f92" elementFormDefault="qualified">
    <xsd:import namespace="http://schemas.microsoft.com/office/2006/documentManagement/types"/>
    <xsd:import namespace="http://schemas.microsoft.com/office/infopath/2007/PartnerControls"/>
    <xsd:element name="SharedWithUsers" ma:index="4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8" nillable="true" ma:displayName="Taxonomy Catch All Column" ma:hidden="true" ma:list="{fb1d0b8f-f0b0-4617-9fb7-1ac6a4b17de9}" ma:internalName="TaxCatchAll" ma:readOnly="false" ma:showField="CatchAllData" ma:web="c7b56bdc-396d-4620-999e-f0bc34c60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6710cf-db93-43eb-8436-a18dae16cd0e">
      <Terms xmlns="http://schemas.microsoft.com/office/infopath/2007/PartnerControls"/>
    </lcf76f155ced4ddcb4097134ff3c332f>
    <TaxCatchAll xmlns="c7b56bdc-396d-4620-999e-f0bc34c60f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318D5E-0EC0-4C2E-8E54-AF2E28390B4A}"/>
</file>

<file path=customXml/itemProps2.xml><?xml version="1.0" encoding="utf-8"?>
<ds:datastoreItem xmlns:ds="http://schemas.openxmlformats.org/officeDocument/2006/customXml" ds:itemID="{F26E2D5F-EB1C-4625-A388-76618A261F40}"/>
</file>

<file path=customXml/itemProps3.xml><?xml version="1.0" encoding="utf-8"?>
<ds:datastoreItem xmlns:ds="http://schemas.openxmlformats.org/officeDocument/2006/customXml" ds:itemID="{A80BF07A-B9EF-4468-9E89-C23AC17B6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Nathalia Silva Brandão</dc:creator>
  <cp:keywords/>
  <dc:description/>
  <cp:lastModifiedBy>Mariana DIAS CARREIRAS SALES</cp:lastModifiedBy>
  <cp:revision/>
  <dcterms:created xsi:type="dcterms:W3CDTF">2022-09-16T13:40:03Z</dcterms:created>
  <dcterms:modified xsi:type="dcterms:W3CDTF">2026-01-20T17:10:33Z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0x0101004E2497F9E1AC8A4EAC92ECBC176BFE35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2025-07-16T19:29:00Z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1908c6c0-5d8e-4328-b012-2b1338dfe73a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SIP_Label_2e9a4386-74b9-4603-ae20-950a659f9b6e_Tag">
    <vt:lpwstr>10, 3, 0, 2</vt:lpwstr>
  </property>
  <property fmtid="{D5CDD505-2E9C-101B-9397-08002B2CF9AE}" pid="11" name="MediaServiceImageTags">
    <vt:lpwstr/>
  </property>
  <property fmtid="{D5CDD505-2E9C-101B-9397-08002B2CF9AE}" pid="12" name="Responsavel pela Rotulagem">
    <vt:lpwstr/>
  </property>
</Properties>
</file>