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xr:revisionPtr revIDLastSave="0" documentId="8_{AD3DA452-ACA6-40E2-8BFA-53C11D468910}" xr6:coauthVersionLast="47" xr6:coauthVersionMax="47" xr10:uidLastSave="{00000000-0000-0000-0000-000000000000}"/>
  <bookViews>
    <workbookView xWindow="0" yWindow="0" windowWidth="0" windowHeight="0" firstSheet="1" activeTab="1" xr2:uid="{00000000-000D-0000-FFFF-FFFF00000000}"/>
  </bookViews>
  <sheets>
    <sheet name="Orientações" sheetId="14" r:id="rId1"/>
    <sheet name="Relatório de Gestão de Mudança" sheetId="1" r:id="rId2"/>
    <sheet name="Plano de ação" sheetId="2" r:id="rId3"/>
    <sheet name="H &amp; S" sheetId="4" r:id="rId4"/>
    <sheet name="Chemical" sheetId="5" r:id="rId5"/>
    <sheet name="Eletrical" sheetId="6" r:id="rId6"/>
    <sheet name="Organizational" sheetId="8" r:id="rId7"/>
    <sheet name="Ergonomics" sheetId="9" r:id="rId8"/>
    <sheet name="Environment" sheetId="7" r:id="rId9"/>
    <sheet name="Equipament" sheetId="10" r:id="rId10"/>
    <sheet name="Facilities" sheetId="11" r:id="rId11"/>
    <sheet name="Emergency &amp; Fire" sheetId="12" r:id="rId12"/>
    <sheet name="Compliance" sheetId="13" r:id="rId13"/>
  </sheets>
  <definedNames>
    <definedName name="_xlnm._FilterDatabase" localSheetId="2" hidden="1">'Plano de ação'!$B$8:$P$108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5" i="2"/>
  <c r="G6" i="2"/>
  <c r="G5" i="2"/>
  <c r="G4" i="2"/>
  <c r="G3" i="2"/>
  <c r="H27" i="1"/>
  <c r="G27" i="1"/>
  <c r="G26" i="1"/>
  <c r="H26" i="1" s="1"/>
  <c r="H25" i="1"/>
  <c r="G25" i="1"/>
  <c r="F12" i="13"/>
  <c r="G12" i="13"/>
  <c r="E12" i="13"/>
  <c r="F27" i="12"/>
  <c r="G27" i="12"/>
  <c r="E27" i="12"/>
  <c r="F29" i="11"/>
  <c r="G29" i="11"/>
  <c r="E29" i="11"/>
  <c r="F34" i="10"/>
  <c r="G34" i="10"/>
  <c r="E34" i="10"/>
  <c r="F70" i="9"/>
  <c r="G70" i="9"/>
  <c r="E70" i="9"/>
  <c r="F29" i="8"/>
  <c r="G29" i="8"/>
  <c r="E29" i="8"/>
  <c r="F27" i="7"/>
  <c r="G27" i="7"/>
  <c r="E27" i="7"/>
  <c r="F29" i="6"/>
  <c r="G29" i="6"/>
  <c r="E29" i="6"/>
  <c r="F28" i="5"/>
  <c r="G28" i="5"/>
  <c r="E28" i="5"/>
  <c r="H28" i="5"/>
  <c r="G37" i="4"/>
  <c r="F37" i="4"/>
  <c r="E37" i="4"/>
  <c r="J5" i="2"/>
  <c r="H39" i="1" s="1"/>
  <c r="G24" i="1" l="1"/>
  <c r="H12" i="13"/>
  <c r="H27" i="12"/>
  <c r="H29" i="11"/>
  <c r="H34" i="10"/>
  <c r="H70" i="9"/>
  <c r="H29" i="8"/>
  <c r="H27" i="7"/>
  <c r="H29" i="6"/>
  <c r="F29" i="5"/>
  <c r="G29" i="5"/>
  <c r="E29" i="5"/>
  <c r="H37" i="4"/>
  <c r="H24" i="1" l="1"/>
  <c r="F13" i="13"/>
  <c r="G13" i="13"/>
  <c r="E13" i="13"/>
  <c r="F28" i="12"/>
  <c r="G28" i="12"/>
  <c r="E28" i="12"/>
  <c r="F30" i="11"/>
  <c r="G30" i="11"/>
  <c r="E30" i="11"/>
  <c r="F35" i="10"/>
  <c r="G35" i="10"/>
  <c r="E35" i="10"/>
  <c r="F71" i="9"/>
  <c r="G71" i="9"/>
  <c r="E71" i="9"/>
  <c r="F30" i="8"/>
  <c r="G30" i="8"/>
  <c r="E30" i="8"/>
  <c r="F28" i="7"/>
  <c r="E28" i="7"/>
  <c r="G28" i="7"/>
  <c r="G30" i="6"/>
  <c r="E30" i="6"/>
  <c r="F30" i="6"/>
  <c r="E38" i="4"/>
  <c r="F38" i="4"/>
  <c r="G3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Taís Alves Flores</author>
  </authors>
  <commentList>
    <comment ref="B5" authorId="0" shapeId="0" xr:uid="{00000000-0006-0000-0100-000001000000}">
      <text>
        <r>
          <rPr>
            <sz val="10"/>
            <color rgb="FF000000"/>
            <rFont val="Arial"/>
            <scheme val="minor"/>
          </rPr>
          <t>Se aplicável</t>
        </r>
      </text>
    </comment>
    <comment ref="C8" authorId="0" shapeId="0" xr:uid="{00000000-0006-0000-0100-000002000000}">
      <text>
        <r>
          <rPr>
            <sz val="10"/>
            <color rgb="FF000000"/>
            <rFont val="Arial"/>
            <scheme val="minor"/>
          </rPr>
          <t>De onde veio a ação?
(Dónde viene la acción?)
Techno Club
Assessment
GMR
Local</t>
        </r>
      </text>
    </comment>
    <comment ref="F8" authorId="1" shapeId="0" xr:uid="{E6C94757-02DE-464D-8DD1-C0274CC2FA57}">
      <text>
        <r>
          <rPr>
            <sz val="10"/>
            <color rgb="FF000000"/>
            <rFont val="Arial"/>
            <scheme val="minor"/>
          </rPr>
          <t>Quando existir.</t>
        </r>
      </text>
    </comment>
    <comment ref="K8" authorId="0" shapeId="0" xr:uid="{00000000-0006-0000-0100-000003000000}">
      <text>
        <r>
          <rPr>
            <sz val="10"/>
            <color rgb="FF000000"/>
            <rFont val="Arial"/>
            <scheme val="minor"/>
          </rPr>
          <t xml:space="preserve">Y = YES, é prioridade (es prioridad)
N = NO, não é prioridade (no es prioridad)
</t>
        </r>
      </text>
    </comment>
    <comment ref="M8" authorId="0" shapeId="0" xr:uid="{00000000-0006-0000-0100-000004000000}">
      <text>
        <r>
          <rPr>
            <sz val="10"/>
            <color rgb="FF000000"/>
            <rFont val="Arial"/>
            <scheme val="minor"/>
          </rPr>
          <t>Primeiro deadline definido
Primer deadline definido</t>
        </r>
      </text>
    </comment>
    <comment ref="N8" authorId="0" shapeId="0" xr:uid="{00000000-0006-0000-0100-000005000000}">
      <text>
        <r>
          <rPr>
            <sz val="10"/>
            <color rgb="FF000000"/>
            <rFont val="Arial"/>
            <scheme val="minor"/>
          </rPr>
          <t>Último deadline definido</t>
        </r>
      </text>
    </comment>
  </commentList>
</comments>
</file>

<file path=xl/sharedStrings.xml><?xml version="1.0" encoding="utf-8"?>
<sst xmlns="http://schemas.openxmlformats.org/spreadsheetml/2006/main" count="614" uniqueCount="512">
  <si>
    <t>Orientações para utilização do Relatório de Gestão de Mudança</t>
  </si>
  <si>
    <t>O setor de origem da necessidade de mudança deve gerenciar a abertura e acompanhamento do Formulário Gestão de Mudança.</t>
  </si>
  <si>
    <t>Passos a serem seguidos:</t>
  </si>
  <si>
    <r>
      <rPr>
        <b/>
        <sz val="11"/>
        <color rgb="FF000000"/>
        <rFont val="Arial"/>
      </rPr>
      <t xml:space="preserve">1) </t>
    </r>
    <r>
      <rPr>
        <sz val="11"/>
        <color rgb="FF000000"/>
        <rFont val="Arial"/>
      </rPr>
      <t>Criar uma cópia deste formulário</t>
    </r>
  </si>
  <si>
    <r>
      <rPr>
        <b/>
        <sz val="11"/>
        <color rgb="FF000000"/>
        <rFont val="Arial"/>
      </rPr>
      <t>2)</t>
    </r>
    <r>
      <rPr>
        <sz val="11"/>
        <color rgb="FF000000"/>
        <rFont val="Arial"/>
      </rPr>
      <t xml:space="preserve"> Entender o escopo da mudança e chamar os principais envolvidos para abertura do relatório. Qualidade e EHS são áreas que participam, obrigatoriamente, deste processo inicial.</t>
    </r>
  </si>
  <si>
    <r>
      <rPr>
        <b/>
        <sz val="11"/>
        <color rgb="FF000000"/>
        <rFont val="Arial"/>
      </rPr>
      <t>3)</t>
    </r>
    <r>
      <rPr>
        <sz val="11"/>
        <color rgb="FF000000"/>
        <rFont val="Arial"/>
      </rPr>
      <t xml:space="preserve"> Iniciar as descrições iniciais da mudança</t>
    </r>
  </si>
  <si>
    <r>
      <rPr>
        <sz val="11"/>
        <color rgb="FF000000"/>
        <rFont val="Arial"/>
      </rPr>
      <t xml:space="preserve">      </t>
    </r>
    <r>
      <rPr>
        <b/>
        <sz val="11"/>
        <color rgb="FF000000"/>
        <rFont val="Arial"/>
      </rPr>
      <t>3.1)</t>
    </r>
    <r>
      <rPr>
        <sz val="11"/>
        <color rgb="FF000000"/>
        <rFont val="Arial"/>
      </rPr>
      <t xml:space="preserve"> o </t>
    </r>
    <r>
      <rPr>
        <b/>
        <sz val="11"/>
        <color rgb="FF000000"/>
        <rFont val="Arial"/>
      </rPr>
      <t>Nº do Registro</t>
    </r>
    <r>
      <rPr>
        <sz val="11"/>
        <color rgb="FF000000"/>
        <rFont val="Arial"/>
      </rPr>
      <t xml:space="preserve"> deve ser verificado e criado junto ao controle de Solução de Problema da unidade, para garantir a sequencia dos formulários</t>
    </r>
  </si>
  <si>
    <r>
      <rPr>
        <b/>
        <sz val="11"/>
        <color rgb="FF000000"/>
        <rFont val="Arial"/>
      </rPr>
      <t>4)</t>
    </r>
    <r>
      <rPr>
        <sz val="11"/>
        <color rgb="FF000000"/>
        <rFont val="Arial"/>
      </rPr>
      <t xml:space="preserve"> O técnico de segurança da unidade e, para unidades que não possui técnico de segurança, um membro do EHS Corporativo, é o profissional responsável pela análise dos questionamentos e  preenchimento das abas do Pilares de EHS </t>
    </r>
    <r>
      <rPr>
        <b/>
        <sz val="11"/>
        <color rgb="FFFF0000"/>
        <rFont val="Arial"/>
      </rPr>
      <t>Pilares de EHS: PESSOAS, MEIO AMBIENTE, PROPRIEDADE E CONFORMIDADE</t>
    </r>
  </si>
  <si>
    <r>
      <rPr>
        <sz val="11"/>
        <color rgb="FF000000"/>
        <rFont val="Arial"/>
      </rPr>
      <t xml:space="preserve">      </t>
    </r>
    <r>
      <rPr>
        <b/>
        <sz val="11"/>
        <color rgb="FF000000"/>
        <rFont val="Arial"/>
      </rPr>
      <t>4.1)</t>
    </r>
    <r>
      <rPr>
        <sz val="11"/>
        <color rgb="FF000000"/>
        <rFont val="Arial"/>
      </rPr>
      <t xml:space="preserve"> Para cada</t>
    </r>
    <r>
      <rPr>
        <b/>
        <sz val="11"/>
        <color rgb="FFFF0000"/>
        <rFont val="Arial"/>
      </rPr>
      <t xml:space="preserve"> "N" (não) </t>
    </r>
    <r>
      <rPr>
        <sz val="11"/>
        <color rgb="FF000000"/>
        <rFont val="Arial"/>
      </rPr>
      <t xml:space="preserve">selecionado nos itens dos </t>
    </r>
    <r>
      <rPr>
        <b/>
        <sz val="11"/>
        <color rgb="FFFF0000"/>
        <rFont val="Arial"/>
      </rPr>
      <t>Check list dos Pilares de EHS</t>
    </r>
    <r>
      <rPr>
        <sz val="11"/>
        <color rgb="FF000000"/>
        <rFont val="Arial"/>
      </rPr>
      <t>, é necessário gerar ações para atendimento a referência pontuada</t>
    </r>
  </si>
  <si>
    <r>
      <rPr>
        <sz val="11"/>
        <color rgb="FF000000"/>
        <rFont val="Arial"/>
      </rPr>
      <t xml:space="preserve">      </t>
    </r>
    <r>
      <rPr>
        <b/>
        <sz val="11"/>
        <color rgb="FF000000"/>
        <rFont val="Arial"/>
      </rPr>
      <t>4.2)</t>
    </r>
    <r>
      <rPr>
        <sz val="11"/>
        <color rgb="FF000000"/>
        <rFont val="Arial"/>
      </rPr>
      <t xml:space="preserve"> A seção de </t>
    </r>
    <r>
      <rPr>
        <b/>
        <sz val="11"/>
        <color rgb="FFFF0000"/>
        <rFont val="Arial"/>
      </rPr>
      <t>"Impactos ambientais",</t>
    </r>
    <r>
      <rPr>
        <sz val="11"/>
        <color rgb="FF000000"/>
        <rFont val="Arial"/>
      </rPr>
      <t xml:space="preserve"> trazem de forma automática o indicador desta Gestão de Mudança, a partir do preenchimento das abas relevantes (Pilares EHS)</t>
    </r>
  </si>
  <si>
    <r>
      <rPr>
        <sz val="11"/>
        <color rgb="FF000000"/>
        <rFont val="Arial"/>
      </rPr>
      <t xml:space="preserve">      </t>
    </r>
    <r>
      <rPr>
        <b/>
        <sz val="11"/>
        <color rgb="FF000000"/>
        <rFont val="Arial"/>
      </rPr>
      <t>4.3)</t>
    </r>
    <r>
      <rPr>
        <sz val="11"/>
        <color rgb="FF000000"/>
        <rFont val="Arial"/>
      </rPr>
      <t xml:space="preserve"> Em casos de preenchimento das abas dos Pilares de EHS, a seção de </t>
    </r>
    <r>
      <rPr>
        <b/>
        <sz val="11"/>
        <color rgb="FFFF0000"/>
        <rFont val="Arial"/>
      </rPr>
      <t>"Análise Crítica pelas áreas avaliadoras"</t>
    </r>
    <r>
      <rPr>
        <sz val="11"/>
        <color rgb="FF000000"/>
        <rFont val="Arial"/>
      </rPr>
      <t>, precisa ser preenchida e assinada pelo Responsável da Mudança, e pelo Técnico de segurança da unidade e, para unidades que não possui técnico de segurança, um membro do EHS Corporativo</t>
    </r>
  </si>
  <si>
    <r>
      <rPr>
        <sz val="11"/>
        <color rgb="FF000000"/>
        <rFont val="Arial"/>
      </rPr>
      <t xml:space="preserve">   </t>
    </r>
    <r>
      <rPr>
        <b/>
        <sz val="11"/>
        <color rgb="FF000000"/>
        <rFont val="Arial"/>
      </rPr>
      <t xml:space="preserve">   4.4)</t>
    </r>
    <r>
      <rPr>
        <sz val="11"/>
        <color rgb="FF000000"/>
        <rFont val="Arial"/>
      </rPr>
      <t xml:space="preserve"> Certas ações podem ser designadas pelo EHS antes da implementação da mudança.					</t>
    </r>
  </si>
  <si>
    <r>
      <rPr>
        <sz val="11"/>
        <color rgb="FF000000"/>
        <rFont val="Arial"/>
      </rPr>
      <t xml:space="preserve">      </t>
    </r>
    <r>
      <rPr>
        <b/>
        <sz val="11"/>
        <color rgb="FF000000"/>
        <rFont val="Arial"/>
      </rPr>
      <t xml:space="preserve">4.5) </t>
    </r>
    <r>
      <rPr>
        <sz val="11"/>
        <color rgb="FF000000"/>
        <rFont val="Arial"/>
      </rPr>
      <t xml:space="preserve">Em casos de preenchimento das abas dos Pilares de EHS  a revisão final </t>
    </r>
    <r>
      <rPr>
        <b/>
        <sz val="11"/>
        <color rgb="FF000000"/>
        <rFont val="Arial"/>
      </rPr>
      <t>Relatório de Gestão de Mudança</t>
    </r>
    <r>
      <rPr>
        <sz val="11"/>
        <color rgb="FF000000"/>
        <rFont val="Arial"/>
      </rPr>
      <t xml:space="preserve"> será realizado também pelo Técnico de segurança da unidade e, para unidades que não possui técnico de segurança, um membro do EHS Corporativo, para garantir que todos os itens do Plano de Ação foram concluídos.</t>
    </r>
  </si>
  <si>
    <r>
      <rPr>
        <b/>
        <sz val="11"/>
        <color rgb="FF000000"/>
        <rFont val="Arial"/>
      </rPr>
      <t xml:space="preserve">5) </t>
    </r>
    <r>
      <rPr>
        <sz val="11"/>
        <color rgb="FF000000"/>
        <rFont val="Arial"/>
      </rPr>
      <t xml:space="preserve">O controle deste registro deverá seguir o </t>
    </r>
    <r>
      <rPr>
        <b/>
        <sz val="11"/>
        <color rgb="FF000000"/>
        <rFont val="Arial"/>
      </rPr>
      <t>PSQ.017: Controle de Documentos e Registros</t>
    </r>
    <r>
      <rPr>
        <sz val="11"/>
        <color rgb="FF000000"/>
        <rFont val="Arial"/>
      </rPr>
      <t xml:space="preserve"> 										</t>
    </r>
  </si>
  <si>
    <r>
      <rPr>
        <b/>
        <sz val="11"/>
        <color rgb="FF000000"/>
        <rFont val="Arial"/>
      </rPr>
      <t>6)</t>
    </r>
    <r>
      <rPr>
        <sz val="11"/>
        <color rgb="FF000000"/>
        <rFont val="Arial"/>
      </rPr>
      <t xml:space="preserve"> Atualizar informações deste relatório no FOR.164 - Controle Anual dos Registros</t>
    </r>
  </si>
  <si>
    <t>Relatório de Gestão de Mudança</t>
  </si>
  <si>
    <t>FOR.137.R5</t>
  </si>
  <si>
    <t>INFORMAÇÕES GERAIS</t>
  </si>
  <si>
    <t>Unidade:</t>
  </si>
  <si>
    <t>Data da abertura:</t>
  </si>
  <si>
    <t>Solicitante:</t>
  </si>
  <si>
    <t>Nº do Registro:</t>
  </si>
  <si>
    <t>Tipo de mudança:</t>
  </si>
  <si>
    <r>
      <rPr>
        <sz val="10"/>
        <color rgb="FF000000"/>
        <rFont val="Arial"/>
      </rPr>
      <t>(  ) Regulatório         (  ) QMS/SGI       (   ) Projetos          (   ) Produto      (   ) Software        (  ) Processo       (  ) Equipamento
(  ) Organizacional   (  ) Layout</t>
    </r>
    <r>
      <rPr>
        <sz val="10"/>
        <color rgb="FFFF0000"/>
        <rFont val="Arial"/>
      </rPr>
      <t xml:space="preserve">  </t>
    </r>
    <r>
      <rPr>
        <sz val="10"/>
        <color rgb="FF000000"/>
        <rFont val="Arial"/>
      </rPr>
      <t xml:space="preserve">   (  )  Insumo     (  ) Outros:__________________________________</t>
    </r>
  </si>
  <si>
    <t>Prioridade de mudança:</t>
  </si>
  <si>
    <t>(  ) Urgente          (   )  Alto                (    )  Médio              (   ) Baixo</t>
  </si>
  <si>
    <t>Área (s) impactada (s)</t>
  </si>
  <si>
    <r>
      <rPr>
        <b/>
        <sz val="10"/>
        <color rgb="FFFFFFFF"/>
        <rFont val="Arial"/>
      </rPr>
      <t xml:space="preserve">Área avaliadora:
</t>
    </r>
    <r>
      <rPr>
        <b/>
        <sz val="8"/>
        <color rgb="FFFFFFFF"/>
        <rFont val="Arial"/>
      </rPr>
      <t>(setores / departamentos)</t>
    </r>
  </si>
  <si>
    <t>DADOS DA MUDANÇA</t>
  </si>
  <si>
    <t>Situação (Antes da Mudança):</t>
  </si>
  <si>
    <t>Situação Projetada (Após Mudança):</t>
  </si>
  <si>
    <t>Justificativa:</t>
  </si>
  <si>
    <t>Benefícios:</t>
  </si>
  <si>
    <t>Data da Mudança / Projeto:</t>
  </si>
  <si>
    <r>
      <rPr>
        <b/>
        <sz val="10"/>
        <color rgb="FFFFFFFF"/>
        <rFont val="Arial"/>
      </rPr>
      <t xml:space="preserve">EVIDÊNCIA:
</t>
    </r>
    <r>
      <rPr>
        <b/>
        <sz val="9"/>
        <color rgb="FFFFFFFF"/>
        <rFont val="Arial"/>
      </rPr>
      <t>(imagens e/ou informações antes da mudança)</t>
    </r>
  </si>
  <si>
    <t>IMPACTOS DE EHS</t>
  </si>
  <si>
    <t>Para avaliar em detalhes todos os impactos de EHS para a mudança, verifique todos os tópicos que se aplicam =&gt; veja as opções abaixo.</t>
  </si>
  <si>
    <t>Imput</t>
  </si>
  <si>
    <t>Pilares de EHS</t>
  </si>
  <si>
    <t>Referência Necessária</t>
  </si>
  <si>
    <t>Somatório</t>
  </si>
  <si>
    <t>%</t>
  </si>
  <si>
    <t>Pessoas:</t>
  </si>
  <si>
    <t>Saúde, segurança química, elétrica, organizacional e ergonomia.</t>
  </si>
  <si>
    <t>Meio Ambiente:</t>
  </si>
  <si>
    <t>Emissões atmosféricas, produtos químicos, consumo de energia e água, geração e descarte de resíduos e emissões de efluentes.</t>
  </si>
  <si>
    <t>Propriedades e ativos:</t>
  </si>
  <si>
    <t>Instalações, equipamentos, preparação para emergências e prevenção/proteção contra incêndios e explosões.</t>
  </si>
  <si>
    <t>Compliance:</t>
  </si>
  <si>
    <t>Permissões locais ou regulamentos aplicáveis.</t>
  </si>
  <si>
    <r>
      <rPr>
        <b/>
        <sz val="10"/>
        <color rgb="FFFFFFFF"/>
        <rFont val="Arial"/>
      </rPr>
      <t xml:space="preserve">RISCOS ENVOLVIDOS:
</t>
    </r>
    <r>
      <rPr>
        <b/>
        <sz val="8"/>
        <color rgb="FFFFFFFF"/>
        <rFont val="Arial"/>
      </rPr>
      <t>(segurança, paralisação de atividades, meio ambiente, software etc.)</t>
    </r>
  </si>
  <si>
    <t>Quais processos serão afetados pela mudança:</t>
  </si>
  <si>
    <t>Quais módulos do sistema serão afetados:</t>
  </si>
  <si>
    <t>Como a mudança afeta o processo atual:</t>
  </si>
  <si>
    <t>Consequência de não realizar a mudança:</t>
  </si>
  <si>
    <t>Riscos identificados:</t>
  </si>
  <si>
    <t>Tratamento dos riscos:</t>
  </si>
  <si>
    <t>Plano de contingência em caso de riscos:</t>
  </si>
  <si>
    <t>Áreas envolvidas na implantação:</t>
  </si>
  <si>
    <t>Observações:</t>
  </si>
  <si>
    <t>Gerar plano de ação:</t>
  </si>
  <si>
    <t>Vide aba: Plano de Ação</t>
  </si>
  <si>
    <t>Percentual de conclusão do plano:</t>
  </si>
  <si>
    <t>ÁNALISE CRÍTICA PELAS ÁREAS AVALIADORAS</t>
  </si>
  <si>
    <t>Mudança será implantada:</t>
  </si>
  <si>
    <t>( ) Sim          (  ) Não</t>
  </si>
  <si>
    <t>Justificativa / parecer:</t>
  </si>
  <si>
    <t>Responsável pela decisão:</t>
  </si>
  <si>
    <t>Data:</t>
  </si>
  <si>
    <t>Solicitante informado:</t>
  </si>
  <si>
    <t>(  ) Sim          (  ) Não</t>
  </si>
  <si>
    <t>Data informada:</t>
  </si>
  <si>
    <t>TESTES PÓS-MUDANÇA</t>
  </si>
  <si>
    <t>AVALIAÇÃO DO IMPACTO PÓS-MUDANÇA</t>
  </si>
  <si>
    <r>
      <rPr>
        <b/>
        <sz val="10"/>
        <color rgb="FFFFFFFF"/>
        <rFont val="Arial"/>
      </rPr>
      <t xml:space="preserve">EVIDÊNCIA:
</t>
    </r>
    <r>
      <rPr>
        <b/>
        <sz val="9"/>
        <color rgb="FFFFFFFF"/>
        <rFont val="Arial"/>
      </rPr>
      <t>(imagens e/ou informações depois da mudança)</t>
    </r>
  </si>
  <si>
    <t>Avaliação da mudança:</t>
  </si>
  <si>
    <t>(  ) Eficaz               (   ) Parcialmente eficaz                (   ) Não eficaz</t>
  </si>
  <si>
    <t>Área / Departamento</t>
  </si>
  <si>
    <t>Responsável</t>
  </si>
  <si>
    <t>Data</t>
  </si>
  <si>
    <t>EHS / TST</t>
  </si>
  <si>
    <t>Responsável pelo Projeto/Mudança</t>
  </si>
  <si>
    <t>Responsável pela Unidade</t>
  </si>
  <si>
    <t>PLANO DE AÇÃO | PLAN DE ACCIÓN</t>
  </si>
  <si>
    <t>Laboratório, Área ou Projeto:
Nombre de proyecto, area o Lab:</t>
  </si>
  <si>
    <t>Percentual de Conclusão:</t>
  </si>
  <si>
    <t>Nº Registro:</t>
  </si>
  <si>
    <t>Nº Ação | Acción</t>
  </si>
  <si>
    <t>Check List / Imput</t>
  </si>
  <si>
    <t>Referência (Nº) do Check List / Imput</t>
  </si>
  <si>
    <t>Problema / Necessidade</t>
  </si>
  <si>
    <t>KPI</t>
  </si>
  <si>
    <t>Descrição da Ação</t>
  </si>
  <si>
    <t>Classificação|
Clasificación</t>
  </si>
  <si>
    <t>Situação da Mudança</t>
  </si>
  <si>
    <t>Status</t>
  </si>
  <si>
    <t>Prioridad</t>
  </si>
  <si>
    <r>
      <rPr>
        <b/>
        <sz val="10"/>
        <color rgb="FFFFFFFF"/>
        <rFont val="Arial"/>
      </rPr>
      <t xml:space="preserve">Quem|Quién?
</t>
    </r>
    <r>
      <rPr>
        <sz val="10"/>
        <color rgb="FFFFFFFF"/>
        <rFont val="Arial"/>
      </rPr>
      <t>Responsavel</t>
    </r>
  </si>
  <si>
    <r>
      <rPr>
        <b/>
        <sz val="10"/>
        <color rgb="FFFFFFFF"/>
        <rFont val="Arial"/>
      </rPr>
      <t xml:space="preserve">Quando| Cuando
</t>
    </r>
    <r>
      <rPr>
        <sz val="10"/>
        <color rgb="FFFFFFFF"/>
        <rFont val="Arial"/>
      </rPr>
      <t>1° Deadline</t>
    </r>
  </si>
  <si>
    <r>
      <rPr>
        <b/>
        <sz val="10"/>
        <color rgb="FFFFFFFF"/>
        <rFont val="Arial"/>
      </rPr>
      <t xml:space="preserve">Quando| Cuando
</t>
    </r>
    <r>
      <rPr>
        <sz val="10"/>
        <color rgb="FFFFFFFF"/>
        <rFont val="Arial"/>
      </rPr>
      <t>2º Deadline</t>
    </r>
  </si>
  <si>
    <t>COMENTARIOS</t>
  </si>
  <si>
    <t>Ação Eficaz | Acción Eficaz?</t>
  </si>
  <si>
    <t xml:space="preserve">Checklist de Saúde e Segurança  </t>
  </si>
  <si>
    <t>Referência (Nº)</t>
  </si>
  <si>
    <t>Pergunta</t>
  </si>
  <si>
    <t>Orientação</t>
  </si>
  <si>
    <t>S</t>
  </si>
  <si>
    <t>N</t>
  </si>
  <si>
    <t>N/A</t>
  </si>
  <si>
    <r>
      <rPr>
        <b/>
        <sz val="10"/>
        <color rgb="FF000000"/>
        <rFont val="Arial"/>
      </rPr>
      <t>Observação</t>
    </r>
    <r>
      <rPr>
        <sz val="10"/>
        <color rgb="FF000000"/>
        <rFont val="Arial"/>
        <scheme val="minor"/>
      </rPr>
      <t xml:space="preserve"> 
(as ações devem ser registradas apenas no Plano de Ação)</t>
    </r>
  </si>
  <si>
    <t xml:space="preserve">Equipamento de Proteção Individual (EPI) </t>
  </si>
  <si>
    <r>
      <t xml:space="preserve">As Avaliações de Risco ou Análise de Segurança (JSA) foram concluídas para as novas atividades, equipamentos ou estações de trabalho afetdos pela mudança para determinar a necessidade do uso de EPI?
</t>
    </r>
    <r>
      <rPr>
        <i/>
        <sz val="8"/>
        <color theme="0" tint="-0.34998626667073579"/>
        <rFont val="Arial"/>
        <family val="2"/>
      </rPr>
      <t>Have Risk Assessments or Job Safety Analysis been completed for new activities or equipments or workstations affected by the change to determine the need for PPE?</t>
    </r>
  </si>
  <si>
    <t xml:space="preserve">Baseada na Avaliação de Risco ou Análise de Segurança (JSA): 
- Atualizar a lista de EPIs necessários para operar o novo equipamento ou realizar a nova tarefa;
</t>
  </si>
  <si>
    <r>
      <t xml:space="preserve">O EPI necessário está disponível para uso dos funcionários?
</t>
    </r>
    <r>
      <rPr>
        <i/>
        <sz val="8"/>
        <color theme="0" tint="-0.34998626667073579"/>
        <rFont val="Arial"/>
        <family val="2"/>
      </rPr>
      <t>Is required PPE available for employee use?</t>
    </r>
  </si>
  <si>
    <r>
      <rPr>
        <sz val="10"/>
        <color rgb="FF000000"/>
        <rFont val="Arial"/>
      </rPr>
      <t xml:space="preserve">O pessoal é treinado sobre os requisitos e uso de EPI?
</t>
    </r>
    <r>
      <rPr>
        <i/>
        <sz val="8"/>
        <color rgb="FFA6A6A6"/>
        <rFont val="Arial"/>
      </rPr>
      <t>Are personnel trained on PPE requirements and use?</t>
    </r>
  </si>
  <si>
    <r>
      <t xml:space="preserve">É realizada checagem médica completa ou teste personalizado para utilização dos devidos EPI? 
</t>
    </r>
    <r>
      <rPr>
        <i/>
        <sz val="8"/>
        <color theme="0" tint="-0.34998626667073579"/>
        <rFont val="Arial"/>
        <family val="2"/>
      </rPr>
      <t xml:space="preserve">Have personnel completed medical check or test required by certain type of PPE? </t>
    </r>
  </si>
  <si>
    <t xml:space="preserve">Verificar os requisitos locais para uso de respirador, sistemas de proteção contra ruído…
</t>
  </si>
  <si>
    <t xml:space="preserve">Equipamentos de elevação </t>
  </si>
  <si>
    <r>
      <t xml:space="preserve">Se for necessário equipamento de elevação (novo ou modificado), é obrigatório:
- Planos de inspeção atualizado;
- Programas de manutenção preventiva atualizado; 
- Treinamento antes do uso do equipamento;
</t>
    </r>
    <r>
      <rPr>
        <i/>
        <sz val="8"/>
        <color theme="0" tint="-0.34998626667073579"/>
        <rFont val="Arial"/>
        <family val="2"/>
      </rPr>
      <t>If new or modified lifting equipment is required, have inspection plans and Preventive Maintenance programs been updated and training provided prior to use?</t>
    </r>
  </si>
  <si>
    <t xml:space="preserve">Elevador, grua, guindastes, empilhadeiras, monta carga, etc.
</t>
  </si>
  <si>
    <r>
      <t xml:space="preserve">Esses equipamentos de elevação (novos ou modificados) estão listados para inspeção periódica por terceiros, de acordo com a legislação local?
</t>
    </r>
    <r>
      <rPr>
        <i/>
        <sz val="8"/>
        <color theme="0" tint="-0.34998626667073579"/>
        <rFont val="Arial"/>
        <family val="2"/>
      </rPr>
      <t>Are these new or modified lifting equipments listed for periodic inspection by 3rd party in accordance with local regulation?</t>
    </r>
  </si>
  <si>
    <t>Proteção contra quedas - Trabalho em altura - Superfícies de passagem</t>
  </si>
  <si>
    <r>
      <t xml:space="preserve">Onde for necessário trabalho em altura, a estrutura fornece meios adequados de proteção contra quedas?
</t>
    </r>
    <r>
      <rPr>
        <i/>
        <sz val="8"/>
        <color theme="0" tint="-0.34998626667073579"/>
        <rFont val="Arial"/>
        <family val="2"/>
      </rPr>
      <t xml:space="preserve">Where work at height will be required, does the design provide for proper means of fall protection? </t>
    </r>
    <r>
      <rPr>
        <sz val="10"/>
        <rFont val="Arial"/>
      </rPr>
      <t xml:space="preserve">  </t>
    </r>
  </si>
  <si>
    <r>
      <t xml:space="preserve">35.2.1 Aplica-se o disposto nessa Norma a toda e </t>
    </r>
    <r>
      <rPr>
        <b/>
        <sz val="10"/>
        <rFont val="Arial"/>
        <family val="2"/>
      </rPr>
      <t>qualquer atividade com diferença de nível acima de 2,0m (dois metros) do nível inferior</t>
    </r>
    <r>
      <rPr>
        <sz val="10"/>
        <rFont val="Arial"/>
      </rPr>
      <t xml:space="preserve">, onde haja risco de queda.
Uma </t>
    </r>
    <r>
      <rPr>
        <b/>
        <sz val="10"/>
        <rFont val="Arial"/>
        <family val="2"/>
      </rPr>
      <t>avaliação de risco</t>
    </r>
    <r>
      <rPr>
        <sz val="10"/>
        <rFont val="Arial"/>
      </rPr>
      <t xml:space="preserve"> deve ser realizada para determinar os riscos potenciais relacionados a um trabalho (permanente ou temporário) acima da superfície do solo e estabelecer meios de proteção contra quedas para proteger os funcionários. 
Superfícies de trabalho elevadas </t>
    </r>
    <r>
      <rPr>
        <u/>
        <sz val="10"/>
        <rFont val="Arial"/>
        <family val="2"/>
      </rPr>
      <t>devem ter guarda-corpos, trilhos intermediários e rodapés</t>
    </r>
    <r>
      <rPr>
        <sz val="10"/>
        <rFont val="Arial"/>
      </rPr>
      <t>, de acordo com os requisitos da legislação local.</t>
    </r>
  </si>
  <si>
    <r>
      <t>Para os perigos de escorregões e/ou tropeços devido à tração do piso, mudanças de elevação, localização do equipamento, etc. É realizada análise das condições do local de trabalho, controle e mitigação de riscos?</t>
    </r>
    <r>
      <rPr>
        <i/>
        <sz val="8"/>
        <color theme="0" tint="-0.34998626667073579"/>
        <rFont val="Arial"/>
        <family val="2"/>
      </rPr>
      <t xml:space="preserve">
Does all slip or tripping hazards due to floor traction, elevation changes, equipment location avoided? </t>
    </r>
  </si>
  <si>
    <t>Certifique-se que todos os fios, cabos e mangueiras estejam fora do chão;
- As superfícies dos pisos não são ser escorregadias, devido ao uso de produtos químicos;
- O piso está livre de superfícies irregulares, rachaduras ou danos;
- Há alguma mudança abrupta na tração do piso (por exemplo, de liso para grosso, escorregadio para aderente)?</t>
  </si>
  <si>
    <r>
      <t xml:space="preserve">Se escadas, escadas de marinheiro, escadas de acesso ao telhado ou escadas fixas forem instaladas, os requisitos exigidos pela legislação local são atendidos?
</t>
    </r>
    <r>
      <rPr>
        <i/>
        <sz val="8"/>
        <color theme="0" tint="-0.34998626667073579"/>
        <rFont val="Arial"/>
        <family val="2"/>
      </rPr>
      <t xml:space="preserve">If stairs, ships ladders, roof access hatches or fixed ladders be installed, are requirements of the guidance met? </t>
    </r>
  </si>
  <si>
    <r>
      <t xml:space="preserve">Certifique-se de que escadas, escadas de marinheiro, escadas de acesso ao telhado e/ou escadas fixas atendam aos requisitos aplicáveis (especialmente a instalação de guarda-corpos;
Certifique-se de que o acesso restrito esteja no local para </t>
    </r>
    <r>
      <rPr>
        <b/>
        <sz val="10"/>
        <rFont val="Arial"/>
        <family val="2"/>
      </rPr>
      <t>evitar o acesso de pessoas não autorizado ao telhado</t>
    </r>
    <r>
      <rPr>
        <sz val="10"/>
        <rFont val="Arial"/>
        <family val="2"/>
      </rPr>
      <t xml:space="preserve"> ou outras áreas perigosas.</t>
    </r>
  </si>
  <si>
    <r>
      <t xml:space="preserve">As mudanças de níveis estão claramente marcadas ou identificadas?
</t>
    </r>
    <r>
      <rPr>
        <i/>
        <sz val="8"/>
        <color theme="0" tint="-0.34998626667073579"/>
        <rFont val="Arial"/>
        <family val="2"/>
      </rPr>
      <t>Have changes in elevation been clearly marked or delineated?</t>
    </r>
  </si>
  <si>
    <r>
      <t>As portinholas dos pisos, mezaninos ou passarelas foram afixadas com suas informações de carga máxima suportada?</t>
    </r>
    <r>
      <rPr>
        <i/>
        <sz val="8"/>
        <color theme="0" tint="-0.34998626667073579"/>
        <rFont val="Arial"/>
        <family val="2"/>
      </rPr>
      <t xml:space="preserve">
Have floor hatches, mezzanines or cat walks been posted with their applicable load ratings?</t>
    </r>
  </si>
  <si>
    <r>
      <t xml:space="preserve">Os corredores de pedestres e passagem de veículos são de largura suficiente, de acordo com a leguslação local, adequadamente separados e claramente identificados?
</t>
    </r>
    <r>
      <rPr>
        <i/>
        <sz val="8"/>
        <color theme="0" tint="-0.34998626667073579"/>
        <rFont val="Arial"/>
        <family val="2"/>
      </rPr>
      <t>Are pedestrian aisles and vehicle aisles of sufficient width, adequately separated, and clearly marked?</t>
    </r>
  </si>
  <si>
    <r>
      <t xml:space="preserve">As mangueiras, cabos, cordões, etc. dentro das estações de trabalho estão suspensas ou subterrâneas?
</t>
    </r>
    <r>
      <rPr>
        <i/>
        <sz val="8"/>
        <color theme="0" tint="-0.34998626667073579"/>
        <rFont val="Arial"/>
        <family val="2"/>
      </rPr>
      <t xml:space="preserve">Will hoses, cables, cords, etc. within workstations be either overhead or subsurface? </t>
    </r>
  </si>
  <si>
    <t>Espaço confinado</t>
  </si>
  <si>
    <r>
      <t xml:space="preserve">Todos os espaços confinados permitidos e não permitidos foram identificados e documentados?
</t>
    </r>
    <r>
      <rPr>
        <i/>
        <sz val="8"/>
        <color theme="0" tint="-0.34998626667073579"/>
        <rFont val="Arial"/>
        <family val="2"/>
      </rPr>
      <t>Have all permitted and non permitted confined spaces been identified and documented?</t>
    </r>
  </si>
  <si>
    <t>NR 33
33.5.21.1 A organização que possui espaços confinados deve manter no estabelecimento:
a) cadastro dos espaços confinados;
b) PETs emitidas; e
c) inventário de riscos do trabalho em espaço confinado, realizado pela contratada, quando
aplicável.</t>
  </si>
  <si>
    <r>
      <t xml:space="preserve">Os Espaços Confinados Permitidos foram informados?
</t>
    </r>
    <r>
      <rPr>
        <i/>
        <sz val="9"/>
        <color theme="0" tint="-0.34998626667073579"/>
        <rFont val="Arial"/>
        <family val="2"/>
      </rPr>
      <t>Have Permitted Confined Spaces been posted?</t>
    </r>
  </si>
  <si>
    <r>
      <t xml:space="preserve">Os Espaços Confinados Permitidos foram protegidos contra acesso não autorizado?
</t>
    </r>
    <r>
      <rPr>
        <i/>
        <sz val="8"/>
        <color theme="0" tint="-0.34998626667073579"/>
        <rFont val="Arial"/>
        <family val="2"/>
      </rPr>
      <t>Have Permitted Confined Spaces been secured against unauthorized access?</t>
    </r>
  </si>
  <si>
    <r>
      <t xml:space="preserve">As licenças foram revisadas para analisar a inclusão de novos espaços confinados no local?
</t>
    </r>
    <r>
      <rPr>
        <i/>
        <sz val="8"/>
        <color theme="0" tint="-0.34998626667073579"/>
        <rFont val="Arial"/>
        <family val="2"/>
      </rPr>
      <t>Have permits been revised to reflect the inclusion of new confined spaces on site?</t>
    </r>
  </si>
  <si>
    <r>
      <t xml:space="preserve">Os funcionário envolvidos na mudança serão treinados sobre os perigos presentes nos novos espaços confinados?
</t>
    </r>
    <r>
      <rPr>
        <i/>
        <sz val="8"/>
        <color theme="0" tint="-0.34998626667073579"/>
        <rFont val="Arial"/>
        <family val="2"/>
      </rPr>
      <t>Have affected personnel been trained on hazards present in the new confined spaces?</t>
    </r>
  </si>
  <si>
    <r>
      <t xml:space="preserve">Os procedimentos de resgate em espaço confinado estão de acordo com a legislação local e/ou atualizados, conforme necessário?
</t>
    </r>
    <r>
      <rPr>
        <i/>
        <sz val="8"/>
        <color theme="0" tint="-0.34998626667073579"/>
        <rFont val="Arial"/>
        <family val="2"/>
      </rPr>
      <t>Have confined space rescue procedures been evaluated and revised as necessary?</t>
    </r>
  </si>
  <si>
    <t>Outros requerimentos</t>
  </si>
  <si>
    <r>
      <t>O mapeamento de ruído ambiental foi realizado/atualizado?</t>
    </r>
    <r>
      <rPr>
        <i/>
        <sz val="8"/>
        <color theme="0" tint="-0.249977111117893"/>
        <rFont val="Arial"/>
        <family val="2"/>
      </rPr>
      <t xml:space="preserve">
Has baseline noise mapping been performed/updated?</t>
    </r>
  </si>
  <si>
    <r>
      <t xml:space="preserve">Foi realizada análise para perigos/ricos relacionados a </t>
    </r>
    <r>
      <rPr>
        <b/>
        <sz val="10"/>
        <rFont val="Arial"/>
        <family val="2"/>
      </rPr>
      <t>radiação não ionizante</t>
    </r>
    <r>
      <rPr>
        <sz val="10"/>
        <rFont val="Arial"/>
        <family val="2"/>
      </rPr>
      <t xml:space="preserve"> ou outros perigos físicos?
</t>
    </r>
    <r>
      <rPr>
        <i/>
        <sz val="8"/>
        <color theme="0" tint="-0.249977111117893"/>
        <rFont val="Arial"/>
        <family val="2"/>
      </rPr>
      <t>Has baseline sampling for non-ionizing radiation and other physical hazards been performed?</t>
    </r>
  </si>
  <si>
    <t>Como laser, ultrasom, radiação ultravioleta (UV)…</t>
  </si>
  <si>
    <r>
      <t xml:space="preserve">Os estudos de iluminação foram realizados/atualizados?
</t>
    </r>
    <r>
      <rPr>
        <i/>
        <sz val="8"/>
        <color theme="0" tint="-0.249977111117893"/>
        <rFont val="Arial"/>
        <family val="2"/>
      </rPr>
      <t>Have illumination studies been performed/updated?</t>
    </r>
  </si>
  <si>
    <r>
      <t xml:space="preserve">Se os funcionários da área precisam ser colocados em um programa de vigilância médica, os requisitos da legislação local são atendidos?
</t>
    </r>
    <r>
      <rPr>
        <i/>
        <sz val="8"/>
        <color theme="0" tint="-0.249977111117893"/>
        <rFont val="Arial"/>
        <family val="2"/>
      </rPr>
      <t>If operators in the area need to be placed into a medical surveillance program, are requirements of the guidance met?</t>
    </r>
  </si>
  <si>
    <t>Atualizar o PCMSO com a lista de funcionários envolvidos na mudança e os requisitos de monitoramento.</t>
  </si>
  <si>
    <r>
      <t xml:space="preserve">Se equipamentos de monitoramento adicionais foram identificados, eles foram adquiridos e instalados?
</t>
    </r>
    <r>
      <rPr>
        <i/>
        <sz val="8"/>
        <color theme="0" tint="-0.249977111117893"/>
        <rFont val="Arial"/>
        <family val="2"/>
      </rPr>
      <t>If additional monitoring equipment have been identified, have they been purchased and installed?</t>
    </r>
  </si>
  <si>
    <r>
      <t>O desempenho do sistema de ventilação e exaustão foram avaliados?</t>
    </r>
    <r>
      <rPr>
        <i/>
        <sz val="8"/>
        <color theme="0" tint="-0.249977111117893"/>
        <rFont val="Arial"/>
        <family val="2"/>
      </rPr>
      <t xml:space="preserve">
Has performance of the ventilation system been evaluated?</t>
    </r>
  </si>
  <si>
    <t>Certifique-se de que o desempenho da ventilação/exaustão atenda aos requisitos locais após as mudanças.</t>
  </si>
  <si>
    <r>
      <t xml:space="preserve">A ventilação e exaustão atendem aos requisitos de regulamentação local, se houver?
</t>
    </r>
    <r>
      <rPr>
        <i/>
        <sz val="8"/>
        <color theme="0" tint="-0.249977111117893"/>
        <rFont val="Arial"/>
        <family val="2"/>
      </rPr>
      <t>Does the ventilation meet local regulation requirements if any?</t>
    </r>
  </si>
  <si>
    <r>
      <t xml:space="preserve">O potencial de exposição ocupacional a patógenos transmitidos pelo sangue foram avaliados, o programa de saúde foi atualizado e o treinamento fornecido aos funcionários, conforme necessário?
</t>
    </r>
    <r>
      <rPr>
        <i/>
        <sz val="8"/>
        <color theme="0" tint="-0.249977111117893"/>
        <rFont val="Arial"/>
        <family val="2"/>
      </rPr>
      <t>Has the potential for occupational exposure to Bloodborne Pathogens been evaluated, and program updated and training provided as required?</t>
    </r>
  </si>
  <si>
    <t>Total</t>
  </si>
  <si>
    <t>Checklist de Gerenciamento de Produtos Químicos</t>
  </si>
  <si>
    <r>
      <t xml:space="preserve">Se novos produtos químicos tiverem que ser introduzidos, alterados ou modificados, os requisitos do Programa de Gerenciamento de Produtos Químicos do Departamento Global de EHS são aplicados?
</t>
    </r>
    <r>
      <rPr>
        <i/>
        <sz val="8"/>
        <color theme="0" tint="-0.249977111117893"/>
        <rFont val="Arial"/>
        <family val="2"/>
      </rPr>
      <t>If new chemicals have to be introduced, changed or modified, are requirements of the Chemical Management Program from the Global EHS Department applied?</t>
    </r>
  </si>
  <si>
    <t>O Programa de Gerenciamento de Produtos Químicos está disponível na Intranet do Departamento Global de EHS.</t>
  </si>
  <si>
    <r>
      <t xml:space="preserve">Os produtos químicos passaram pelo processo de aprovação/aquisição do Plano de Gerenciamento de Produtos Químicos do EHS local?
</t>
    </r>
    <r>
      <rPr>
        <i/>
        <sz val="8"/>
        <color theme="0" tint="-0.249977111117893"/>
        <rFont val="Arial"/>
        <family val="2"/>
      </rPr>
      <t>Have the chemicals gone through the site/service Chemical Management Plan's procurement and approval process?</t>
    </r>
  </si>
  <si>
    <r>
      <t xml:space="preserve">Verifique se os produtos químicos a serem usados não estão na lista de produtos químicos proibidos ou restritos da Essilor.
</t>
    </r>
    <r>
      <rPr>
        <i/>
        <sz val="8"/>
        <color theme="0" tint="-0.249977111117893"/>
        <rFont val="Arial"/>
        <family val="2"/>
      </rPr>
      <t>Check that the chemicals intended to be used are not on the Essilor banned or restricted list of chemicals?</t>
    </r>
  </si>
  <si>
    <t>Esta lista está disponível na Intranet do Departamento Global de EHS. 
Se os produtos químicos estiverem listados em uma dessas 2 listas, entre em contato com seu gerente de EHS local.</t>
  </si>
  <si>
    <r>
      <t>O Regulamento sobre registro, avaliação, autorização e restrição de produtos químicos (REACH) é a principal lei da UE para proteger a saúde humana e o meio ambiente dos riscos que os produtos químicos podem representar.
Regulamento REACH: Verifique se os produtos químicos não contêm nenhuma Substância de Alta Preocupação (SVHC) atualmente listada na lista da Agência Europeia de Produtos Químicos (ECHA)?</t>
    </r>
    <r>
      <rPr>
        <i/>
        <sz val="8"/>
        <color theme="0" tint="-0.249977111117893"/>
        <rFont val="Arial"/>
        <family val="2"/>
      </rPr>
      <t xml:space="preserve">
REACH regulation: Check that the chemicals do not contain any Substance of Very High Concern (SVHC) currently listed on the European Chemical Agency (ECHA) list?</t>
    </r>
  </si>
  <si>
    <t>Esta lista da ECHA é atualizada regularmente e está disponível em: https://echa.europa.eu/candidate-list-table
Se o produto químico contiver uma SVHC, entre em contato com seu gerente de EHS nacional ou regional ou com o Departamento de EHS global</t>
  </si>
  <si>
    <r>
      <t xml:space="preserve">As Fichas de Informações de Produtos Químicos (FISPQ) adequadas estão disponíveis para os novos produtos químicos?
</t>
    </r>
    <r>
      <rPr>
        <i/>
        <sz val="8"/>
        <color theme="0" tint="-0.249977111117893"/>
        <rFont val="Arial"/>
        <family val="2"/>
      </rPr>
      <t>Are proper Material Safety Data Sheets (MSDS) available for the new chemicals?</t>
    </r>
  </si>
  <si>
    <t>Verifique se as FISPQ estão disponíveis no idioma local e no formato adequado de acordo com a legislação local.</t>
  </si>
  <si>
    <r>
      <t xml:space="preserve">Os perigos dos novos produtos químicos foram devidamente avaliados para garantir que instalações, equipamentos e controles adequados estejam em vigor para manuseá-los com segurança?
</t>
    </r>
    <r>
      <rPr>
        <i/>
        <sz val="8"/>
        <color theme="0" tint="-0.249977111117893"/>
        <rFont val="Arial"/>
        <family val="2"/>
      </rPr>
      <t>Have the hazards of the new chemicals been properly assessed to ensure that adequate facilities, equipment and controls are in place to safely handle?</t>
    </r>
  </si>
  <si>
    <r>
      <t xml:space="preserve">A lista de produtos químicos aprovados (ACL) do site foi atualizada com os novos produtos químicos?
</t>
    </r>
    <r>
      <rPr>
        <i/>
        <sz val="8"/>
        <color theme="0" tint="-0.249977111117893"/>
        <rFont val="Arial"/>
        <family val="2"/>
      </rPr>
      <t>Has the site Approved Chemical List (ACL) been updated with the new chemicals?</t>
    </r>
  </si>
  <si>
    <r>
      <t>A atualização da</t>
    </r>
    <r>
      <rPr>
        <u/>
        <sz val="10"/>
        <rFont val="Arial"/>
        <family val="2"/>
      </rPr>
      <t xml:space="preserve"> Lista de Produtos Químicos Aprovados</t>
    </r>
    <r>
      <rPr>
        <sz val="10"/>
        <rFont val="Arial"/>
        <family val="2"/>
      </rPr>
      <t xml:space="preserve"> (ACL)</t>
    </r>
    <r>
      <rPr>
        <sz val="10"/>
        <rFont val="Arial"/>
      </rPr>
      <t xml:space="preserve"> do site, deve ser feita assim que um produto químico for aprovado pelo gerente de EHS local e pela equipe médica.</t>
    </r>
  </si>
  <si>
    <r>
      <t xml:space="preserve">Foram estabelecidos procedimentos seguros para armazenamento, distribuição, uso e descarte desses produtos químicos?
</t>
    </r>
    <r>
      <rPr>
        <i/>
        <sz val="8"/>
        <color theme="0" tint="-0.249977111117893"/>
        <rFont val="Arial"/>
        <family val="2"/>
      </rPr>
      <t>Have safe  procedures for storage, dispensing, use and disposal been established for these chemicals?</t>
    </r>
  </si>
  <si>
    <r>
      <t xml:space="preserve">As salas, armários e recipientes classificados estão devidamente identificados e disponibilizados para armazenamento seguro de produtos químicos?
</t>
    </r>
    <r>
      <rPr>
        <i/>
        <sz val="8"/>
        <color theme="0" tint="-0.249977111117893"/>
        <rFont val="Arial"/>
        <family val="2"/>
      </rPr>
      <t>Have properly rate rooms, cabinets and containers been indentified and made available for safe storage of chemicals?</t>
    </r>
  </si>
  <si>
    <r>
      <t>Foram tomadas providências para contenção secundária e segregação correta?</t>
    </r>
    <r>
      <rPr>
        <i/>
        <sz val="8"/>
        <color theme="0" tint="-0.249977111117893"/>
        <rFont val="Arial"/>
        <family val="2"/>
      </rPr>
      <t xml:space="preserve">
Have provisions been made for secondary containment &amp; segregation?</t>
    </r>
  </si>
  <si>
    <r>
      <t xml:space="preserve">Existem lava-olhos e chuveiros de segurança adequados nas áreas onde produtos químicos perigosos serão usados?
</t>
    </r>
    <r>
      <rPr>
        <i/>
        <sz val="8"/>
        <color theme="0" tint="-0.249977111117893"/>
        <rFont val="Arial"/>
        <family val="2"/>
      </rPr>
      <t>Are proper eyewash stations &amp; safety showers available in the areas where hazardous chemicals are to be used?</t>
    </r>
  </si>
  <si>
    <t>Verifique os requisitos da legislação local.</t>
  </si>
  <si>
    <r>
      <t xml:space="preserve">Estão disponíveis suprimentos adequados para conter derramamentos/vazamentos?
</t>
    </r>
    <r>
      <rPr>
        <i/>
        <sz val="8"/>
        <color theme="0" tint="-0.249977111117893"/>
        <rFont val="Arial"/>
        <family val="2"/>
      </rPr>
      <t xml:space="preserve">Are adequate spill response supplies available? </t>
    </r>
  </si>
  <si>
    <r>
      <t xml:space="preserve">Os requisitos de rotulagem de perigos de recipientes químicos foram identificados e implementados?     
</t>
    </r>
    <r>
      <rPr>
        <i/>
        <sz val="8"/>
        <color theme="0" tint="-0.249977111117893"/>
        <rFont val="Arial"/>
        <family val="2"/>
      </rPr>
      <t>Has chemical container hazard labeling requirements been identified and in place?</t>
    </r>
  </si>
  <si>
    <r>
      <t xml:space="preserve">As tubulações com passagem de produtos químicos estão devidamente rotuladas?
</t>
    </r>
    <r>
      <rPr>
        <i/>
        <sz val="8"/>
        <color theme="0" tint="-0.249977111117893"/>
        <rFont val="Arial"/>
        <family val="2"/>
      </rPr>
      <t>Is chemical piping properly labeled?</t>
    </r>
  </si>
  <si>
    <r>
      <t xml:space="preserve">Os funcionários envolvidos na mudança foram treinados sobre os perigos associados aos novos produtos químicos e como trabalhar com eles com segurança?
</t>
    </r>
    <r>
      <rPr>
        <i/>
        <sz val="8"/>
        <color theme="0" tint="-0.249977111117893"/>
        <rFont val="Arial"/>
        <family val="2"/>
      </rPr>
      <t>Have affected employees been trained on the hazards associated with the new chemicals and how to work with them safely?</t>
    </r>
  </si>
  <si>
    <r>
      <t xml:space="preserve">A hierarquia de controles (engenharia - administrativo - EPI) foi observada para minimizar ou eliminar a exposição a esses produtos químicos?
</t>
    </r>
    <r>
      <rPr>
        <i/>
        <sz val="8"/>
        <color theme="0" tint="-0.249977111117893"/>
        <rFont val="Arial"/>
        <family val="2"/>
      </rPr>
      <t>Have the hierarchy of controls (e.g., engineering, administrative &amp; PPE) been observed to minimize or eliminate exposure to these chemicals?</t>
    </r>
  </si>
  <si>
    <r>
      <t>Foi realizada uma análise qualitativa de exposição ao produtos quimicos para determinar o risco de exposição do funcionário a esses produtos químicos?</t>
    </r>
    <r>
      <rPr>
        <i/>
        <sz val="8"/>
        <color theme="0" tint="-0.249977111117893"/>
        <rFont val="Arial"/>
        <family val="2"/>
      </rPr>
      <t xml:space="preserve">
Has a qualitative Industrial Hygiene Risk Assessment (IHRA) been performed to determine employee exposure risk to these chemicals? </t>
    </r>
  </si>
  <si>
    <r>
      <t>Com base nos resultados da análise qualitativa de exposição ao produtos quimicos, foi realizada análise quantitativa dos níveis de exposição química dos funcionários?</t>
    </r>
    <r>
      <rPr>
        <i/>
        <sz val="8"/>
        <color theme="0" tint="-0.249977111117893"/>
        <rFont val="Arial"/>
        <family val="2"/>
      </rPr>
      <t xml:space="preserve">
Based on the results of the qualitative IHRA, has sampling been performed to quantify employee chemical exposure levels?</t>
    </r>
  </si>
  <si>
    <r>
      <t xml:space="preserve">Com base nos resultados da análise qualitativa de exposição ao produtos quimicos,os funcionários da área precisarão ser inseridos ou ter os exames do PCMSO alterados?
</t>
    </r>
    <r>
      <rPr>
        <i/>
        <sz val="8"/>
        <color theme="0" tint="-0.249977111117893"/>
        <rFont val="Arial"/>
        <family val="2"/>
      </rPr>
      <t>Based on the results of the qualitative IHRA, will operators in the area need to be placed into a medical surveillance program?</t>
    </r>
  </si>
  <si>
    <t>Transporte de químicos</t>
  </si>
  <si>
    <r>
      <t xml:space="preserve">Se algum produto químico tiver que ser enviado do local, os requisitos da legislação local foram atendidos?
</t>
    </r>
    <r>
      <rPr>
        <i/>
        <sz val="8"/>
        <color theme="0" tint="-0.249977111117893"/>
        <rFont val="Arial"/>
        <family val="2"/>
      </rPr>
      <t>If any chemicals have to be shipped from site, are requirements of the guidance met?</t>
    </r>
  </si>
  <si>
    <t>Inclua FISPQ e ficha de emergência com o material durante o envio. 
Se necessário, entre em contato com o Departamento Global de EHS para obter orientação sobre Transporte de Materiais Perigosos, DOT e IATA para remessa internacional e com o EHS Local para envio nacional.</t>
  </si>
  <si>
    <r>
      <t xml:space="preserve">Se a mudança envolver a importação ou exportação de quaisquer novos produtos químicos, os requisitos da orientação foram atendidos?
</t>
    </r>
    <r>
      <rPr>
        <i/>
        <sz val="8"/>
        <color theme="0" tint="-0.249977111117893"/>
        <rFont val="Arial"/>
        <family val="2"/>
      </rPr>
      <t>If the change involve the import or export of any new chemicals, are requirements of the guidance met?</t>
    </r>
  </si>
  <si>
    <t>Adicionar à lista de importação e exportação de sites. 
Verifique se não há proibições ou restrições do país sobre produtos químicos a serem exportados/importados. 
Existem registros de produtos específicos do país necessários? 
Se necessário, entre em contato com o Departamento Global de EHS para obter orientação sobre Transporte de Materiais Perigosos</t>
  </si>
  <si>
    <t>Checklist de Segurança Elétrica</t>
  </si>
  <si>
    <r>
      <t xml:space="preserve">Todas as instalações elétricas estão identificadas?
</t>
    </r>
    <r>
      <rPr>
        <i/>
        <sz val="8"/>
        <color theme="0" tint="-0.249977111117893"/>
        <rFont val="Arial"/>
        <family val="2"/>
      </rPr>
      <t>Are all electrical installations identified?</t>
    </r>
  </si>
  <si>
    <t>Certifique-se de que todas as instalações elétricas estejam de acordo com os padrões, classificações e requisitos de rotulagem aplicáveis. 
Certifique-se de que as tensões nominais e os circuitos de alimentação foram marcados nos painéis de disjuntores, controladores de motor e receptáculos. 
As quedas pendentes foram avaliadas para garantir um projeto adequado e controle de tensão. 
Os receptores elétricos foram testados para garantir fiação, tensão, tensão nominal e resistência adequadas. 
Os diretórios do disjuntor são correspondentes, corretos e completos? Existem desenhos elétricos do local, do prédio, do departamento ou do equipamento atualizados.</t>
  </si>
  <si>
    <r>
      <t xml:space="preserve">A rede de energia da instalação da distribuição ou o painel de ramificação para a desconexão principal do equipamento foram verificados quanto às conexões e rotulagem corretas?
</t>
    </r>
    <r>
      <rPr>
        <i/>
        <sz val="8"/>
        <color theme="0" tint="-0.249977111117893"/>
        <rFont val="Arial"/>
        <family val="2"/>
      </rPr>
      <t>Has the facility power network from the distribution or branch panel to the equipment main disconnect been verified for correct connections and labeling?</t>
    </r>
  </si>
  <si>
    <r>
      <t xml:space="preserve">Existe alguma trava que bloqueia a energia principal e que seja facilmente acessível, devidamente rotulada e capaz de desconectar todas as fontes de energia elétrica do equipamento?
</t>
    </r>
    <r>
      <rPr>
        <i/>
        <sz val="8"/>
        <color theme="0" tint="-0.249977111117893"/>
        <rFont val="Arial"/>
        <family val="2"/>
      </rPr>
      <t>Is there a lockable main power disconnect that is readily accessible, properly labeled, and capable of disconnecting all electrical power sources to the equipment?</t>
    </r>
  </si>
  <si>
    <r>
      <t>Todos os painéis elétricos têm acesso desimpedido?</t>
    </r>
    <r>
      <rPr>
        <i/>
        <sz val="8"/>
        <color theme="0" tint="-0.249977111117893"/>
        <rFont val="Arial"/>
        <family val="2"/>
      </rPr>
      <t xml:space="preserve">
Do all electrical panels have unimpeded access?</t>
    </r>
  </si>
  <si>
    <t>Painéis elétricos e seccionadores devem ter, no mínimo, 1 metro de espaço desobstruído à sua frente ou mais se exigido pela regulamentação local.</t>
  </si>
  <si>
    <r>
      <t>Todos os painéis elétricos estão fechados/seguros?</t>
    </r>
    <r>
      <rPr>
        <i/>
        <sz val="8"/>
        <color theme="0" tint="-0.249977111117893"/>
        <rFont val="Arial"/>
        <family val="2"/>
      </rPr>
      <t xml:space="preserve">
Do all electrical panels are closed/secured?</t>
    </r>
  </si>
  <si>
    <r>
      <t xml:space="preserve">Todas as fontes de energia foram devidamente identificadas e marcadas?
</t>
    </r>
    <r>
      <rPr>
        <i/>
        <sz val="8"/>
        <color theme="0" tint="-0.249977111117893"/>
        <rFont val="Arial"/>
        <family val="2"/>
      </rPr>
      <t>Have all energy sources been properly identified and marked?</t>
    </r>
  </si>
  <si>
    <r>
      <t xml:space="preserve">As tomadas elétricas foram testadas para garantir fiação, tensão, tensão nominal e resistência adequadas?
</t>
    </r>
    <r>
      <rPr>
        <i/>
        <sz val="8"/>
        <color theme="0" tint="-0.249977111117893"/>
        <rFont val="Arial"/>
        <family val="2"/>
      </rPr>
      <t>Have electrical receptacles been tested to ensure proper wiring, tension, nominal voltage and resistance?</t>
    </r>
  </si>
  <si>
    <r>
      <t>As tensões nominais e os circuitos de alimentação foram marcados nos painéis de disjuntores, controladores de motor e receptáculos?</t>
    </r>
    <r>
      <rPr>
        <i/>
        <sz val="8"/>
        <color theme="0" tint="-0.249977111117893"/>
        <rFont val="Arial"/>
        <family val="2"/>
      </rPr>
      <t xml:space="preserve">
Have nominal voltages and feeder circuits been marked on breaker panels, motor controllers and receptacles?</t>
    </r>
  </si>
  <si>
    <r>
      <t xml:space="preserve">Os diretórios de disjuntores estão correspondentes, corretos e completos?
</t>
    </r>
    <r>
      <rPr>
        <i/>
        <sz val="8"/>
        <color theme="0" tint="-0.249977111117893"/>
        <rFont val="Arial"/>
        <family val="2"/>
      </rPr>
      <t xml:space="preserve">Are breaker directories posted, accurate and complete? </t>
    </r>
  </si>
  <si>
    <r>
      <t xml:space="preserve">Há diagrama unifilar disponíveis para circuitos das áreas?
</t>
    </r>
    <r>
      <rPr>
        <i/>
        <sz val="8"/>
        <color theme="0" tint="-0.249977111117893"/>
        <rFont val="Arial"/>
        <family val="2"/>
      </rPr>
      <t>Are single-line diagram (SLD)drawings available for circuits in the area?</t>
    </r>
  </si>
  <si>
    <r>
      <t xml:space="preserve">Existe dispositivos de Proteção contra Surtos (DPS) que conseguem detectar sobretensões transitórias na rede elétrica causados por descargas atmosféricas instalados e operando de acordo com o projeto?
</t>
    </r>
    <r>
      <rPr>
        <i/>
        <sz val="8"/>
        <color theme="0" tint="-0.249977111117893"/>
        <rFont val="Arial"/>
        <family val="2"/>
      </rPr>
      <t>Is a ground fault circuit interrupt (GFCI) system installed &amp; operating per design, where applicable?</t>
    </r>
  </si>
  <si>
    <r>
      <t xml:space="preserve">A continuidade do aterramento foi verificada? (Cintas de aterramento/ligação instaladas e verificadas quando aplicável)
</t>
    </r>
    <r>
      <rPr>
        <i/>
        <sz val="8"/>
        <color theme="0" tint="-0.249977111117893"/>
        <rFont val="Arial"/>
        <family val="2"/>
      </rPr>
      <t>Has ground continuity been verified? (Ground/bond straps installed &amp; verified where applicable)</t>
    </r>
  </si>
  <si>
    <r>
      <t xml:space="preserve">Se necessário, os interruptores de falha de aterramento são instalados e testados?
</t>
    </r>
    <r>
      <rPr>
        <i/>
        <sz val="8"/>
        <color theme="0" tint="-0.249977111117893"/>
        <rFont val="Arial"/>
        <family val="2"/>
      </rPr>
      <t>If needed, are ground fault interrupters installed and tested?</t>
    </r>
  </si>
  <si>
    <r>
      <t xml:space="preserve">Os condutores expostos são protegidos conforme exigências locais?
</t>
    </r>
    <r>
      <rPr>
        <i/>
        <sz val="8"/>
        <color theme="0" tint="-0.249977111117893"/>
        <rFont val="Arial"/>
        <family val="2"/>
      </rPr>
      <t>Are exposed conductors guarded as required?</t>
    </r>
  </si>
  <si>
    <r>
      <t xml:space="preserve">As lumináras pendentes foram avaliadas para garantir projeto adequado e o controle de tensão? 
</t>
    </r>
    <r>
      <rPr>
        <i/>
        <sz val="8"/>
        <color theme="0" tint="-0.249977111117893"/>
        <rFont val="Arial"/>
        <family val="2"/>
      </rPr>
      <t>Have pendant drops been evaluated to ensure proper design and tension control?</t>
    </r>
  </si>
  <si>
    <t>ATEX (Ante-Explosão) and Arco Elétrico</t>
  </si>
  <si>
    <r>
      <t xml:space="preserve">Se instalados em locais classificados como perigosos ou expostos a vapores inflamáveis, todos os componentes elétricos são classificados para locais perigosos, de acordo com os requisitos ATEX (ante explosão)? 
</t>
    </r>
    <r>
      <rPr>
        <i/>
        <sz val="8"/>
        <color theme="0" tint="-0.249977111117893"/>
        <rFont val="Arial"/>
        <family val="2"/>
      </rPr>
      <t>If installed in hazardous classified locations or exposed to flammable vapors, are all electrical components rated for hazardous locations in accordance with ATEX requirements?</t>
    </r>
  </si>
  <si>
    <t>Material elétrico EX para atmosferas explosivas.</t>
  </si>
  <si>
    <r>
      <t xml:space="preserve">Se aplicável, as marcações do raio de explosão do arco elétrico foram aplicadas aos controladores de motores, disjuntores e outras instalações elétricas?
</t>
    </r>
    <r>
      <rPr>
        <i/>
        <sz val="8"/>
        <color theme="0" tint="-0.249977111117893"/>
        <rFont val="Arial"/>
        <family val="2"/>
      </rPr>
      <t>When applicable (e.g. NFPA 70 ), have Arc Blast field markings been applied to motor controllers, breakers and other applicable installations?</t>
    </r>
  </si>
  <si>
    <r>
      <t xml:space="preserve">Os cálculos de energia incidente de uma explosão de arco foram realizados?
</t>
    </r>
    <r>
      <rPr>
        <i/>
        <sz val="8"/>
        <color theme="0" tint="-0.249977111117893"/>
        <rFont val="Arial"/>
        <family val="2"/>
      </rPr>
      <t>Have arc blast incident energy calculations been performed?</t>
    </r>
  </si>
  <si>
    <r>
      <t xml:space="preserve">A fiação/equipamento elétrico estão protegidos contra prováveis fontes de vazamento de líquido?
</t>
    </r>
    <r>
      <rPr>
        <i/>
        <sz val="8"/>
        <color theme="0" tint="-0.249977111117893"/>
        <rFont val="Arial"/>
        <family val="2"/>
      </rPr>
      <t>Is electrical wiring / equipment protected from probable liquid leak sources?</t>
    </r>
  </si>
  <si>
    <t>Lock-Out / Tag-Out (LOTO)</t>
  </si>
  <si>
    <r>
      <t xml:space="preserve">Os meios primários de bloqueio LOTO são compatíveis?
</t>
    </r>
    <r>
      <rPr>
        <i/>
        <sz val="8"/>
        <color theme="0" tint="-0.249977111117893"/>
        <rFont val="Arial"/>
        <family val="2"/>
      </rPr>
      <t>Are primary means of disconnects LOTO compatible?</t>
    </r>
  </si>
  <si>
    <r>
      <t xml:space="preserve">Foram desenvolvidos procedimentos LOTO específicos para cada equipamento?
</t>
    </r>
    <r>
      <rPr>
        <i/>
        <sz val="8"/>
        <color theme="0" tint="-0.249977111117893"/>
        <rFont val="Arial"/>
        <family val="2"/>
      </rPr>
      <t>Have equipment-specific LOTO procedures been developed?</t>
    </r>
  </si>
  <si>
    <t>Como fontes elétricas, mecânicas, hidráulicas, químicas ou térmicas.</t>
  </si>
  <si>
    <t>Checklist de Segurança Organizacional</t>
  </si>
  <si>
    <t>Resposta a Emergência</t>
  </si>
  <si>
    <r>
      <t xml:space="preserve">Essa mudança afetará a capacidade do pessoal de responder com segurança durante uma crise ou situação de emergência?
</t>
    </r>
    <r>
      <rPr>
        <i/>
        <sz val="8"/>
        <color theme="0" tint="-0.34998626667073579"/>
        <rFont val="Arial"/>
        <family val="2"/>
      </rPr>
      <t>Will this change affect the ability of personnel to respond safely during a crisis or an emergency situation?</t>
    </r>
  </si>
  <si>
    <t xml:space="preserve">Se sim, complete a planilha "Emergency Prepardness - Fire Prevention &amp; Protection" </t>
  </si>
  <si>
    <r>
      <t xml:space="preserve">Se o plano de resposta a emergências do local for afetado, os requisitos da legislação foram atendidos?
</t>
    </r>
    <r>
      <rPr>
        <i/>
        <sz val="8"/>
        <color theme="0" tint="-0.34998626667073579"/>
        <rFont val="Arial"/>
        <family val="2"/>
      </rPr>
      <t>If the site emergency response plan is impacted, are requirements of the guidance met?</t>
    </r>
  </si>
  <si>
    <t xml:space="preserve">Verifique e atualize os documentos relacionados a situação de emergência, tais como: Plano de Ação de Emergência (PAE), Plano de Contingência de Negócios, Brigada de Emergência, reações em caso de incêndio, explosão, condições climáticas extremas, terremoto, ameaça de bomba… devido a mudança.
</t>
  </si>
  <si>
    <t>Segurança</t>
  </si>
  <si>
    <r>
      <t xml:space="preserve">Se a segurança geral da planta ou do pessoal for afetada, os procedimentos, documentos e organização são atualizados?
</t>
    </r>
    <r>
      <rPr>
        <i/>
        <sz val="8"/>
        <color theme="0" tint="-0.34998626667073579"/>
        <rFont val="Arial"/>
        <family val="2"/>
      </rPr>
      <t>If the overall Safety of the plant or personnel be impacted, are procedures, documents, organization updated?</t>
    </r>
  </si>
  <si>
    <r>
      <t xml:space="preserve">Se as inspeções de segurança programadas de itens como chuveiros de segurança, extintores de incêndio, guindastes, escadas, etc. sofrerem impacto, os requisitos da legislação são atendidos?
</t>
    </r>
    <r>
      <rPr>
        <i/>
        <sz val="8"/>
        <color theme="0" tint="-0.34998626667073579"/>
        <rFont val="Arial"/>
        <family val="2"/>
      </rPr>
      <t>If scheduled safety inspections of items such as safety showers, fire extinguishers, hoists, ladders, etc be impacted, are requirements of the guidance met?</t>
    </r>
  </si>
  <si>
    <t>Atualizar documentos relevantes e treinar nova(s) pessoa(s)</t>
  </si>
  <si>
    <r>
      <t xml:space="preserve">Se a emissão e encerramento das permissões de segurança para trabalho perigosos (permissão de trabalho a quente, plano de prevenção...) forem afetadas, os requisitos da legislação são atendidos?
</t>
    </r>
    <r>
      <rPr>
        <i/>
        <sz val="8"/>
        <color theme="0" tint="-0.34998626667073579"/>
        <rFont val="Arial"/>
        <family val="2"/>
      </rPr>
      <t>If completion of Safety permits (Hot work permit, prevention plan…) be impacted, are requirements of the guidance met?</t>
    </r>
  </si>
  <si>
    <r>
      <t xml:space="preserve">Se a mudança afetar a capacidade de garantir a Manutenção Preventiva, os requisitos da legislação são atendidos?
</t>
    </r>
    <r>
      <rPr>
        <i/>
        <sz val="8"/>
        <color theme="0" tint="-0.34998626667073579"/>
        <rFont val="Arial"/>
        <family val="2"/>
      </rPr>
      <t>If the change affect the ability to ensure Preventive Maintenance, are requirements of the guidance met??</t>
    </r>
  </si>
  <si>
    <r>
      <t xml:space="preserve">Se as reuniões de segurança antes das Operações de Alto Risco ou Operações envolvendo Contratadas forem impactadas, os requisitos da orientação são atendidos?
</t>
    </r>
    <r>
      <rPr>
        <i/>
        <sz val="8"/>
        <color theme="0" tint="-0.34998626667073579"/>
        <rFont val="Arial"/>
        <family val="2"/>
      </rPr>
      <t>If safety meetings before High Risk Operations or Operations involving Contractors be impacted, are requirements of the guidance met?</t>
    </r>
  </si>
  <si>
    <r>
      <t xml:space="preserve">Se a mudança afetar a(s) pessoa(s) responsável(is) pela realização de auditorias de segurança ou revisões, os requisitos da legislação foram atendidos?
</t>
    </r>
    <r>
      <rPr>
        <i/>
        <sz val="8"/>
        <color theme="0" tint="-0.34998626667073579"/>
        <rFont val="Arial"/>
        <family val="2"/>
      </rPr>
      <t>If the change impact a person(s) responsible for conducting other safety audits or reviews, are requirements of the guidance met?</t>
    </r>
  </si>
  <si>
    <t>Meio Ambiente</t>
  </si>
  <si>
    <r>
      <t xml:space="preserve">Se a mudança afetar a posição de uma pessoa responsável por tarefas ambientais, como amostragem, licenciamento, detecção de vazamento, manutenção de registros, inspeções, etc., os requisitos da legislação foram atendidos?
</t>
    </r>
    <r>
      <rPr>
        <i/>
        <sz val="8"/>
        <color theme="0" tint="-0.34998626667073579"/>
        <rFont val="Arial"/>
        <family val="2"/>
      </rPr>
      <t>If the change impact a person(s) position who is responsible for environmental tasks such as sampling, permitting, leak detecting, recordkeeping, inspections, etc, are requirements of the guidance met?</t>
    </r>
  </si>
  <si>
    <r>
      <t xml:space="preserve">Se o descarte de resíduos, limpeza, inspeções, área de armazenamento de produtos químicos, etc. forem afetados, os requisitos da legislação são atendidos?
</t>
    </r>
    <r>
      <rPr>
        <i/>
        <sz val="8"/>
        <color theme="0" tint="-0.34998626667073579"/>
        <rFont val="Arial"/>
        <family val="2"/>
      </rPr>
      <t>If waste disposal, housekeeping, inspections, chemical storage area, etc be affected, are requirements of the guidance met?</t>
    </r>
  </si>
  <si>
    <r>
      <t xml:space="preserve">Se a mudança afetar a capacidade de determinar desvios ou violações de licenças ambientais aplicáveis a unidade, os requisitos da legislação são atendidos?
</t>
    </r>
    <r>
      <rPr>
        <i/>
        <sz val="8"/>
        <color theme="0" tint="-0.34998626667073579"/>
        <rFont val="Arial"/>
        <family val="2"/>
      </rPr>
      <t>If change impact the ability to determine deviations or violations of environmental permits applicable to site, are requirements of the guidance met?</t>
    </r>
  </si>
  <si>
    <t>Higiene Ocupacional e impacto na saúde do trabalhador</t>
  </si>
  <si>
    <r>
      <t>Se a mudança afetar a capacidade de realizar monitoramento ou coleta de dados de exposição de Higiene Industrial, os requisitos da legislação são atendidos?</t>
    </r>
    <r>
      <rPr>
        <i/>
        <sz val="8"/>
        <color theme="0" tint="-0.34998626667073579"/>
        <rFont val="Arial"/>
        <family val="2"/>
      </rPr>
      <t xml:space="preserve">
If the change affect the ability to perform monitoring or gathering of IH exposure data, are requirements of the guidance met?</t>
    </r>
  </si>
  <si>
    <r>
      <t xml:space="preserve">Se os cronogramas de coleta de dados forem afetados, os requisitos da legislação são atendidos?
</t>
    </r>
    <r>
      <rPr>
        <i/>
        <sz val="8"/>
        <color theme="0" tint="-0.34998626667073579"/>
        <rFont val="Arial"/>
        <family val="2"/>
      </rPr>
      <t>If schedules of data gathering be affected, are requirements of the guidance met?</t>
    </r>
  </si>
  <si>
    <r>
      <t>Se o monitoramento da saúde for afetado, os requisitos da legislação são atendidos?</t>
    </r>
    <r>
      <rPr>
        <i/>
        <sz val="8"/>
        <color theme="0" tint="-0.34998626667073579"/>
        <rFont val="Arial"/>
        <family val="2"/>
      </rPr>
      <t xml:space="preserve">
If health monitoring is affected, are requirements of the guidance met?</t>
    </r>
  </si>
  <si>
    <t xml:space="preserve">Treinamento de EHS </t>
  </si>
  <si>
    <r>
      <t xml:space="preserve">Se o treinamento sobre tópicos de EHS for afetado (cronograma, entrega, rastreamento, atualização de conteúdo e material de treinamento...), os requisitos da legislação são atendidos?
</t>
    </r>
    <r>
      <rPr>
        <i/>
        <sz val="8"/>
        <color theme="0" tint="-0.34998626667073579"/>
        <rFont val="Arial"/>
        <family val="2"/>
      </rPr>
      <t>If training on EHS topics be impacted (schedule, delivering, tracking, update of training content and material…), are requirements of the guidance met?</t>
    </r>
  </si>
  <si>
    <r>
      <t xml:space="preserve">Se o treinamento de funcionários novos, realocados ou transferidos forem afetados, os requisitos da legislação são atendidos?
</t>
    </r>
    <r>
      <rPr>
        <i/>
        <sz val="8"/>
        <color theme="0" tint="-0.34998626667073579"/>
        <rFont val="Arial"/>
        <family val="2"/>
      </rPr>
      <t>If training for new or relocated personnel be impacted, are requirements of the guidance met?</t>
    </r>
  </si>
  <si>
    <t>EHS - Outros</t>
  </si>
  <si>
    <r>
      <t xml:space="preserve">Se houver algum outro requisito de conformidade ou gerenciamento que possa ser afetado por essa mudança, eles foram atualizados?
</t>
    </r>
    <r>
      <rPr>
        <i/>
        <sz val="8"/>
        <color theme="0" tint="-0.34998626667073579"/>
        <rFont val="Arial"/>
        <family val="2"/>
      </rPr>
      <t>If there is any other compliance or management requirements which would be affected by this change, have they been updated?</t>
    </r>
  </si>
  <si>
    <r>
      <t xml:space="preserve">Se os procedimentos ou a documentação precisarem ser modificados para levar em consideração essa mudança, essas atualizações estão concluídas?
</t>
    </r>
    <r>
      <rPr>
        <i/>
        <sz val="8"/>
        <color theme="0" tint="-0.34998626667073579"/>
        <rFont val="Arial"/>
        <family val="2"/>
      </rPr>
      <t>If procedures or documentation need to be modified to take into account this change, are these updates completed?</t>
    </r>
  </si>
  <si>
    <t>Checklist de Ergonomia</t>
  </si>
  <si>
    <t>Necessidade de análises ergonômicas</t>
  </si>
  <si>
    <r>
      <t xml:space="preserve">A alteração implica impactos ao nível do posto de trabalho, postura do trabalhador, equipamentos, carga a transportar, movimentos repetitivos, organização do trabalho (em termos de horário, turno, competências, competências e conhecimentos, procedimento…)…?
</t>
    </r>
    <r>
      <rPr>
        <i/>
        <sz val="8"/>
        <color theme="0" tint="-0.34998626667073579"/>
        <rFont val="Arial"/>
        <family val="2"/>
      </rPr>
      <t>Does the change imply impacts regarding workstation, worker posture, equipment, load to carry, repetitive movements,  work organization (in terms of schedule, shift, competencies, skills and knowledge, procedure…) …?</t>
    </r>
  </si>
  <si>
    <t>Uma análise ergonômica deve ser realizada e um plano de ações corretivas deve ser estabelecido.</t>
  </si>
  <si>
    <r>
      <t xml:space="preserve">A interface com outros equipamentos foi estudada?
</t>
    </r>
    <r>
      <rPr>
        <i/>
        <sz val="8"/>
        <color theme="0" tint="-0.34998626667073579"/>
        <rFont val="Arial"/>
        <family val="2"/>
      </rPr>
      <t>Has interfacing with others equipments been studied ?</t>
    </r>
  </si>
  <si>
    <t>Se for o caso, atualize a análise ergonômica dos equipamentos próximos.</t>
  </si>
  <si>
    <t>Equipamento, instalação &amp; Projeto</t>
  </si>
  <si>
    <t>Tamanho e layout das estações de trabalho (sentado e em pé) e posturas</t>
  </si>
  <si>
    <r>
      <t xml:space="preserve">O tamanho e o layout da estação de trabalho atendem aos padrões?
Os controles manuais estão posicionados corretamente e projetados para permitir uma boa postura dos membros superiores?
Alguma parte do corpo está exposta a pressão constante?
</t>
    </r>
    <r>
      <rPr>
        <i/>
        <sz val="8"/>
        <color theme="0" tint="-0.34998626667073579"/>
        <rFont val="Arial"/>
        <family val="2"/>
      </rPr>
      <t>Does the workstation size and layout meet standards ?
Are hand controls correctly placed and designed to allow a good upper limb posture ?
Is any body part exposed to constant pressure ?</t>
    </r>
  </si>
  <si>
    <t>Ver orientação para aspectos antropométricos (medidas primárias: peso, altura, dobras cutâneas e circunferências e medidas secundárias: índice de massa corpórea, peso ideal e soma de dobras cutâneas)
Leve em consideração as áreas de alcance.
Consulte as recomendações para as posições sentada e sentada/em pé.</t>
  </si>
  <si>
    <r>
      <t xml:space="preserve">O projeto e a instalação da estação de trabalho minimizam as más posturas dos pulsos, mãos, braços, pescoço e costas?
O espaço de trabalho permite uma postura estável e neutra?
</t>
    </r>
    <r>
      <rPr>
        <i/>
        <sz val="8"/>
        <color theme="0" tint="-0.34998626667073579"/>
        <rFont val="Arial"/>
        <family val="2"/>
      </rPr>
      <t>Does the workstation design and installation minimize poor postures of the wrists, hands, arms, neck and back ?
Does the workspace allow a stable, neutral posture ?</t>
    </r>
  </si>
  <si>
    <t xml:space="preserve">A posição de todas essas partes do corpo deve estar próxima da posição natural.
Ver orientação para aspectos antropométricos.
</t>
  </si>
  <si>
    <r>
      <t xml:space="preserve">Há espaço suficiente para as pernas na postura sentada ou em pé?
</t>
    </r>
    <r>
      <rPr>
        <i/>
        <sz val="8"/>
        <color theme="0" tint="-0.34998626667073579"/>
        <rFont val="Arial"/>
        <family val="2"/>
      </rPr>
      <t>Is there sufficient leg room for sitting or sitting-standing postures ?</t>
    </r>
  </si>
  <si>
    <t>Mantenha as pernas relaxadas e apoiadas na frente do corpo.</t>
  </si>
  <si>
    <r>
      <t xml:space="preserve">A cadeira está em bom estado e ajustável?
Apoiando as costas? Equipada com um encosto? Altura devidamente ajustada à pessoa e à tarefa a realizar ?
As pernas e os pés da pessoa estão bem posicionados e apoiados?
</t>
    </r>
    <r>
      <rPr>
        <i/>
        <sz val="8"/>
        <color theme="0" tint="-0.34998626667073579"/>
        <rFont val="Arial"/>
        <family val="2"/>
      </rPr>
      <t>Is the chair:In good condition and adjustable ?
Supporting the back ? Equipped with a back rest ? Height properly adjusted for the person and the task to be done ?
Are the person's legs and feet properly positioned and supported ?</t>
    </r>
  </si>
  <si>
    <t>O encosto da cadeira deve apoiar firmemente a região lombar e a parte superior das costas.
Os quadris e os joelhos devem estar ligeiramente na mesma altura.
As pernas devem formar um ângulo de aproximadamente 90°; deve haver um espaço entre a parte de trás dos joelhos e a borda do assento, os pés devem estar apoiados no chão ou no apoio para os pés.
Consulte a legislação local para cadeiras com apoio lombar, apoios de braços.</t>
  </si>
  <si>
    <r>
      <t xml:space="preserve">O trabalho em pé é organizado para limitar o impacto negativo?
</t>
    </r>
    <r>
      <rPr>
        <i/>
        <sz val="8"/>
        <color theme="0" tint="-0.34998626667073579"/>
        <rFont val="Arial"/>
        <family val="2"/>
      </rPr>
      <t>Is standing work organized to limit the negative impact ?</t>
    </r>
  </si>
  <si>
    <t>Para posturas de trabalho em pé, é sugerido palmilha antifadiga e instalação de tapete antifadiga.</t>
  </si>
  <si>
    <t>Acesso e movimento em torno da estação de trabalho</t>
  </si>
  <si>
    <r>
      <t xml:space="preserve">O funcionário pode acessar facilmente as superfícies de trabalho?
O espaço de trabalho está adequado à tarefa?
Há espaço suficiente para o funcionário trabalhar?
</t>
    </r>
    <r>
      <rPr>
        <i/>
        <sz val="8"/>
        <color theme="0" tint="-0.34998626667073579"/>
        <rFont val="Arial"/>
        <family val="2"/>
      </rPr>
      <t>Can employee easily access work surfaces ?
Is the workspace fitting with the task ?
Is there sufficient space for employee to work ?</t>
    </r>
  </si>
  <si>
    <t xml:space="preserve">Ver orientação para aspectos antropométricos (medidas primárias: peso, altura, dobras cutâneas e circunferências e medidas secundárias: índice de massa corpórea, peso ideal e soma de dobras cutâneas)
</t>
  </si>
  <si>
    <r>
      <t xml:space="preserve">Existem espaços funcionais adequados no local de trabalho para reduzir a necessidade de torcer o tronco ou assumir outras posturas incômodas?
Existem unidades de armazenamento suficientes para arquivar a documentação ou guardar as ferramentas?
</t>
    </r>
    <r>
      <rPr>
        <i/>
        <sz val="8"/>
        <color theme="0" tint="-0.34998626667073579"/>
        <rFont val="Arial"/>
        <family val="2"/>
      </rPr>
      <t>Are there adequate functional clearances around the workplace to reduce needs for twisting the trunk or taking other awkward postures ?
Are there enough storage units to file away the documentation or to put away the tools ?</t>
    </r>
  </si>
  <si>
    <r>
      <t xml:space="preserve">Há espaço suficiente entre as diferentes estações de trabalho?
</t>
    </r>
    <r>
      <rPr>
        <i/>
        <sz val="8"/>
        <color theme="0" tint="-0.34998626667073579"/>
        <rFont val="Arial"/>
        <family val="2"/>
      </rPr>
      <t>Is there enough room between the different workstations ?</t>
    </r>
  </si>
  <si>
    <t>Veja recomendação/legislação para layout de corredores.</t>
  </si>
  <si>
    <t>Informações (marcações e identificações)</t>
  </si>
  <si>
    <r>
      <t xml:space="preserve">As instruções de processo, ou informações necessárias para realizar o trabalho ou para usar novos equipamentos, estão disponíveis na estação de trabalho?
É necessário instalar novas informações devido à mudança?
</t>
    </r>
    <r>
      <rPr>
        <i/>
        <sz val="8"/>
        <color theme="0" tint="-0.34998626667073579"/>
        <rFont val="Arial"/>
        <family val="2"/>
      </rPr>
      <t>Are process instructions, or information, needed to carry out the work or to use new equipment, be available on workstation ?
Is it necessary to install new information due to the change ?</t>
    </r>
  </si>
  <si>
    <t>Forneça informações claras, bem marcadas e fáceis de lembrar.
A informação de diferentes canais/modalidades estão integradas?</t>
  </si>
  <si>
    <r>
      <t xml:space="preserve">São necessárias marcações ou identificações para minimizar os riscos?
Os símbolos de perigo ou outros avisos estão localizados em áreas apropriadas?
</t>
    </r>
    <r>
      <rPr>
        <i/>
        <sz val="8"/>
        <color theme="0" tint="-0.34998626667073579"/>
        <rFont val="Arial"/>
        <family val="2"/>
      </rPr>
      <t>Are marking or identification needed in order to minimize risks ?
Are hazard symbols or other notices located in appropriate areas ?</t>
    </r>
  </si>
  <si>
    <t>Ex.:
- corredores de pedestres e corredores de veículos devem ser claramente marcados;
- uso de símbolos de perigo;
- utilização de taxa de carga para prateleiras de armazenamento.</t>
  </si>
  <si>
    <r>
      <t xml:space="preserve">A informação existente satisfaz os requisitos do operador?
</t>
    </r>
    <r>
      <rPr>
        <i/>
        <sz val="8"/>
        <color theme="0" tint="-0.34998626667073579"/>
        <rFont val="Arial"/>
        <family val="2"/>
      </rPr>
      <t>Does the existing information satisfy the operator's requirements ?</t>
    </r>
    <r>
      <rPr>
        <sz val="10"/>
        <rFont val="Arial"/>
        <family val="2"/>
      </rPr>
      <t xml:space="preserve">
</t>
    </r>
  </si>
  <si>
    <t>As instruções verbais ou escritas estão na linguagem correta e são facilmente compreendidas?
A taxa de fluxo de informações está de acordo com a tarefa?
Quantas fontes de informação o funcionário utiliza para trabalhar?
Os dados estão prontamente disponíveis, devidamente formulados e claros?</t>
  </si>
  <si>
    <r>
      <t xml:space="preserve">A exibição visual está bem posicionada?
A parte superior dos visores está situada de forma a ficar ligeiramente abaixo do nível dos olhos?
</t>
    </r>
    <r>
      <rPr>
        <i/>
        <sz val="8"/>
        <color theme="0" tint="-0.34998626667073579"/>
        <rFont val="Arial"/>
        <family val="2"/>
      </rPr>
      <t>Are the visual display well positioned ?
Is the top of the displays situated in such a way that it is situated slightly below eye level ?</t>
    </r>
  </si>
  <si>
    <t>Deve estar situado à frente do usuário, a uma distância adequada entre 30 e 50 cm.
O pescoço não deve estar inclinado para cima, para baixo, para a esquerda ou para a direita, mas em uma posição neutra.
As pessoas geralmente se sentem mais confortáveis com o monitor no comprimento do braço.
Para usuários de lentes multifocal geralmente é mais apropriado ter o monitor o mais baixo possível.
O monitor deve estar alinhado ou de acordo com a pessoa para reduzir a torção do tronco e o alcance de mãos.</t>
  </si>
  <si>
    <r>
      <t xml:space="preserve">O uso do teclado e do mouse está sobrecarregando o pulso?
</t>
    </r>
    <r>
      <rPr>
        <i/>
        <sz val="8"/>
        <color theme="0" tint="-0.34998626667073579"/>
        <rFont val="Arial"/>
        <family val="2"/>
      </rPr>
      <t>Are keyboard and mouse in use putting a strain on the wrist ?</t>
    </r>
  </si>
  <si>
    <t>Os pulsos devem estar retos em uma posição natural, não torça os pulsos para a direita ou para a esquerda.
Para digitação, os antebraços devem estar paralelos ao chão. Para leitura e escrita, a superfície da mesa deve ser um pouco mais alta.
Com um laptop, use teclado, mouse e suporte externos para minimizar as restrições ergonômicas.
Veja as recomendações ergonômicas.</t>
  </si>
  <si>
    <r>
      <t>A tela está livre de reflexos?
A tela está instalada na frente de uma janela?</t>
    </r>
    <r>
      <rPr>
        <i/>
        <sz val="8"/>
        <color theme="0" tint="-0.34998626667073579"/>
        <rFont val="Arial"/>
        <family val="2"/>
      </rPr>
      <t xml:space="preserve">
Is the screen free of glare ?
Is the screen installed in front of a window ?</t>
    </r>
  </si>
  <si>
    <t>Recomenda-se instalar a tela:
- perpendicular às janelas;
- não muito perto de uma parede para favorecer a visão de longe (os músculos dos olhos devem poder descansar) quando as pessoas estão olhando para o visor;</t>
  </si>
  <si>
    <r>
      <t xml:space="preserve">Caso tenham sido identificados equipamentos adicionais de monitoramento, eles estão posicionados corretamente?
Os controles estão próximos de seus displays correspondentes?
</t>
    </r>
    <r>
      <rPr>
        <i/>
        <sz val="8"/>
        <color theme="0" tint="-0.34998626667073579"/>
        <rFont val="Arial"/>
        <family val="2"/>
      </rPr>
      <t>If additional monitoring equipments have been identified, are they correctly positioned ?
Are controls close to their corresponding displays ?</t>
    </r>
  </si>
  <si>
    <t>Eles devem ser instalados de tal forma:
a parte superior da tela está aproximadamente no nível dos olhos,
não há movimento de torção do pescoço e/ou tronco.</t>
  </si>
  <si>
    <t>Equipamentos e ferramentas</t>
  </si>
  <si>
    <r>
      <t xml:space="preserve">Caso a mudança envolva novos equipamentos, foram verificados os requisitos da planilha “Equipament”?
</t>
    </r>
    <r>
      <rPr>
        <i/>
        <sz val="8"/>
        <color theme="0" tint="-0.34998626667073579"/>
        <rFont val="Arial"/>
        <family val="2"/>
      </rPr>
      <t>If the change involves new equipment, are the requirements of the "Equipment" spreadsheet been verified?</t>
    </r>
  </si>
  <si>
    <t>Confira todos os requisitos da planilha de "Equipament".</t>
  </si>
  <si>
    <r>
      <t xml:space="preserve">São fornecidas instruções adequadas, guia do usuário e guia de manutenção?
</t>
    </r>
    <r>
      <rPr>
        <i/>
        <sz val="8"/>
        <color theme="0" tint="-0.34998626667073579"/>
        <rFont val="Arial"/>
        <family val="2"/>
      </rPr>
      <t>Are proper instructions, user guide and maintenance guide provided ?</t>
    </r>
  </si>
  <si>
    <r>
      <t xml:space="preserve">A manutenção pode acessar facilmente todas as partes do equipamento para tarefas de manutenção de rotina?
</t>
    </r>
    <r>
      <rPr>
        <i/>
        <sz val="8"/>
        <color theme="0" tint="-0.34998626667073579"/>
        <rFont val="Arial"/>
        <family val="2"/>
      </rPr>
      <t>Can maintenance easily access to all parts of the equipment for routine maintenance tasks?</t>
    </r>
  </si>
  <si>
    <r>
      <t xml:space="preserve">Esforços significativos precisam ser realizados?
</t>
    </r>
    <r>
      <rPr>
        <i/>
        <sz val="8"/>
        <color theme="0" tint="-0.34998626667073579"/>
        <rFont val="Arial"/>
        <family val="2"/>
      </rPr>
      <t>Do significant efforts need to be carried out ?</t>
    </r>
  </si>
  <si>
    <t>Instruções simples e documentação de processo que fornecem informações sobre a execução de uma tarefa devem ser fornecidos para reduzir a alta demanda física.
Consulte as normas para obter o peso máximo recomendado.</t>
  </si>
  <si>
    <t>Fatores ambientais</t>
  </si>
  <si>
    <t>Barulho</t>
  </si>
  <si>
    <r>
      <t>É necessária uma atualização do mapa de ruído devido à mudança?</t>
    </r>
    <r>
      <rPr>
        <i/>
        <sz val="8"/>
        <color theme="0" tint="-0.34998626667073579"/>
        <rFont val="Arial"/>
        <family val="2"/>
      </rPr>
      <t xml:space="preserve">
Is an update noise map needed due to the change ?</t>
    </r>
  </si>
  <si>
    <t>O nível de ação de ruído local a ser aplicado é: 85 dB(A) para a maioria dos países.
O nível recomendado para oficina é &lt; 85 dB(A).
Optar, primeirramente, pela instalação de equipamentos de redução de ruído coletivo, para então definiar o uso de equipamentos de proteção individual (EPI).</t>
  </si>
  <si>
    <t>Clima</t>
  </si>
  <si>
    <r>
      <t xml:space="preserve">Existem temperaturas extremas em algumas áreas?
Se for o caso, essas áreas são confinadas?
Foram implementadas medidas de segurança para que os funcionários trabalhem confortavelmente nessas condições?
</t>
    </r>
    <r>
      <rPr>
        <i/>
        <sz val="8"/>
        <color theme="0" tint="-0.34998626667073579"/>
        <rFont val="Arial"/>
        <family val="2"/>
      </rPr>
      <t>Are there extreme temperatures existing in some areas ?
If it's the case, are these areas confined ?
Have safety measures been implemented for employees to work comfortably in these conditions ?</t>
    </r>
  </si>
  <si>
    <t>Local de trabalho frio: câmara fria, trabalho em área refrigerada.
Local de trabalho quente: secadora, forno.
Roupas e dispositivos de proteção estão disponíveis para funcionários em ambientes extremos?
A exposição pode ser reduzida por meio de períodos de descanso em áreas adequadas ou por meio de rodízio de funcionários?</t>
  </si>
  <si>
    <t>Iluminação</t>
  </si>
  <si>
    <r>
      <t xml:space="preserve">O nível geral de iluminação respeita as normas recomendadas?
</t>
    </r>
    <r>
      <rPr>
        <i/>
        <sz val="8"/>
        <color theme="0" tint="-0.34998626667073579"/>
        <rFont val="Arial"/>
        <family val="2"/>
      </rPr>
      <t>Does the overall lighting level respect the recommended standards ?</t>
    </r>
  </si>
  <si>
    <t>O nível de luz recomendado para oficina é de 300 lux, para leitura de cerca de 500 lux e para trabalho de computador cerca de 300 lux no mínimo.
Deve ser corrigido pelo coeficiente baseado na atividade (ver normas de iluminação).</t>
  </si>
  <si>
    <r>
      <t xml:space="preserve">Brilhos, reflexos ou contrastes indesejáveis são minimizados na tarefa visual?
Há brilho excessivo ou ofuscamento no espaço de trabalho?
</t>
    </r>
    <r>
      <rPr>
        <i/>
        <sz val="8"/>
        <color theme="0" tint="-0.34998626667073579"/>
        <rFont val="Arial"/>
        <family val="2"/>
      </rPr>
      <t>Are undesirable glares, reflections or contrasts minimized in the visual task ?
Is there excessive brightness or glare in the workspace ?</t>
    </r>
  </si>
  <si>
    <t>O contraste da tarefa visual deve ser ajustado à tarefa.
Sem ofuscamento (diminui a legibilidade da tarefa visual).</t>
  </si>
  <si>
    <r>
      <t xml:space="preserve">A localização do equipamento de iluminação foi avaliada para se adequar à mudança?
</t>
    </r>
    <r>
      <rPr>
        <i/>
        <sz val="8"/>
        <color theme="0" tint="-0.34998626667073579"/>
        <rFont val="Arial"/>
        <family val="2"/>
      </rPr>
      <t>Have lighting equipment location been evaluated to fit the change ?</t>
    </r>
  </si>
  <si>
    <r>
      <t xml:space="preserve">Os equipamentos de iluminação foram limpos?
</t>
    </r>
    <r>
      <rPr>
        <i/>
        <sz val="8"/>
        <color theme="0" tint="-0.34998626667073579"/>
        <rFont val="Arial"/>
        <family val="2"/>
      </rPr>
      <t>Have lighting equipment been cleaned ?</t>
    </r>
  </si>
  <si>
    <t>Um dispositivo de iluminação sujo tem um desempenho muito ruim e causa fadiga ocular.</t>
  </si>
  <si>
    <r>
      <t xml:space="preserve">A lâmpada de iluminação tem uma reprodução de cor &gt;= 80 para local industrial e &gt;= 85 para escritórios?
</t>
    </r>
    <r>
      <rPr>
        <i/>
        <sz val="8"/>
        <color theme="0" tint="-0.34998626667073579"/>
        <rFont val="Arial"/>
        <family val="2"/>
      </rPr>
      <t>Have the lighting lamp a color rendering &gt;= 80 for industrial local and &gt;= 85 for offices ?</t>
    </r>
  </si>
  <si>
    <t>Uma renderização de cores &lt; 80 não permite ver as cores corretamente e pode causar fadiga ocular a longo prazo.
Verifique a renderização de cores marcada na lâmpada fluorescente.</t>
  </si>
  <si>
    <r>
      <t xml:space="preserve">É necessário fornecer iluminação para os operadores de manutenção?
</t>
    </r>
    <r>
      <rPr>
        <i/>
        <sz val="8"/>
        <color theme="0" tint="-0.34998626667073579"/>
        <rFont val="Arial"/>
        <family val="2"/>
      </rPr>
      <t>Is it necessary to provide lighting for maintenance operators ?</t>
    </r>
  </si>
  <si>
    <t>Restrições ergonômicas ligadas às tarefas</t>
  </si>
  <si>
    <t>Tarefas repetitivas</t>
  </si>
  <si>
    <r>
      <t xml:space="preserve">Existem restrições no pescoço, ombro, parte superior das costas, parte inferior das costas, cotovelo e punho?
O que está sendo feito para reduzir as restrições devido a tarefas repetitivas?
</t>
    </r>
    <r>
      <rPr>
        <i/>
        <sz val="8"/>
        <color theme="0" tint="-0.34998626667073579"/>
        <rFont val="Arial"/>
        <family val="2"/>
      </rPr>
      <t>Are there constraints on neck, shoulder, upper back, lower back, elbow and wrist ?
What is being done to reduce constraints due to repetitive tasks ?</t>
    </r>
  </si>
  <si>
    <t>Veja as orientações sobre a definição de tarefa repetitiva (frequência, duração).
Se sim, use o método REBA ou RULA para avaliar o risco de MSD para membro superior (pescoço, ombro, cotovelo, punho).
Reduza torções e ângulos significativos.</t>
  </si>
  <si>
    <r>
      <t xml:space="preserve">Cada tarefa é projetada para minimizar posturas estáticas ou inadequadas?
Os funcionários poderiam variar a rotina de trabalho?
</t>
    </r>
    <r>
      <rPr>
        <i/>
        <sz val="8"/>
        <color theme="0" tint="-0.34998626667073579"/>
        <rFont val="Arial"/>
        <family val="2"/>
      </rPr>
      <t>Is each task designed to minimize static or poor postures ?
Could employees vary their work routine ?</t>
    </r>
    <r>
      <rPr>
        <sz val="10"/>
        <rFont val="Arial"/>
        <family val="2"/>
      </rPr>
      <t xml:space="preserve">
</t>
    </r>
  </si>
  <si>
    <t>Alterne as tarefas com a maior frequência possível para minimizar a tensão em partes individuais do corpo.
Favorecer posturas alternativas, não estáticas.</t>
  </si>
  <si>
    <t>Tarefas de manuseio manual</t>
  </si>
  <si>
    <r>
      <t xml:space="preserve">A elevação manual foi reduzida ou eliminada usando auxiliares de elevação ou equipamento motorizado?
</t>
    </r>
    <r>
      <rPr>
        <i/>
        <sz val="8"/>
        <color theme="0" tint="-0.34998626667073579"/>
        <rFont val="Arial"/>
        <family val="2"/>
      </rPr>
      <t>Has manual lifting been reduced or eliminated by using lifting aids or powered equipment?</t>
    </r>
  </si>
  <si>
    <t>Em caso afirmativo, consulte o equipamento de elevação na planilha "H&amp;S".</t>
  </si>
  <si>
    <r>
      <t xml:space="preserve">Existem embalagens pesados manuseados com frequência?
</t>
    </r>
    <r>
      <rPr>
        <i/>
        <sz val="8"/>
        <color theme="0" tint="-0.34998626667073579"/>
        <rFont val="Arial"/>
        <family val="2"/>
      </rPr>
      <t>Are there heavy packages frequently handled ?</t>
    </r>
  </si>
  <si>
    <t>Manuseio ocasional para mulheres de 45 a 65 anos &lt; 12 kg.
Manuseio ocasional para homens de 45 a 65 anos &lt; 15 kg.
Guia de levantamento NIOSH: pode ser usado como uma ferramenta para avaliar o estresse físico de tarefas de levantamento manual com as duas mãos.
Diminua o peso de cada item, posicione o item pesado no nível adequado.
ou seja: para armazenamento, analise a frequência de movimentação do item em relação ao peso.
Coloque o item pesado (&gt; 9kg) entre 0,7m e 1,1m.</t>
  </si>
  <si>
    <r>
      <t xml:space="preserve">As cargas podem ser levantadas e transportadas com segurança?
</t>
    </r>
    <r>
      <rPr>
        <i/>
        <sz val="8"/>
        <color theme="0" tint="-0.34998626667073579"/>
        <rFont val="Arial"/>
        <family val="2"/>
      </rPr>
      <t>Can loads be lifted and carried safely ?</t>
    </r>
  </si>
  <si>
    <t>Deve ser realizado um treinamento sobre a maneira/postura correta para levantar uma carga.</t>
  </si>
  <si>
    <r>
      <t xml:space="preserve">O trabalho envolve levantar e simultaneamente uma dessas posturas: torcer, dobrar, inclinar-se ou estender-se?
</t>
    </r>
    <r>
      <rPr>
        <i/>
        <sz val="8"/>
        <color theme="0" tint="-0.34998626667073579"/>
        <rFont val="Arial"/>
        <family val="2"/>
      </rPr>
      <t>Does the work involve lifting and simultaneous one of those postures: twisting, bending, stooping, or reaching ?</t>
    </r>
  </si>
  <si>
    <t>Exigência Mental</t>
  </si>
  <si>
    <r>
      <t xml:space="preserve">Os funcionários precisam realizar mais de uma tarefa ao mesmo tempo e essas tarefas são compatíveis?
O feedback adequado ou informações sobre as tarefas em andamento são fornecidas de acordo com os requisitos da tarefa?
</t>
    </r>
    <r>
      <rPr>
        <i/>
        <sz val="8"/>
        <color theme="0" tint="-0.34998626667073579"/>
        <rFont val="Arial"/>
        <family val="2"/>
      </rPr>
      <t>Do employees have to carry out more than one task at a time and are these tasks compatible ?
Is proper feedback or information about ongoing tasks provided in accordance with task requirements ?</t>
    </r>
    <r>
      <rPr>
        <sz val="10"/>
        <rFont val="Arial"/>
      </rPr>
      <t xml:space="preserve">
</t>
    </r>
  </si>
  <si>
    <t>Ex.:símbolo de tempo para indicar tarefa 'em andamento' no computador, luz de aviso do dispositivo acesa...</t>
  </si>
  <si>
    <r>
      <t xml:space="preserve">Qual é o impacto da mudança na carga de trabalho?
A tarefa é realizada em um nível predominantemente baseado em habilidades, regras ou conhecimento?
A carga de trabalho mental pode ser reduzida usando auxiliares de memória externos, exibições de informações de trabalho em andamento, sistemas de suporte à decisão, auxílio à navegação?
</t>
    </r>
    <r>
      <rPr>
        <i/>
        <sz val="8"/>
        <color theme="0" tint="-0.34998626667073579"/>
        <rFont val="Arial"/>
        <family val="2"/>
      </rPr>
      <t>What is the impact of the change on workload ?
Is the task carried out at a predominantly skill-based, rule-based, or knowledge-based level ?
Can mental workload be reduced using external memory aids, ongoing work information displays, decision support systems, navigation aid ?</t>
    </r>
  </si>
  <si>
    <t>Organization, training and other aspects</t>
  </si>
  <si>
    <t>Organização do Trabalho</t>
  </si>
  <si>
    <r>
      <t>A organização do trabalho permite que os funcionários façam mini-intervalos frequentes para alongamento ou descanso?</t>
    </r>
    <r>
      <rPr>
        <i/>
        <sz val="8"/>
        <color theme="0" tint="-0.34998626667073579"/>
        <rFont val="Arial"/>
        <family val="2"/>
      </rPr>
      <t xml:space="preserve">
Is the work organization allowing employees to take frequent mini-breaks to stretch or rest ?</t>
    </r>
  </si>
  <si>
    <t>O tempo de recuperação adequado entre as tarefas deve ser recomendado para reduzir a fadiga em caso de função na linha produtiva que não permitir a recuperação muscular ou ser trabalho estático contínuo.</t>
  </si>
  <si>
    <r>
      <t xml:space="preserve">A mudança implica impactos na organização do trabalho?
</t>
    </r>
    <r>
      <rPr>
        <i/>
        <sz val="8"/>
        <color theme="0" tint="-0.34998626667073579"/>
        <rFont val="Arial"/>
        <family val="2"/>
      </rPr>
      <t>Does the change imply impacts regarding work organization ?</t>
    </r>
  </si>
  <si>
    <t>Existem modificações sobre:
- ritmo de trabalho (o ritmo de trabalho é da máquina ou individual) ?
- sistema de turnos (trabalhar sozinho ou com outros) ?
- horário de trabalho e período de descanso ?
- pressão de tempo devido a prazos ou cumprimento de metas de produção?
- sistema de supervisão e responsabilização ?
...</t>
  </si>
  <si>
    <t>Limitações de Tempo</t>
  </si>
  <si>
    <r>
      <t xml:space="preserve">A mudança implica impactos em relação a restrições de tempo?
</t>
    </r>
    <r>
      <rPr>
        <i/>
        <sz val="8"/>
        <color theme="0" tint="-0.34998626667073579"/>
        <rFont val="Arial"/>
        <family val="2"/>
      </rPr>
      <t>Does the change imply impacts regarding time constraints ?</t>
    </r>
  </si>
  <si>
    <t>Comunicações</t>
  </si>
  <si>
    <r>
      <t xml:space="preserve">A comunicação sobre a mudança de processo ou equipamento foi antecipada e a comunicação fornecida aos funcionários afetados para prepará-los para a mudança e minimizar o estresse?
</t>
    </r>
    <r>
      <rPr>
        <i/>
        <sz val="8"/>
        <color theme="0" tint="-0.34998626667073579"/>
        <rFont val="Arial"/>
        <family val="2"/>
      </rPr>
      <t xml:space="preserve">Has communication about the change of process or equipment been anticipated and communication provided to affected employees in order to prepare them to the change and minimize stress ? </t>
    </r>
  </si>
  <si>
    <t>Treinamento</t>
  </si>
  <si>
    <r>
      <t xml:space="preserve">O plano de treinamento é atualizado para incluir o treinamento de gestos e posturas?
</t>
    </r>
    <r>
      <rPr>
        <i/>
        <sz val="8"/>
        <color theme="0" tint="-0.34998626667073579"/>
        <rFont val="Arial"/>
        <family val="2"/>
      </rPr>
      <t>Is the training plan updated to include gestures and postures training ?</t>
    </r>
  </si>
  <si>
    <t>O treinamento de conscientização de ergonomia deve ser feito.</t>
  </si>
  <si>
    <r>
      <t xml:space="preserve">Para os postos de trabalho que envolvem riscos ergonômicos, os funcionários foram treinados para minimizar os riscos?
</t>
    </r>
    <r>
      <rPr>
        <i/>
        <sz val="8"/>
        <color theme="0" tint="-0.34998626667073579"/>
        <rFont val="Arial"/>
        <family val="2"/>
      </rPr>
      <t>For workstations involving ergonomic risks, have employees been trained in order to minimize the risks ?</t>
    </r>
  </si>
  <si>
    <r>
      <t xml:space="preserve">A mudança implica em impactos quanto aos requisitos de habilidade/conhecimento para o cargo?
</t>
    </r>
    <r>
      <rPr>
        <i/>
        <sz val="8"/>
        <color theme="0" tint="-0.34998626667073579"/>
        <rFont val="Arial"/>
        <family val="2"/>
      </rPr>
      <t>Does the change imply impacts regarding skill/knowledge requirements for the job ?</t>
    </r>
  </si>
  <si>
    <t>Planeje um treinamento adequado.</t>
  </si>
  <si>
    <t>Estresse no Trabalho</t>
  </si>
  <si>
    <r>
      <t xml:space="preserve">O funcionário tem recursos suficientes para fazer o trabalho?
A função de trabalho do funcionário é clara e não ambígua?
Os padrões de desempenho são claros e não ambíguos?
</t>
    </r>
    <r>
      <rPr>
        <i/>
        <sz val="8"/>
        <color theme="0" tint="-0.34998626667073579"/>
        <rFont val="Arial"/>
        <family val="2"/>
      </rPr>
      <t>Does the employee have sufficient resources to do the work ?
Is the employee's work role clear and non ambiguous ?
Are performance standards clear and non ambiguous ?</t>
    </r>
  </si>
  <si>
    <t>Ex.: número de peças a serem produzidas, tipo de defeitos a serem verificados…</t>
  </si>
  <si>
    <t>Checklist de Meio Ambiente</t>
  </si>
  <si>
    <t>Emissões atmosféricas</t>
  </si>
  <si>
    <r>
      <t xml:space="preserve">Se houver uma adição ou alteração em uma fonte de emissão atmosférica existente, os requisitos da orientação são atendidos?
</t>
    </r>
    <r>
      <rPr>
        <i/>
        <sz val="8"/>
        <color theme="0" tint="-0.249977111117893"/>
        <rFont val="Arial"/>
        <family val="2"/>
      </rPr>
      <t>If there is an addition or change to an existing air emission source, are requirements of the guidance met?</t>
    </r>
  </si>
  <si>
    <t xml:space="preserve">Avalie o impactos das fontes de emissão quanto aos impactos das emissões atmosféricas definidos licença ambiental e na legislação local. 
Entre em contato com o EHS local para obter uma atualização da documentação em caso de impactos em tais licenças.
</t>
  </si>
  <si>
    <r>
      <t xml:space="preserve">Se houver alguma ventilação e/ou extaustão necessária, chaminés, entrada de ar através de paredes ou telhado, os requisitos da legislação são atendidos?
</t>
    </r>
    <r>
      <rPr>
        <i/>
        <sz val="8"/>
        <color theme="0" tint="-0.249977111117893"/>
        <rFont val="Arial"/>
        <family val="2"/>
      </rPr>
      <t>If there is any required venting, stacks, penetrations through walls or roof, are requirements of the guidance met?</t>
    </r>
  </si>
  <si>
    <t>Avalie os impactos de tais trabalhos no material da parede ou telhado para a resistência ao fogo. 
Se necessário, entre em contato com o EHS Global, EHS Local ou seguradora contra incêndio (FM Global).</t>
  </si>
  <si>
    <r>
      <t xml:space="preserve">Se um equipamento de controle de poluição do ar for adicionado/modificado/usado, os requisitos da legislação local são atendidos?
</t>
    </r>
    <r>
      <rPr>
        <i/>
        <sz val="8"/>
        <color theme="0" tint="-0.249977111117893"/>
        <rFont val="Arial"/>
        <family val="2"/>
      </rPr>
      <t xml:space="preserve">If air pollution control equipment be add/modified/used, are requirements of the guidance met? </t>
    </r>
  </si>
  <si>
    <t>Desenvolva procedimentos operacionais, que incluam parâmetros operacionais de equipamentos de controle, para equipamentos. 
Os procedimentos devem identificar quem deve ser notificado quando ocorrerem transtornos ou mau funcionamento que possam afetar as emissões atmosféricas ou a conformidade. 
Avalie o equipamento de controle para determinar a necessidade de peças sobressalentes críticas e desenvolva uma lista dessas peças e tenha peças sobressalentes críticas prontamente disponíveis. 
Treine os operadores de equipamentos sobre os procedimentos. Adicione equipamentos ao programa de manutenção preventiva e/ou inspeção, se aplicável.</t>
  </si>
  <si>
    <t>Químicos</t>
  </si>
  <si>
    <r>
      <t xml:space="preserve">Caso a mudança envolver o uso de algum produto químico, são verificados os requisitos da planilha “Químico”?
</t>
    </r>
    <r>
      <rPr>
        <i/>
        <sz val="8"/>
        <color theme="0" tint="-0.34998626667073579"/>
        <rFont val="Arial"/>
        <family val="2"/>
      </rPr>
      <t>If the change involve the use of any chemicals, are the requirements of the "Chemical" spreadsheet verified?</t>
    </r>
  </si>
  <si>
    <t>Verifique todos os requisitos da planilha “Químico”.</t>
  </si>
  <si>
    <t>Consumo de Energia</t>
  </si>
  <si>
    <r>
      <rPr>
        <sz val="10"/>
        <rFont val="Arial"/>
        <family val="2"/>
      </rPr>
      <t xml:space="preserve">Se a mudança acarretar aumento ou redução do consumo de energia, os requisitos da orientação são atendidos?
</t>
    </r>
    <r>
      <rPr>
        <i/>
        <sz val="8"/>
        <color theme="0" tint="-0.34998626667073579"/>
        <rFont val="Arial"/>
        <family val="2"/>
      </rPr>
      <t>If the change lead to an increase or reduction of Energy consumption, are requirements of the guidance met?</t>
    </r>
  </si>
  <si>
    <t>Estimar e documentar o aumento ou redução potencial de energia. 
Em caso de aumento significativo do uso de energia, consulte o líder do Projeto de Consumo de Energia/Água ou o Departamento EHS Local.</t>
  </si>
  <si>
    <r>
      <t xml:space="preserve">Se a alteração tiver impacto no consumo de Energia, atualize o Mapa de Energia da unidade.
</t>
    </r>
    <r>
      <rPr>
        <i/>
        <sz val="8"/>
        <color theme="0" tint="-0.34998626667073579"/>
        <rFont val="Arial"/>
        <family val="2"/>
      </rPr>
      <t>If the change has an impact on Energy consumption, update the Energy Map of the site</t>
    </r>
  </si>
  <si>
    <t>Se o seu site tiver um mapa de energia, atualize-o. 
Verifique também a oportunidade de instalar medidores de consumo de energia para obter métricas e atualizar o consumo geral do local.</t>
  </si>
  <si>
    <t>Permissão ou outros requisitos regulamentares</t>
  </si>
  <si>
    <r>
      <t>Se a mudança levar à solicitação de uma  nova licença ou modificada (ar, água, águas pluviais, energia, operação, armazenamento de produtos químicos, uso de produtos químicos sob o regulamento REACH), os requisitos da planilha "Compliance" são verificados?</t>
    </r>
    <r>
      <rPr>
        <i/>
        <sz val="8"/>
        <color theme="0" tint="-0.34998626667073579"/>
        <rFont val="Arial"/>
        <family val="2"/>
      </rPr>
      <t xml:space="preserve">
If the change lead to the application for a new or modified permit (air, water, stormwater, energy, operating, ICPE, IPPC, chemical storage, chemical usage under REACH regulation), are the requirements of the "Compliance" spreadsheet verified?</t>
    </r>
  </si>
  <si>
    <t>Verifique todos os requisitos da planilha "Compliance".</t>
  </si>
  <si>
    <t>Consumo de Água</t>
  </si>
  <si>
    <r>
      <t xml:space="preserve">Caso a mudança leve a um aumento ou redução do consumo de Água, os requisitos da legislação são atendidos?
</t>
    </r>
    <r>
      <rPr>
        <i/>
        <sz val="8"/>
        <color theme="0" tint="-0.34998626667073579"/>
        <rFont val="Arial"/>
        <family val="2"/>
      </rPr>
      <t>If the change lead to an increase or reduction of Water consumption, are requirements of the guidance met?</t>
    </r>
  </si>
  <si>
    <t>Estimar e documentar o potencial aumento ou redução de água. 
Em caso de aumento significativo do uso de energia, consulte o líder do Projeto de Consumo de Energia/Água ou o Departamento EHS Local.</t>
  </si>
  <si>
    <r>
      <t xml:space="preserve">Se a alteração tiver impacto no consumo de Água, atualize o Mapa de Água da unidade.
</t>
    </r>
    <r>
      <rPr>
        <i/>
        <sz val="8"/>
        <color theme="0" tint="-0.34998626667073579"/>
        <rFont val="Arial"/>
        <family val="2"/>
      </rPr>
      <t>If the change has an impact on Water consumption, update the Water Map of the site</t>
    </r>
  </si>
  <si>
    <t>Se o seu site tiver um mapa de água, atualize-o. 
Verifique também a oportunidade de instalar hidrômetros ou outros medidores para obter métricas e atualizar o consumo geral do local.</t>
  </si>
  <si>
    <t>Resíduos</t>
  </si>
  <si>
    <r>
      <t xml:space="preserve">Se a mudança gerar fluxos de resíduos novos ou adicionais ou modificar um fluxo de resíduos existente, os requisitos da legislação foram atendidos?
</t>
    </r>
    <r>
      <rPr>
        <i/>
        <sz val="8"/>
        <color theme="0" tint="-0.34998626667073579"/>
        <rFont val="Arial"/>
        <family val="2"/>
      </rPr>
      <t>If the change generate any new or additional waste streams or modify an existing waste stream, are requirements of the guidance met?</t>
    </r>
  </si>
  <si>
    <t>Revise os requisitos de descarte adequados de EHS. 
Avaliar os custos associados à disposição e tratamento dos resíduos da produção. 
Entre em contato com o fornecedor local de resíduos e documente o perfil dos resíduos. Atualizar a matriz de resíduos dos sites. 
Os resíduos precisam de um perfil de resíduos?</t>
  </si>
  <si>
    <r>
      <t xml:space="preserve">Se for necessária uma área de armazenamento de resíduos nova ou modificada dentro do local, os requisitos da legislação são atendidos?
</t>
    </r>
    <r>
      <rPr>
        <i/>
        <sz val="8"/>
        <color theme="0" tint="-0.34998626667073579"/>
        <rFont val="Arial"/>
        <family val="2"/>
      </rPr>
      <t>If a new or modified waste accumulation area is required inside the site, are requirements of the guidance met?</t>
    </r>
  </si>
  <si>
    <t>1. Configuração de área de armazenamento nova ou modificada. Providencie sinalização adequada. Atualize a matriz de armazenamento de resíduos da unidade e adicione à inspeção semanal. 
2. Revisar os requisitos de treinamento atuais dos departamentos. Adicionar treinamento de gestão resíduos perigosos ao plano de treinamento dos funcionários.</t>
  </si>
  <si>
    <t>Lançamento de efluentes industriais</t>
  </si>
  <si>
    <r>
      <t xml:space="preserve">Se houver impacto efluente industrial, os requisitos da legislação são atendidos?
</t>
    </r>
    <r>
      <rPr>
        <i/>
        <sz val="8"/>
        <color theme="0" tint="-0.34998626667073579"/>
        <rFont val="Arial"/>
        <family val="2"/>
      </rPr>
      <t>If there is impact on waste water, are requirements of the guidance met?</t>
    </r>
  </si>
  <si>
    <t>Revise a potencial descarte do o esgoto sanitário. Atualizar inventário de descarte de efluentes da unidade. 
Atualizar a lista de pontos de medição dos efluentes e frequência de amostragem. 
Essa mudança requer tratamento de efluentes? O procedimento é atualizado? Se necessário, as plantas hidrosanitárias estão revisadas e atualizadas? 
Os órgãos reguladores precisam ser notificados sobre essa mudança de efluentes (se sim, verifique todos os requisitos da planilha de "Compliance")?</t>
  </si>
  <si>
    <r>
      <t>Se a mudança envolver algum impacto nas calhas de contençõe e/ou ralos do piso, os requisitos da orientação são atendidos?</t>
    </r>
    <r>
      <rPr>
        <i/>
        <sz val="8"/>
        <color theme="0" tint="-0.34998626667073579"/>
        <rFont val="Arial"/>
        <family val="2"/>
      </rPr>
      <t xml:space="preserve">
If the change involve any impact to floor drains, are requirements of the guidance met?</t>
    </r>
  </si>
  <si>
    <t>Verifique a possibilidade do efluente ou água residuais do processo entrem nas calhas e/ou ralo do piso. Se aplicável, vede ou proteja as calhas e/ou ralo do piso</t>
  </si>
  <si>
    <r>
      <t xml:space="preserve">Se houver alguma alteração no equipamento existente ou adição de um novo equipamento na estação de tratamento de efluentes, os requisitos da legislação são atendidos?
</t>
    </r>
    <r>
      <rPr>
        <i/>
        <sz val="8"/>
        <color theme="0" tint="-0.34998626667073579"/>
        <rFont val="Arial"/>
        <family val="2"/>
      </rPr>
      <t>If there is any change to existing or the addition of new wastewater treatment (WWT) equipment, are requirements of the guidance met?</t>
    </r>
  </si>
  <si>
    <t>Obter documentação de projeto para o equipamento WWT.
Adicione o equipamento WWT ao programa de manutenção preventiva ou inspeção. 
Avalie o equipamento de controle para determinar a necessidade de peças sobressalentes críticas, desenvolva uma lista dessas peças e tenha peças sobressalentes críticas prontamente disponíveis. Atualize os desenhos de esgoto e tubulação do local. 
Desenvolva procedimentos operacionais que incluam quem deve ser notificado em caso de transtornos ou mau funcionamento.  
Treinar operadores.</t>
  </si>
  <si>
    <r>
      <t xml:space="preserve">Se houver impacto em águas pluviais, os requisitos da legislação são atendidos?
</t>
    </r>
    <r>
      <rPr>
        <i/>
        <sz val="8"/>
        <color theme="0" tint="-0.34998626667073579"/>
        <rFont val="Arial"/>
        <family val="2"/>
      </rPr>
      <t>If there is impact on storm water, are requirements of the guidance met?</t>
    </r>
  </si>
  <si>
    <t>Revisar o impacto potencial para o programa de prevenção da poluição de águas pluviais e condicionamentes da licença.</t>
  </si>
  <si>
    <t>Checklist Segurança do Equipamento</t>
  </si>
  <si>
    <t>Dispositivo de Proteção para proteger os trabalhadores contra danos</t>
  </si>
  <si>
    <r>
      <t xml:space="preserve">Existe algum dispositivo de proteção aprovado e eficaz?
</t>
    </r>
    <r>
      <rPr>
        <i/>
        <sz val="8"/>
        <color theme="0" tint="-0.34998626667073579"/>
        <rFont val="Arial"/>
        <family val="2"/>
      </rPr>
      <t>Is approved and effective equipment guarding in place?</t>
    </r>
  </si>
  <si>
    <t>O equipamento deve ter a marcação CE ou certificação UL. 
Caso contrário, uma Avaliação Pré-Risco deve ser realizada e qualquer isenção deve ser aprovada de acordo com a Política de Equipamentos de Segurança da Essilor</t>
  </si>
  <si>
    <r>
      <t xml:space="preserve">Os riscos relacionados a adornos, cabelos soltos e roupas largas estão claramente sinalizados?
</t>
    </r>
    <r>
      <rPr>
        <i/>
        <sz val="8"/>
        <color theme="0" tint="-0.34998626667073579"/>
        <rFont val="Arial"/>
        <family val="2"/>
      </rPr>
      <t>Are identified pinch points clearing labeled?</t>
    </r>
  </si>
  <si>
    <t>Coloque e mantenha as sinalizações de advertência próximo aos pontos onde é possível que o funcionário se prenda com adornos, cabelos soltos ou roupas largas.</t>
  </si>
  <si>
    <r>
      <t xml:space="preserve">Existe um número adequado de paradas de emergência disponíveis e elas foram testadas?
</t>
    </r>
    <r>
      <rPr>
        <i/>
        <sz val="8"/>
        <color theme="0" tint="-0.34998626667073579"/>
        <rFont val="Arial"/>
        <family val="2"/>
      </rPr>
      <t>Is there an adequate number of E-Stops available and have they been tested?</t>
    </r>
  </si>
  <si>
    <t>Paradas de emergência = botão de desligamento de emergência nas máquinas.</t>
  </si>
  <si>
    <r>
      <t xml:space="preserve">Os testes regulares das paradas de emergência são incorporados ao programa de manutenção preventiva do equipamento e ao checklist de verificação de inspeção pré-uso?
</t>
    </r>
    <r>
      <rPr>
        <i/>
        <sz val="8"/>
        <color theme="0" tint="-0.34998626667073579"/>
        <rFont val="Arial"/>
        <family val="2"/>
      </rPr>
      <t>Are regular testing of the E-Stops incorporated into the equipment Preventive Maintenance program and on the Pre-Use inspection checklist?</t>
    </r>
  </si>
  <si>
    <r>
      <t xml:space="preserve">Os tipos apropriados de intertravamentos estão instalados neste equipamento (por exemplo, à prova de falhas, falhas passivas, falhas ativas, barreiras de luz, botões de comando de duas mãos...?
</t>
    </r>
    <r>
      <rPr>
        <i/>
        <sz val="8"/>
        <color theme="0" tint="-0.34998626667073579"/>
        <rFont val="Arial"/>
        <family val="2"/>
      </rPr>
      <t>Are appropriate types of interlocks installed on this piece of equipment (e.g., fail-safe, fail-passive, fail-active, light barrier, double-hand command buttons...?</t>
    </r>
  </si>
  <si>
    <r>
      <t xml:space="preserve">O teste dos intertravamentos está incorporado no programa de Manutenção Preventiva e no checklist lista de verificação de inspeção pré-uso?
</t>
    </r>
    <r>
      <rPr>
        <i/>
        <sz val="8"/>
        <color theme="0" tint="-0.34998626667073579"/>
        <rFont val="Arial"/>
        <family val="2"/>
      </rPr>
      <t>Are testing of the interlocks incorporated into Preventive Maintenance program and on the Pre-Use inspection checklist?</t>
    </r>
  </si>
  <si>
    <r>
      <t xml:space="preserve">Existe espaço adequado em torno dos painéis de serviço de equipamentos e utilidades para que possam ser acessados?
</t>
    </r>
    <r>
      <rPr>
        <i/>
        <sz val="8"/>
        <color theme="0" tint="-0.34998626667073579"/>
        <rFont val="Arial"/>
        <family val="2"/>
      </rPr>
      <t>Is there adequate clearance around the equipment &amp; utility service panels so they can be accessed?</t>
    </r>
  </si>
  <si>
    <t xml:space="preserve">Prevenção e Proteção contra incêndio e explosão </t>
  </si>
  <si>
    <r>
      <t xml:space="preserve">Se os sistemas de prevenção e proteção contra incêndio e explosão forem afetados pela alteração, verifique se os requisitos da planilha "Emergency-Fire" foram verificados?
</t>
    </r>
    <r>
      <rPr>
        <i/>
        <sz val="8"/>
        <color theme="0" tint="-0.34998626667073579"/>
        <rFont val="Arial"/>
        <family val="2"/>
      </rPr>
      <t>If fire and explosion prevention and protection systems affected by the change, check that the requirement of the "Emergency-Fire" spreadsheet are verified?</t>
    </r>
  </si>
  <si>
    <t>Verifique se a alteração afeta qualquer um dos seguintes itens: extintores de incêndio, sistemas de sprinklers automáticos, sistemas fixos de supressão de incêndio, sistema de detecção de incêndio, sistema de alarme de emergência, sinalização e iluminação de emergência, saída e caminho de emergência, lava-olhos/chuveiro de emergência...
Em caso afirmativo, preencha a planilha "Emergency Preparedness - Fire Prevention &amp; Protection".</t>
  </si>
  <si>
    <r>
      <t xml:space="preserve">Se o equipamento novo ou modificado ou o local afetado exigir uma classificação específica de incêndio ou explosão, as atualizações são implementadas?
</t>
    </r>
    <r>
      <rPr>
        <i/>
        <sz val="8"/>
        <color theme="0" tint="-0.34998626667073579"/>
        <rFont val="Arial"/>
        <family val="2"/>
      </rPr>
      <t>If the new or modified equipment or affected location required a specific fire or explosion rating, are updates implemented?</t>
    </r>
  </si>
  <si>
    <r>
      <t xml:space="preserve">A determinação da classificação de incêndio e explosão aplicável foi documentada?
</t>
    </r>
    <r>
      <rPr>
        <i/>
        <sz val="8"/>
        <color theme="0" tint="-0.34998626667073579"/>
        <rFont val="Arial"/>
        <family val="2"/>
      </rPr>
      <t>Has the determination for the applicable fire and explosion rating been documented?</t>
    </r>
  </si>
  <si>
    <r>
      <t xml:space="preserve">A localização dos equipamentos não está obstruindo, equipamentos de emergência, aspersores ou meios de saída?
</t>
    </r>
    <r>
      <rPr>
        <i/>
        <sz val="8"/>
        <color theme="0" tint="-0.34998626667073579"/>
        <rFont val="Arial"/>
        <family val="2"/>
      </rPr>
      <t>The location of the equipment is not obstructing, emergency equipment, sprinkler heads or means of egress?</t>
    </r>
  </si>
  <si>
    <t>Controle de energia e Lock Out-Tag Out (LOTO)</t>
  </si>
  <si>
    <r>
      <t xml:space="preserve">Todas as fontes de energia foram devidamente identificadas e marcadas?
</t>
    </r>
    <r>
      <rPr>
        <i/>
        <sz val="8"/>
        <color theme="0" tint="-0.34998626667073579"/>
        <rFont val="Arial"/>
        <family val="2"/>
      </rPr>
      <t>Have all energy sources been properly identified and marked?</t>
    </r>
  </si>
  <si>
    <r>
      <t xml:space="preserve">Os meios primários de bloqueio LOTO são compatíveis?
</t>
    </r>
    <r>
      <rPr>
        <i/>
        <sz val="8"/>
        <color theme="0" tint="-0.34998626667073579"/>
        <rFont val="Arial"/>
        <family val="2"/>
      </rPr>
      <t>Are primary means of disconnect LOTO compatible?</t>
    </r>
  </si>
  <si>
    <r>
      <t xml:space="preserve">Os procedimentos LOTO são desenvolvidos e afixados no equipamento?
</t>
    </r>
    <r>
      <rPr>
        <i/>
        <sz val="8"/>
        <color theme="0" tint="-0.34998626667073579"/>
        <rFont val="Arial"/>
        <family val="2"/>
      </rPr>
      <t xml:space="preserve">Are LOTO procedures developed and posted on the equipment? </t>
    </r>
  </si>
  <si>
    <t xml:space="preserve">Programa de Manutenção Preventiva </t>
  </si>
  <si>
    <r>
      <t xml:space="preserve">Foram gerados programas de Manutenção Preventiva para os equipamentos?
</t>
    </r>
    <r>
      <rPr>
        <i/>
        <sz val="8"/>
        <color theme="0" tint="-0.34998626667073579"/>
        <rFont val="Arial"/>
        <family val="2"/>
      </rPr>
      <t>Have Preventive Maintenance programs been generated for this piece of equipment?</t>
    </r>
  </si>
  <si>
    <r>
      <t xml:space="preserve">Se for necessário instalar válvulas de alívio de pressão, elas estão em um Sistema de Manutenção Preventiva? Eles precisarão ser colocados em um programa formal de inspeção?
</t>
    </r>
    <r>
      <rPr>
        <i/>
        <sz val="8"/>
        <color theme="0" tint="-0.34998626667073579"/>
        <rFont val="Arial"/>
        <family val="2"/>
      </rPr>
      <t>If pressure relief valves need to be installed, are they on a Preventive Maintenance System? Will they need to be placed on a formal inspection program?</t>
    </r>
  </si>
  <si>
    <r>
      <t xml:space="preserve">Se a alteração afetar um vaso de pressão, essa modificação foi notificada a uma agência externa, se necessário (por exemplo, autoridade local que emite licença de operação)?
</t>
    </r>
    <r>
      <rPr>
        <i/>
        <sz val="8"/>
        <color theme="0" tint="-0.34998626667073579"/>
        <rFont val="Arial"/>
        <family val="2"/>
      </rPr>
      <t>If the change affect a pressure vessel, does this modification has been notified to an external agency if required (e.g., local authority issuing operating permit)?</t>
    </r>
  </si>
  <si>
    <t>Ex.: tanques de armazenamento, reatores químicos, caldeiras, trocadores de calor e cilindros de gás, etc.</t>
  </si>
  <si>
    <t>Outros requisitos de segurança</t>
  </si>
  <si>
    <r>
      <t xml:space="preserve">Uma Avaliação de Risco deste equipamento/estação de trabalho ou análise de Segurança do Trabalho foi realizada ou atualizada devido a esta mudança?
</t>
    </r>
    <r>
      <rPr>
        <i/>
        <sz val="8"/>
        <color theme="0" tint="-0.34998626667073579"/>
        <rFont val="Arial"/>
        <family val="2"/>
      </rPr>
      <t>Has a Risk Assessment of this equipment/workstation or Job Safety analysis conducted or updated because of this change?</t>
    </r>
  </si>
  <si>
    <t>Revise os resultados desta Avaliação de Risco e inclua-os no Inventário de Risco do Local (documento exclusivo em francês) e PGR (Brasil). Atualize os documentos relevantes com as alterações (por exemplo, Matriz de Treinamento, EPI, Sistema de Manutenção Preventiva…)</t>
  </si>
  <si>
    <r>
      <t xml:space="preserve">Todos os perigos químicos e físicos foram identificados e avaliados?
</t>
    </r>
    <r>
      <rPr>
        <i/>
        <sz val="8"/>
        <color theme="0" tint="-0.34998626667073579"/>
        <rFont val="Arial"/>
        <family val="2"/>
      </rPr>
      <t>Have all chemical and physical hazards been identified and evaluated?</t>
    </r>
  </si>
  <si>
    <t>Se houver perigo químico ou outro perigo físico, preencha a planilha pertinente deste documento.</t>
  </si>
  <si>
    <r>
      <t xml:space="preserve">Se existirem perigos químicos e físicos, um plano de ação foi documentado e implementado para lidar com esses perigos?
</t>
    </r>
    <r>
      <rPr>
        <i/>
        <sz val="8"/>
        <color theme="0" tint="-0.34998626667073579"/>
        <rFont val="Arial"/>
        <family val="2"/>
      </rPr>
      <t>If chemical and physical hazards do exist, has an action plan been documented and implemented to address these hazards?</t>
    </r>
  </si>
  <si>
    <r>
      <t xml:space="preserve">Os requisitos para equipamentos de proteção individual (EPI) adicionais foram avaliados e documentados?
</t>
    </r>
    <r>
      <rPr>
        <i/>
        <sz val="8"/>
        <color theme="0" tint="-0.34998626667073579"/>
        <rFont val="Arial"/>
        <family val="2"/>
      </rPr>
      <t>Have requirements for additional personal protective equipment been assessed and documented?</t>
    </r>
  </si>
  <si>
    <r>
      <t xml:space="preserve">Foi realizada uma avaliação ergonômica documentada formal do equipamento, produto ou processo novo/modificado?
</t>
    </r>
    <r>
      <rPr>
        <i/>
        <sz val="8"/>
        <color theme="0" tint="-0.34998626667073579"/>
        <rFont val="Arial"/>
        <family val="2"/>
      </rPr>
      <t>Has a formal documented ergonomic assessment of the new/modified equipment, product, or process been performed?</t>
    </r>
    <r>
      <rPr>
        <sz val="10"/>
        <rFont val="Arial"/>
      </rPr>
      <t xml:space="preserve"> </t>
    </r>
  </si>
  <si>
    <t>Realize a avaliação ergonômica do equipamento usando as diferentes ferramentas disponíveis na Intranet Global EHS (pasta Ergonomia)</t>
  </si>
  <si>
    <r>
      <t xml:space="preserve">O pessoal recebeu treinamento sobre o uso adequado do equipamento?
</t>
    </r>
    <r>
      <rPr>
        <i/>
        <sz val="8"/>
        <color theme="0" tint="-0.34998626667073579"/>
        <rFont val="Arial"/>
        <family val="2"/>
      </rPr>
      <t>Have personnel received training on proper use of the equipment?</t>
    </r>
  </si>
  <si>
    <t>Certifique-se de que a Matriz de Treinamento de EHS do Local tenha sido atualizada para refletir a mudança e que os novos requisitos de Treinamento de EHS sejam conhecidos pelos funcionários afetados e seus gerentes.</t>
  </si>
  <si>
    <r>
      <t xml:space="preserve">Verifique se o ruído ambiente medido na área de trabalho afetada pela alteração não excede 80 dBA?
</t>
    </r>
    <r>
      <rPr>
        <i/>
        <sz val="8"/>
        <color theme="0" tint="-0.34998626667073579"/>
        <rFont val="Arial"/>
        <family val="2"/>
      </rPr>
      <t>Verify that ambiant noise mesured in the working area affected by the change is not exceeding 80 dBA?</t>
    </r>
  </si>
  <si>
    <t>Checklist Segurança da Instalação</t>
  </si>
  <si>
    <r>
      <t xml:space="preserve">Se a alteração afetar alguma das utilidades do site, os requisitos da legislação são atendidos?
(ar comprimido, eletricidade, água, outras fontes de energia, ar condicionado, água refrigerada, …)
</t>
    </r>
    <r>
      <rPr>
        <i/>
        <sz val="8"/>
        <color theme="0" tint="-0.34998626667073579"/>
        <rFont val="Arial"/>
        <family val="2"/>
      </rPr>
      <t>If the change affect any of site utilities, are requirements of the guidance met?
(compressed air, electricity, water, other energy sources, air conditioning, refrigerated water, …)</t>
    </r>
  </si>
  <si>
    <t>Certifique-se de que todos os utilitários sejam instalados de acordo com os padrões, classificações e requisitos de rotulagem aplicáveis.</t>
  </si>
  <si>
    <r>
      <t xml:space="preserve">Caso as instalações elétricas sejam afetadas pela alteração, todos os requisitos da planilha “Electrical” são verificados?
</t>
    </r>
    <r>
      <rPr>
        <i/>
        <sz val="8"/>
        <color theme="0" tint="-0.34998626667073579"/>
        <rFont val="Arial"/>
        <family val="2"/>
      </rPr>
      <t>If electrical installations are affected by the change, are all requirements of the "Electrical" spreadsheet verified?</t>
    </r>
  </si>
  <si>
    <t>Se esta alteração afetar uma instalação elétrica, preencha a planilha "Electrical".</t>
  </si>
  <si>
    <t>Critérios Ambientais</t>
  </si>
  <si>
    <r>
      <t xml:space="preserve">As fontes de emissão e os dispositivos de controle da poluição do ar estão identificados?
</t>
    </r>
    <r>
      <rPr>
        <i/>
        <sz val="8"/>
        <color theme="0" tint="-0.34998626667073579"/>
        <rFont val="Arial"/>
        <family val="2"/>
      </rPr>
      <t>Are emission sources and air pollution control devices identified?</t>
    </r>
  </si>
  <si>
    <t>Certifique-se de que as fontes de emissão e os dispositivos de controle de poluição do ar estejam instalados e os procedimentos de operação estejam em conformidade com os regulamentos locais de qualidade do ar e os termos e condições das licenças. Consulte a planilha "Environment" deste documento para revisar todos os aspectos ligados às emissões atmosféricas.</t>
  </si>
  <si>
    <r>
      <t xml:space="preserve">Todos os sistemas de água potável e não potável e os dispositivos de prevenção de refluxo estão identificados?
</t>
    </r>
    <r>
      <rPr>
        <i/>
        <sz val="8"/>
        <color theme="0" tint="-0.34998626667073579"/>
        <rFont val="Arial"/>
        <family val="2"/>
      </rPr>
      <t>Are all potable and non-potable waters systems and backflow prevention devices identified?</t>
    </r>
    <r>
      <rPr>
        <sz val="10"/>
        <rFont val="Arial"/>
      </rPr>
      <t xml:space="preserve"> </t>
    </r>
  </si>
  <si>
    <t>Certifique-se de que os sistemas de água potável e não potável e as conexões cruzadas e os dispositivos de prevenção de refluxo sejam instalados e testados de acordo com os regulamentos locais. Consulte a planilha "Environment" deste documento para revisar todos os aspectos ligados à água.</t>
  </si>
  <si>
    <r>
      <t xml:space="preserve">Se a mudança gerar resíduos que precisam ser descartados, tratados no local ou fora do local, os requisitos da legislação são atendidos?
</t>
    </r>
    <r>
      <rPr>
        <i/>
        <sz val="8"/>
        <color theme="0" tint="-0.34998626667073579"/>
        <rFont val="Arial"/>
        <family val="2"/>
      </rPr>
      <t>If the change generate wastes which need to be disposed, treated on site or off-site, are requirements of the guidance met?</t>
    </r>
  </si>
  <si>
    <t>Garantir a conformidade com os requisitos aplicáveis de permissão ou licenciamento se a instalação gerar, descartar, tratar resíduos sólidos no local ou gerar resíduos sólidos? (por exemplo, resíduos sólidos industriais perigosos ou não perigosos, resíduos médicos ou biológicos, amianto, resíduos de PCB (bifelinas policloradas - Ascaréis), resíduos de pesticidas, solos contaminados). Consulte a planilha "Environment" deste documento para revisar todos os aspectos ligados aos resíduos</t>
  </si>
  <si>
    <r>
      <t xml:space="preserve">Se a alteração tiver impacto no consumo de Energia ou Água, atualize o mapa de Energia/Água da unidade.
</t>
    </r>
    <r>
      <rPr>
        <i/>
        <sz val="8"/>
        <color theme="0" tint="-0.34998626667073579"/>
        <rFont val="Arial"/>
        <family val="2"/>
      </rPr>
      <t>If the change has an impact on Energy or Water consumption, update the site Energy/Water map</t>
    </r>
  </si>
  <si>
    <t xml:space="preserve">Em caso de mudança significativa no uso de energia/água, consulte o líder do Projeto de Consumo de Energia/Água ou o Departamento Global de EHS. Atualizar o mapeamento de energia e água da unidade
</t>
  </si>
  <si>
    <t>Prevenção ou proteção contra incêndio e explosão</t>
  </si>
  <si>
    <r>
      <t xml:space="preserve">Certifique-se de que apenas painéis centrais à prova de fogo ou retardadores de fogo sejam usados como paredes ou teto de segregação.
</t>
    </r>
    <r>
      <rPr>
        <i/>
        <sz val="8"/>
        <color theme="0" tint="-0.34998626667073579"/>
        <rFont val="Arial"/>
        <family val="2"/>
      </rPr>
      <t>Ensure that only Fire-proof or Fire-retardant core panels are used as segration walls or ceilling</t>
    </r>
  </si>
  <si>
    <r>
      <t xml:space="preserve">Se após a mudança, os corredores forem bloqueados, restritos ou realocados ou as saídas de emergência realocadas ou a operação produtiva for para outra área , os requisitos da legislação foram atendidos?
</t>
    </r>
    <r>
      <rPr>
        <i/>
        <sz val="8"/>
        <color theme="0" tint="-0.34998626667073579"/>
        <rFont val="Arial"/>
        <family val="2"/>
      </rPr>
      <t>If following change, aisles are been blocked, constricted, or relocated or emergency egress unimpeded or convenient operation in the area unimpeded, are requirements of the guidance met?</t>
    </r>
  </si>
  <si>
    <t>Atualize os desenhos do local e os mapas de emergência do local de acordo com a mudança</t>
  </si>
  <si>
    <r>
      <t xml:space="preserve">As rotas de fuga são projetadas e construídas de acordo com todos os regulamentos locais aplicáveis (por exemplo, códigos de construção e incêndio)?
</t>
    </r>
    <r>
      <rPr>
        <i/>
        <sz val="8"/>
        <color theme="0" tint="-0.34998626667073579"/>
        <rFont val="Arial"/>
        <family val="2"/>
      </rPr>
      <t>Are exit routes designed and constructed in accordance with all applicable local regulations (e.g.. building and fire codes)?</t>
    </r>
  </si>
  <si>
    <t>As rotas de saída devem ser projetadas com iluminação suficiente, marcações e livres de obstruções. As rotas de saída devem ser mantidas para que as áreas ocupadas tenham rotas de saída adequadas durante a construção, reparos ou alterações.</t>
  </si>
  <si>
    <r>
      <t xml:space="preserve">Se os sistemas de prevenção e proteção contra incêndio e explosão forem afetados pela alteração, verifique se os requisitos da planilha "Emergency&amp;Fire" foram atendidos?
(extintores de incêndio, sistemas de detecção de incêndio e explosão, hidrantes, sprinklers, chuveiros/lava-olhos de emergência, caminhos e saídas de emergência, sinalização e iluminação de emergência, dispositivos anti-explosão, sistemas de alarme...)
</t>
    </r>
    <r>
      <rPr>
        <i/>
        <sz val="8"/>
        <color theme="0" tint="-0.34998626667073579"/>
        <rFont val="Arial"/>
        <family val="2"/>
      </rPr>
      <t>If fire and explosion prevention and protection systems areaffected by the change, check that the "Emergency-Fire" spreadsheet requirements are met? 
(fire extinguishers, fire and explosion detection systems, fire hydrants, sprinkler heads, emergency showers/eyewashers, emergency path and exits, emergency signs and lighting, anti-explosion devices, alarm systems ...)</t>
    </r>
  </si>
  <si>
    <t>Se essa alteração afetar pelo menos um desses sistemas, preencha a planilha "Emergency&amp;Fire".</t>
  </si>
  <si>
    <r>
      <t xml:space="preserve">Se a mudança exigir o uso de gases incompatíveis (por exemplo, inflamáveis e oxidantes), os requisitos da orientação são atendidos?
</t>
    </r>
    <r>
      <rPr>
        <i/>
        <sz val="8"/>
        <color theme="0" tint="-0.34998626667073579"/>
        <rFont val="Arial"/>
        <family val="2"/>
      </rPr>
      <t>If the change require the use of incompatible gases (for example, flammables and oxidizers), are requirements of the guidance met?</t>
    </r>
  </si>
  <si>
    <t>Certifique-se de que esses gases sejam segregados no armazenamento por distância ou barreiras apropriadas.</t>
  </si>
  <si>
    <t>Proteção de Ativos</t>
  </si>
  <si>
    <r>
      <t xml:space="preserve">Todos os equipamentos ou processos estão protegidos contra movimentação ou tráfego de equipamentos (por exemplo, deslocamento de empilhadeira), quando necessário, por pontos de amarração/ancoragem?
</t>
    </r>
    <r>
      <rPr>
        <i/>
        <sz val="8"/>
        <color theme="0" tint="-0.34998626667073579"/>
        <rFont val="Arial"/>
        <family val="2"/>
      </rPr>
      <t>Is all equipment or processes protected from equipment movement or traffic (for example, forklift travel), where necessary by means such as bollards?</t>
    </r>
  </si>
  <si>
    <t>Certifique-se de que, durante a operação normal do equipamento ou processo, os operadores não sejam feridos pelo tráfego nas proximidades.</t>
  </si>
  <si>
    <r>
      <t xml:space="preserve">A sinalização de segurança de perigo físico está em fixada no local?
</t>
    </r>
    <r>
      <rPr>
        <i/>
        <sz val="8"/>
        <color theme="0" tint="-0.34998626667073579"/>
        <rFont val="Arial"/>
        <family val="2"/>
      </rPr>
      <t>Are physical hazard safety signage are in place?</t>
    </r>
  </si>
  <si>
    <t>Certifique-se de que a sinalização física de segurança seja marcada com cores específicas para identificação, de acordo com os padrões locais.</t>
  </si>
  <si>
    <t>Certifique-se de que os espaços confinados tenham condições de entrada aceitáveis para os tipos de espaços permitidos na instalação. Certifique-se de que o equipamento necessário para entrar com segurança nos espaços permitidos seja identificado e fornecido. 
Certifique-se de que o equipamento de resgate possa ser operado por atendentes de fora do espaço confinado.</t>
  </si>
  <si>
    <r>
      <t xml:space="preserve">Se alguma superfície de trabalho estiver elevada a mais de 2 metros acima do piso, os requisitos da orientação são atendidos?
</t>
    </r>
    <r>
      <rPr>
        <i/>
        <sz val="8"/>
        <color theme="0" tint="-0.34998626667073579"/>
        <rFont val="Arial"/>
        <family val="2"/>
      </rPr>
      <t>If any work surfaces elevated more than 2 meters or 4 feet above the floor, are requirements of the guidance met?</t>
    </r>
  </si>
  <si>
    <t>Superfícies de trabalho elevadas devem ter guarda-corpos, barras de ligação intermediárias e rodapés, classificados de acordo com os requisitos da legislação local.</t>
  </si>
  <si>
    <r>
      <t xml:space="preserve">Se houver algum risco de escorregar ou tropeçar devido à tração do piso, mudanças de elevação, localização do equipamento, os requisitos da orientação foram atendidos?
</t>
    </r>
    <r>
      <rPr>
        <i/>
        <sz val="8"/>
        <color theme="0" tint="-0.34998626667073579"/>
        <rFont val="Arial"/>
        <family val="2"/>
      </rPr>
      <t xml:space="preserve">If there is any slip or tripping hazards due to floor traction, elevation changes, equipment location, are requirements of the guidance met? </t>
    </r>
  </si>
  <si>
    <t>Certifique-se de que todos os fios, cabos e mangueiras estejam fora do chão. As superfícies do piso não devem ser escorregadias ou pegajosas devido ao uso de produtos químicos. Há alguma mudança abrupta na tração do piso (por exemplo, de liso para grosso, escorregadio para pegajoso)?</t>
  </si>
  <si>
    <r>
      <t xml:space="preserve">Se escadas, escadas marinheiros, escadas de acesso ao telhado e escadas fixas forem instaladas, os requisitos da legislação são atendidos?
</t>
    </r>
    <r>
      <rPr>
        <i/>
        <sz val="8"/>
        <color theme="0" tint="-0.34998626667073579"/>
        <rFont val="Arial"/>
        <family val="2"/>
      </rPr>
      <t>If stairs, ships ladders, roof access hatches and fixed ladders be installed, are requirements of the guidance met?</t>
    </r>
  </si>
  <si>
    <t>Certifique-se de que escadas, escadas de marinheiro, acesso ao telhado e escadas fixas atendam aos requisitos aplicáveis. 
Certifique-se de que o acesso restrito esteja no local para evitar o acesso não autorizado ao telhado ou outras áreas perigosas.</t>
  </si>
  <si>
    <r>
      <t xml:space="preserve">Todos os sistemas de Ventilação de Exaustão Local (LEV) e pontos de exaustão estão identificados?
</t>
    </r>
    <r>
      <rPr>
        <i/>
        <sz val="8"/>
        <color theme="0" tint="-0.34998626667073579"/>
        <rFont val="Arial"/>
        <family val="2"/>
      </rPr>
      <t>Are all Local Exhaust Ventilation (LEV) systems and exhaust points identified?</t>
    </r>
    <r>
      <rPr>
        <sz val="10"/>
        <rFont val="Arial"/>
      </rPr>
      <t xml:space="preserve">
</t>
    </r>
  </si>
  <si>
    <t xml:space="preserve">Certifique-se de que os testes iniciais e a manutenção preventiva desses sistemas sejam realizados nas frequências especificadas (pelo menos anualmente) e incluam manutenção de rotina, como limpeza de dutos, ventiladores e motores, bem como trocas de filtros, reparos e balanceamento do sistema e testes de desempenho, incluindo medições de velocidade de face e duto.
</t>
  </si>
  <si>
    <r>
      <t xml:space="preserve">Se a alteração exigir o uso de materiais corrosivos ou irritantes, os requisitos da legislação são atendidos?
</t>
    </r>
    <r>
      <rPr>
        <i/>
        <sz val="8"/>
        <color theme="0" tint="-0.34998626667073579"/>
        <rFont val="Arial"/>
        <family val="2"/>
      </rPr>
      <t>If the change require the use of corrosive or irritating materials, are requirements of the guidance met?</t>
    </r>
  </si>
  <si>
    <t>Verifique se os lava-olhos/chuveiros de segurança devem ser instalados de acordo com as normas aplicáveis, testados e colocados em um sistema de manutenção preventiva. Preencha a planilha "Chemical".</t>
  </si>
  <si>
    <r>
      <t xml:space="preserve">Se forem instalados tanques de armazenamento subterrâneo e tubulações, os requisitos da orientação são atendidos?
</t>
    </r>
    <r>
      <rPr>
        <i/>
        <sz val="8"/>
        <color theme="0" tint="-0.34998626667073579"/>
        <rFont val="Arial"/>
        <family val="2"/>
      </rPr>
      <t xml:space="preserve">If underground storage tanks and piping be installed, are requirements of the guidance met? </t>
    </r>
  </si>
  <si>
    <t>Evite qualquer armazenamento subterrâneo devido à potencial contaminação do solo no futuro. Se não houver outra maneira de armazenar, certifique-se de que a instalação atenda a todos os padrões de desempenho aplicáveis e que os procedimentos estejam em vigor para a operação de tanques e tubulações de armazenamento subterrâneo.</t>
  </si>
  <si>
    <r>
      <t xml:space="preserve">Se a mudança precisar atender a certos requisitos para riscos de patógenos transmitidos pelo sangue, os requisitos da orientação são atendidos?
</t>
    </r>
    <r>
      <rPr>
        <i/>
        <sz val="8"/>
        <color theme="0" tint="-0.34998626667073579"/>
        <rFont val="Arial"/>
        <family val="2"/>
      </rPr>
      <t>If the facility need to meet certain requirements for bloodborne pathogen hazards, are requirements of the guidance met?</t>
    </r>
  </si>
  <si>
    <t>Certifique-se de que todos os requisitos da instalação para riscos de patógenos transmitidos pelo sangue sejam considerados (por exemplo, cabines de segurança biológica são certificadas quando instaladas ou movidas, lavagem das mãos, lava-olhos estão na área de trabalho, áreas de trabalho são separadas das áreas adjacentes).</t>
  </si>
  <si>
    <t>Checklist de Preparação para Emergências - Prevenção e Proteção contra Incêndios</t>
  </si>
  <si>
    <t>Plano de Ação de Emergência</t>
  </si>
  <si>
    <r>
      <t xml:space="preserve">Se o plano de resposta a emergências do local for afetado, os requisitos da orientação foram atendidos?
</t>
    </r>
    <r>
      <rPr>
        <i/>
        <sz val="8"/>
        <color theme="0" tint="-0.34998626667073579"/>
        <rFont val="Arial"/>
        <family val="2"/>
      </rPr>
      <t>If the site emergency response plan is impacted, are requirements of the guidance met?</t>
    </r>
  </si>
  <si>
    <t>Verifique os seguintes documentos: Plano de Ação de Emergência, Plano de Contingência de Negócios, reações em caso de incêndio, explosão, condições climáticas extremas, terremoto, ameaça de bomba…</t>
  </si>
  <si>
    <r>
      <t xml:space="preserve">Se a mudança afetar o edifício ou levar a uma modificação do sistema de Prevenção ou Proteção contra Incêndio, os requisitos da legislação são atendidos?
</t>
    </r>
    <r>
      <rPr>
        <i/>
        <sz val="8"/>
        <color theme="0" tint="-0.34998626667073579"/>
        <rFont val="Arial"/>
        <family val="2"/>
      </rPr>
      <t>If the change affects the building or leads to a modification of the Fire Prevention or Protection system, are requirements of the guidance met?</t>
    </r>
  </si>
  <si>
    <t>Nesse caso, essa alteração deve ser conhecida e aprovada pela Seguradora. 
Entre em contato com o Departamento de EHS local para preencher tais informações e solicitar aprovação.</t>
  </si>
  <si>
    <r>
      <t xml:space="preserve">Os planos de emergência/proteção contra incêndio/mapas de evacuação foram atualizados para refletir as mudanças?
</t>
    </r>
    <r>
      <rPr>
        <i/>
        <sz val="8"/>
        <color theme="0" tint="-0.34998626667073579"/>
        <rFont val="Arial"/>
        <family val="2"/>
      </rPr>
      <t>Have emergency response/fire protection plans/evacuation maps been updated to reflect changes?</t>
    </r>
  </si>
  <si>
    <t>Os planos de ação de emergência devem incluir todas as informações exigidas pelas autoridades locais (por exemplo, procedimentos para relatar incêndio ou outra emergência, evacuações de emergência, procedimentos para resposta médica, controle de acúmulo de materiais combustíveis ou inflamáveis, manutenção regular de salvaguardas).</t>
  </si>
  <si>
    <r>
      <t xml:space="preserve">Mapas de evacuação/números de contato de emergência foram afixados na área?
</t>
    </r>
    <r>
      <rPr>
        <i/>
        <sz val="8"/>
        <color theme="0" tint="-0.34998626667073579"/>
        <rFont val="Arial"/>
        <family val="2"/>
      </rPr>
      <t>Have evacuation maps/emergency contact numbers been posted in the area?</t>
    </r>
  </si>
  <si>
    <t>Depois de atualizado para estar de acordo com a alteração, fixe todos esses documentos nos locais relevantes.</t>
  </si>
  <si>
    <t>Evacuação</t>
  </si>
  <si>
    <r>
      <t xml:space="preserve">Se esta alteração afetar as condições de uma evacuação em caso de situações de emergência, os requisitos da orientação são atendidos?
</t>
    </r>
    <r>
      <rPr>
        <i/>
        <sz val="8"/>
        <color theme="0" tint="-0.34998626667073579"/>
        <rFont val="Arial"/>
        <family val="2"/>
      </rPr>
      <t xml:space="preserve">If this change affect the conditions of an evacuation in case of emergency situations, are requirements of the guidance met? </t>
    </r>
  </si>
  <si>
    <t>Verifique os impactos nos seguintes aspectos: ativação de sistemas de detecção de incêndio ou explosão, ativação de sistema de sprinklers, caminhos de evacuação de emergência, saídas de emergência, iluminação de emergência, alarme de emergência, organização de equipe de evacuação de emergência, áreas de reunião de emergência…</t>
  </si>
  <si>
    <r>
      <t xml:space="preserve">As vias de saída são livres de congestionamento e têm largura mínima de 80 cm?
</t>
    </r>
    <r>
      <rPr>
        <i/>
        <sz val="8"/>
        <color theme="0" tint="-0.34998626667073579"/>
        <rFont val="Arial"/>
        <family val="2"/>
      </rPr>
      <t>Are egress routes free of congestion and have a minimum width of 0,8 meter?</t>
    </r>
  </si>
  <si>
    <t>Ou conforme definido pela regulamentação local</t>
  </si>
  <si>
    <r>
      <t xml:space="preserve">A iluminação (incluindo iluminação de emergência), sprinkler, sinais de saída, extintores de incêndio, chuveiros/lava-olhos de segurança e saídas de emergência permanecerão desobstruídos?
</t>
    </r>
    <r>
      <rPr>
        <i/>
        <sz val="8"/>
        <color theme="0" tint="-0.34998626667073579"/>
        <rFont val="Arial"/>
        <family val="2"/>
      </rPr>
      <t>Will lighting (including emergency lighting), sprinkler heads, exit signs, fire extinguishers, safety showers/eyewashes, and emergency exits remain unobstructed?</t>
    </r>
  </si>
  <si>
    <t>Garantir que os mapas de emergência e os documentos de manutenção preventiva sejam atualizados de acordo com as mudanças.</t>
  </si>
  <si>
    <r>
      <t xml:space="preserve">As saídas de emergência e as rotas de saída são projetadas, construídas e marcadas de acordo com todos os regulamentos locais aplicáveis (por exemplo, códigos de construção e incêndio)?
</t>
    </r>
    <r>
      <rPr>
        <i/>
        <sz val="8"/>
        <color theme="0" tint="-0.34998626667073579"/>
        <rFont val="Arial"/>
        <family val="2"/>
      </rPr>
      <t>Are emergency exit and egress routes designed, constructed and marked in accordance with all applicable local regulations (e.g.. building and fire codes)?</t>
    </r>
  </si>
  <si>
    <t>As rotas de saída devem ser projetadas com iluminação suficiente, marcações e livres de obstruções. As rotas de saída devem ser mantidas para que as áreas ocupadas tenham rotas de saída adequadas durante a construção, reparos ou alterações. Iluminação e sinalização de emergência adequadas devem ser testadas e adicionadas ao sistema de Manutenção Preventiva.</t>
  </si>
  <si>
    <r>
      <t xml:space="preserve">Se o sistema de alarme for afetado pela mudança, os requisitos da legislação foram atendidos?
</t>
    </r>
    <r>
      <rPr>
        <i/>
        <sz val="8"/>
        <color theme="0" tint="-0.34998626667073579"/>
        <rFont val="Arial"/>
        <family val="2"/>
      </rPr>
      <t>If the Alarm system is affected by the change, are requirements of the guidance met?</t>
    </r>
  </si>
  <si>
    <t>Certifique-se de que o alarme de incêndio ou outro sistema de alarme de emergência seja instalado e mantido de acordo com os requisitos do fabricante e os requisitos locais atendidos. 
Realize um teste de alarme para verificar se ele pode ser ouvido de qualquer local no local.</t>
  </si>
  <si>
    <r>
      <t xml:space="preserve">As portas corta-fogo foram avaliadas para garantir que sejam de classificação adequada e abertas para o caminho de saída (sentido para fora)?
</t>
    </r>
    <r>
      <rPr>
        <i/>
        <sz val="8"/>
        <color theme="0" tint="-0.34998626667073579"/>
        <rFont val="Arial"/>
        <family val="2"/>
      </rPr>
      <t>Have fire doors been evaluated to ensure that they are of proper rating and open to the path of egress?</t>
    </r>
  </si>
  <si>
    <t xml:space="preserve">Em caso de dúvida, entre em contato com o Departamento de EHS local ou a seguradora. </t>
  </si>
  <si>
    <t>Equipamentos de Emergência</t>
  </si>
  <si>
    <r>
      <t xml:space="preserve">Se os sistemas de prevenção e proteção contra incêndio e explosão forem afetados pela mudança, os requisitos da legislação são atendidos?
</t>
    </r>
    <r>
      <rPr>
        <i/>
        <sz val="9"/>
        <color theme="0" tint="-0.34998626667073579"/>
        <rFont val="Arial"/>
        <family val="2"/>
      </rPr>
      <t>If fire and explosion prevention and protection systems are affected by the change, are requirements of the guidance met?</t>
    </r>
  </si>
  <si>
    <t>Certifique-se de que os extintores de incêndio sejam fornecidos de acordo com os regulamentos locais. 
Certifique-se de que o equipamento do tubo vertical seja projetado e mantido adequadamente. 
Certifique-se de que os sistemas de sprinklers automáticos sejam projetados e atendam aos padrões aplicáveis. 
Certifique-se de que os sistemas de sprinklers automáticos sejam projetados e atendam aos padrões aplicáveis para os materiais a serem armazenados e manuseados. 
Certifique-se de que os sistemas fixos de supressão de incêndio sejam projetados e atendam aos padrões aplicáveis.</t>
  </si>
  <si>
    <r>
      <t xml:space="preserve">Os sistemas de sprinklers foram avaliados para garantir um projeto adequado, densidade e ausência de obstruções?
</t>
    </r>
    <r>
      <rPr>
        <i/>
        <sz val="8"/>
        <color theme="0" tint="-0.34998626667073579"/>
        <rFont val="Arial"/>
        <family val="2"/>
      </rPr>
      <t>Have sprinkler systems been evaluated to ensure proper design, density and no obstructions?</t>
    </r>
  </si>
  <si>
    <t>Entre em contato com o Departamento de EHS local ou a seguradora.</t>
  </si>
  <si>
    <r>
      <t xml:space="preserve">Os risers dos sprinklers foram testados para garantir o fluxo adequado e o funcionamento do alarme?
</t>
    </r>
    <r>
      <rPr>
        <i/>
        <sz val="8"/>
        <color theme="0" tint="-0.34998626667073579"/>
        <rFont val="Arial"/>
        <family val="2"/>
      </rPr>
      <t>Have sprinkler risers been tested to ensure proper flow and alarm function?</t>
    </r>
  </si>
  <si>
    <t>Planeje esse teste assim que a mudança for implementada</t>
  </si>
  <si>
    <r>
      <t xml:space="preserve">Os hidrantes e mangueiras de incêndio foram testados para confirmar que funcionam corretamente?
</t>
    </r>
    <r>
      <rPr>
        <i/>
        <sz val="8"/>
        <color theme="0" tint="-0.34998626667073579"/>
        <rFont val="Arial"/>
        <family val="2"/>
      </rPr>
      <t>Have fire hydrants and fire hose been tested to confirm that they function properly?</t>
    </r>
  </si>
  <si>
    <r>
      <t xml:space="preserve">Os detectores de calor e fumaça foram testados para confirmar se estão funcionando corretamente?
</t>
    </r>
    <r>
      <rPr>
        <i/>
        <sz val="8"/>
        <color theme="0" tint="-0.34998626667073579"/>
        <rFont val="Arial"/>
        <family val="2"/>
      </rPr>
      <t>Have heat and smoke detectors been tested to confirm they function properly?</t>
    </r>
  </si>
  <si>
    <r>
      <t xml:space="preserve">Extintores de incêndio de tamanho e tipo adequados estão montados e afixados?
</t>
    </r>
    <r>
      <rPr>
        <i/>
        <sz val="8"/>
        <color theme="0" tint="-0.34998626667073579"/>
        <rFont val="Arial"/>
        <family val="2"/>
      </rPr>
      <t>Are fire extinguishers of adequate size and type mounted and posted?</t>
    </r>
  </si>
  <si>
    <t xml:space="preserve">Na ausência de regulamentação local (código de incêndio) ou exigência de brigada de incêndio ou prescrição de seguro, aplique o método da Essilor para determinar o número e o tipo de extintores para proteger um edifício contra o incêndio. </t>
  </si>
  <si>
    <r>
      <t xml:space="preserve">Extintores de incêndio e iluminação de emergência são adicionados ao inventário de inspeção?
</t>
    </r>
    <r>
      <rPr>
        <i/>
        <sz val="8"/>
        <color theme="0" tint="-0.34998626667073579"/>
        <rFont val="Arial"/>
        <family val="2"/>
      </rPr>
      <t>Are fire extinguishers and emergency lighting added to the inspection inventory?</t>
    </r>
  </si>
  <si>
    <r>
      <t xml:space="preserve">Os risers, detectores de fumaça e calor estão registrados na placa de alarme e conectados ao painel central da guarita?
</t>
    </r>
    <r>
      <rPr>
        <i/>
        <sz val="8"/>
        <color theme="0" tint="-0.34998626667073579"/>
        <rFont val="Arial"/>
        <family val="2"/>
      </rPr>
      <t>Are risers, smoke and heat detectors registered on the alarm board and connected to central panel at guard office?</t>
    </r>
  </si>
  <si>
    <r>
      <t xml:space="preserve">Existem salas de armazenamento ou armários devidamente classificados para armazenamento de materiais inflamáveis?
</t>
    </r>
    <r>
      <rPr>
        <i/>
        <sz val="8"/>
        <color theme="0" tint="-0.34998626667073579"/>
        <rFont val="Arial"/>
        <family val="2"/>
      </rPr>
      <t>Are properly rated storage rooms or cabinets available for storage of flammable materials?</t>
    </r>
  </si>
  <si>
    <t>Checklist de Conformidade</t>
  </si>
  <si>
    <r>
      <t xml:space="preserve">Se a mudança levar à solicitação de uma licença nova ou modificada, os requisitos da legislação são atendidos?
</t>
    </r>
    <r>
      <rPr>
        <i/>
        <sz val="8"/>
        <color theme="0" tint="-0.34998626667073579"/>
        <rFont val="Arial"/>
        <family val="2"/>
      </rPr>
      <t>If the change lead to the application for a new or modified permit, are requirements of the guidance met?</t>
    </r>
  </si>
  <si>
    <t>Verifique se a mudança (qualquer expansão do edifício, aumento da produção, modificação do processo...) leva à obtenção de uma licença de local nova ou modificada (ar, água, águas pluviais, energia, operação, ICPE, IPPC, armazenamento de produtos químicos ou uso de produtos químicos sob o regulamento REACH). Se for necessária uma solicitação de licença de instalação nova ou modificada, entre em contato com o representante regional de EHS de seu país para orientação e coordenação.</t>
  </si>
  <si>
    <r>
      <t xml:space="preserve">As agências reguladoras foram notificadas por escrito sobre qualquer expansão, aumento de produção/modificação de processo conforme exigido pelas licenças?
</t>
    </r>
    <r>
      <rPr>
        <i/>
        <sz val="8"/>
        <color theme="0" tint="-0.34998626667073579"/>
        <rFont val="Arial"/>
        <family val="2"/>
      </rPr>
      <t>Have regulating agencies been notified in writing of any expansion, production increase/process modification as required by permits?</t>
    </r>
  </si>
  <si>
    <t>Revise as licenças do local (ar, água, águas pluviais, energia, operação, ICPE, IPPC, armazenamento ou uso de produtos químicos) para requisitos de notificação às agências reguladoras.</t>
  </si>
  <si>
    <r>
      <t xml:space="preserve">Foi realizada uma revisão linha por linha de quaisquer licenças, registros, autorizações ou autorizações novas ou modificadas?
</t>
    </r>
    <r>
      <rPr>
        <i/>
        <sz val="8"/>
        <color theme="0" tint="-0.34998626667073579"/>
        <rFont val="Arial"/>
        <family val="2"/>
      </rPr>
      <t>Has a line-by-line review of any new or modified licenses, registration, authorizations or permits been performed?</t>
    </r>
  </si>
  <si>
    <t>O local deve manter uma lista de todas as condições específicas de permissão e fazer referência aos procedimentos em vigor para garantir a conformidade. As operações atuais do site devem ser registradas nessas condições e referências. Em caso de impactos em tais licenças, entre em contato o EHS local para obter uma atualização da documentação.</t>
  </si>
  <si>
    <r>
      <t xml:space="preserve">Se a mudança tiver impacto na Biodiversidade, os requisitos da orientação são atendidos?
</t>
    </r>
    <r>
      <rPr>
        <sz val="8"/>
        <color theme="0" tint="-0.34998626667073579"/>
        <rFont val="Arial"/>
        <family val="2"/>
      </rPr>
      <t>If the change has an impact on Biodiversity, are requirements of the guidance met?</t>
    </r>
  </si>
  <si>
    <t>Verifique se a alteração (qualquer expansão de edifícios, aumento de produção, modificação de processos, emissões atmosféricas, emissões de águas residuais, consumos de água e energia, produção de resíduos…) afeta alguma zona envolvente protegida para a Biodiversidade (entre 0 a 10 km do local). O local deve verificar regularmente se tais áreas protegidas para a Biodiversidade (zonas húmidas, florestas protegidas, culturas, ...) estão instaladas nas proximidades do local e como as atividades do local impactam essas áreas.</t>
  </si>
  <si>
    <r>
      <t xml:space="preserve">Se houver uma possível alteração ou adição de ruído externo, os requisitos da orientação são atendidos?
</t>
    </r>
    <r>
      <rPr>
        <i/>
        <sz val="8"/>
        <color theme="0" tint="-0.34998626667073579"/>
        <rFont val="Arial"/>
        <family val="2"/>
      </rPr>
      <t>If there is a potential change or addition for outdoor noise, are requirements of the guidance met?</t>
    </r>
  </si>
  <si>
    <t>Verifique os limites de ruído aplicáveis ao local dentro da(s) licença(s) do local ou através dos regulamentos aplicáveis (regulamentos locais ou do país). Verifique se a alteração afetará os níveis de ruído regulados.</t>
  </si>
  <si>
    <r>
      <t xml:space="preserve">Se houver uma possível alteração ou adição de odor externo, os requisitos da orientação são atendidos?
</t>
    </r>
    <r>
      <rPr>
        <i/>
        <sz val="8"/>
        <color theme="0" tint="-0.34998626667073579"/>
        <rFont val="Arial"/>
        <family val="2"/>
      </rPr>
      <t>If there is a potential change or addition for outdoor odor, are requirements of the guidance met?</t>
    </r>
  </si>
  <si>
    <t>Verifique os limites de odor aplicáveis ao local dentro da(s) licença(s) do local ou através dos regulamentos aplicáveis (regulamentos locais ou do país). Verifique se a alteração afetará os níveis de odor regulados.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</si>
</sst>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Arial"/>
      <scheme val="minor"/>
    </font>
    <font>
      <sz val="10"/>
      <color theme="1"/>
      <name val="Arial"/>
    </font>
    <font>
      <b/>
      <sz val="14"/>
      <color theme="1"/>
      <name val="Arial"/>
    </font>
    <font>
      <sz val="10"/>
      <name val="Arial"/>
    </font>
    <font>
      <sz val="10"/>
      <color rgb="FF000000"/>
      <name val="Arial"/>
    </font>
    <font>
      <b/>
      <sz val="10"/>
      <color rgb="FFFFFFFF"/>
      <name val="Arial"/>
    </font>
    <font>
      <b/>
      <sz val="10"/>
      <color theme="1"/>
      <name val="Arial"/>
    </font>
    <font>
      <b/>
      <sz val="10"/>
      <color rgb="FFE6B8AF"/>
      <name val="Arial"/>
    </font>
    <font>
      <b/>
      <sz val="14"/>
      <color rgb="FFFFFFFF"/>
      <name val="Arial"/>
    </font>
    <font>
      <sz val="10"/>
      <color rgb="FFFFFFFF"/>
      <name val="Arial"/>
    </font>
    <font>
      <b/>
      <sz val="8"/>
      <color rgb="FFFFFFFF"/>
      <name val="Arial"/>
    </font>
    <font>
      <b/>
      <sz val="8"/>
      <color theme="1"/>
      <name val="Arial"/>
    </font>
    <font>
      <b/>
      <sz val="8"/>
      <color rgb="FFFF0000"/>
      <name val="Arial"/>
    </font>
    <font>
      <b/>
      <sz val="12"/>
      <color theme="1"/>
      <name val="Arial"/>
    </font>
    <font>
      <sz val="10"/>
      <color rgb="FFFF0000"/>
      <name val="Arial"/>
    </font>
    <font>
      <b/>
      <sz val="9"/>
      <color rgb="FFFFFFFF"/>
      <name val="Arial"/>
    </font>
    <font>
      <b/>
      <sz val="10"/>
      <name val="Arial"/>
      <family val="2"/>
    </font>
    <font>
      <sz val="10"/>
      <name val="Arial"/>
      <family val="2"/>
    </font>
    <font>
      <b/>
      <sz val="10"/>
      <name val="Arial"/>
    </font>
    <font>
      <b/>
      <sz val="10"/>
      <color rgb="FF000000"/>
      <name val="Arial"/>
    </font>
    <font>
      <i/>
      <sz val="10"/>
      <name val="Arial"/>
      <family val="2"/>
    </font>
    <font>
      <i/>
      <sz val="8"/>
      <color theme="0" tint="-0.34998626667073579"/>
      <name val="Arial"/>
      <family val="2"/>
    </font>
    <font>
      <sz val="10"/>
      <color rgb="FFFF0000"/>
      <name val="Arial"/>
      <family val="2"/>
    </font>
    <font>
      <u/>
      <sz val="10"/>
      <name val="Arial"/>
      <family val="2"/>
    </font>
    <font>
      <i/>
      <sz val="9"/>
      <color theme="0" tint="-0.34998626667073579"/>
      <name val="Arial"/>
      <family val="2"/>
    </font>
    <font>
      <i/>
      <sz val="8"/>
      <color theme="0" tint="-0.249977111117893"/>
      <name val="Arial"/>
      <family val="2"/>
    </font>
    <font>
      <b/>
      <sz val="12"/>
      <color rgb="FF000000"/>
      <name val="Arial"/>
      <family val="2"/>
    </font>
    <font>
      <i/>
      <sz val="8"/>
      <color rgb="FFA6A6A6"/>
      <name val="Arial"/>
    </font>
    <font>
      <u/>
      <sz val="10"/>
      <color rgb="FF0000FF"/>
      <name val="Arial"/>
    </font>
    <font>
      <sz val="8"/>
      <color theme="0" tint="-0.34998626667073579"/>
      <name val="Arial"/>
      <family val="2"/>
    </font>
    <font>
      <sz val="10"/>
      <color theme="0"/>
      <name val="Arial"/>
      <scheme val="minor"/>
    </font>
    <font>
      <b/>
      <sz val="10"/>
      <color theme="0"/>
      <name val="Arial"/>
    </font>
    <font>
      <sz val="10"/>
      <color rgb="FF000000"/>
      <name val="Times New Roman"/>
      <charset val="1"/>
    </font>
    <font>
      <sz val="11"/>
      <color rgb="FF000000"/>
      <name val="Arial"/>
    </font>
    <font>
      <b/>
      <sz val="11"/>
      <color rgb="FF000000"/>
      <name val="Arial"/>
    </font>
    <font>
      <b/>
      <sz val="12"/>
      <color theme="0"/>
      <name val="Arial"/>
      <family val="2"/>
      <charset val="1"/>
    </font>
    <font>
      <b/>
      <sz val="11"/>
      <color rgb="FFFF0000"/>
      <name val="Arial"/>
    </font>
    <font>
      <b/>
      <sz val="10"/>
      <color theme="4"/>
      <name val="Arial"/>
    </font>
    <font>
      <b/>
      <sz val="10"/>
      <color theme="4" tint="-0.249977111117893"/>
      <name val="Arial"/>
    </font>
  </fonts>
  <fills count="25">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1F497D"/>
        <bgColor rgb="FF1F497D"/>
      </patternFill>
    </fill>
    <fill>
      <patternFill patternType="solid">
        <fgColor rgb="FF00FF00"/>
        <bgColor rgb="FF00FF00"/>
      </patternFill>
    </fill>
    <fill>
      <patternFill patternType="solid">
        <fgColor rgb="FFFFFF00"/>
        <bgColor rgb="FFFFFF00"/>
      </patternFill>
    </fill>
    <fill>
      <patternFill patternType="solid">
        <fgColor rgb="FFFFE599"/>
        <bgColor rgb="FFFFE599"/>
      </patternFill>
    </fill>
    <fill>
      <patternFill patternType="solid">
        <fgColor rgb="FFFF00FF"/>
        <bgColor rgb="FFFF00FF"/>
      </patternFill>
    </fill>
    <fill>
      <patternFill patternType="solid">
        <fgColor rgb="FF3366FF"/>
        <bgColor rgb="FF3366FF"/>
      </patternFill>
    </fill>
    <fill>
      <patternFill patternType="solid">
        <fgColor rgb="FFFFFF00"/>
        <bgColor indexed="64"/>
      </patternFill>
    </fill>
    <fill>
      <patternFill patternType="solid">
        <fgColor theme="0"/>
        <bgColor rgb="FF00FF00"/>
      </patternFill>
    </fill>
    <fill>
      <patternFill patternType="solid">
        <fgColor rgb="FFEB15B5"/>
        <bgColor indexed="64"/>
      </patternFill>
    </fill>
    <fill>
      <patternFill patternType="solid">
        <fgColor rgb="FFFACAF4"/>
        <bgColor indexed="64"/>
      </patternFill>
    </fill>
    <fill>
      <patternFill patternType="solid">
        <fgColor theme="6" tint="0.59999389629810485"/>
        <bgColor indexed="64"/>
      </patternFill>
    </fill>
    <fill>
      <patternFill patternType="solid">
        <fgColor theme="7" tint="-0.249977111117893"/>
        <bgColor indexed="64"/>
      </patternFill>
    </fill>
    <fill>
      <patternFill patternType="solid">
        <fgColor rgb="FFEAD1DC"/>
        <bgColor rgb="FFEAD1DC"/>
      </patternFill>
    </fill>
    <fill>
      <patternFill patternType="solid">
        <fgColor rgb="FFF5F5C4"/>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rgb="FF33B033"/>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1"/>
        <bgColor indexed="64"/>
      </patternFill>
    </fill>
    <fill>
      <patternFill patternType="solid">
        <fgColor theme="0"/>
        <bgColor indexed="64"/>
      </patternFill>
    </fill>
  </fills>
  <borders count="5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thin">
        <color rgb="FF000000"/>
      </left>
      <right/>
      <top style="thin">
        <color rgb="FFFFFFFF"/>
      </top>
      <bottom/>
      <diagonal/>
    </border>
    <border>
      <left/>
      <right style="thin">
        <color rgb="FF000000"/>
      </right>
      <top style="thin">
        <color rgb="FFFFFFFF"/>
      </top>
      <bottom/>
      <diagonal/>
    </border>
    <border>
      <left style="thin">
        <color rgb="FF000000"/>
      </left>
      <right/>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rgb="FFFFFFFF"/>
      </left>
      <right style="thin">
        <color rgb="FFFFFFFF"/>
      </right>
      <top style="thin">
        <color rgb="FFFFFFFF"/>
      </top>
      <bottom/>
      <diagonal/>
    </border>
    <border>
      <left style="thin">
        <color rgb="FFFFFFFF"/>
      </left>
      <right/>
      <top/>
      <bottom style="thin">
        <color rgb="FFFFFFFF"/>
      </bottom>
      <diagonal/>
    </border>
    <border>
      <left style="thin">
        <color theme="0"/>
      </left>
      <right/>
      <top style="thin">
        <color rgb="FFFFFFFF"/>
      </top>
      <bottom style="thin">
        <color theme="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top style="thin">
        <color rgb="FF000000"/>
      </top>
      <bottom style="thin">
        <color theme="0"/>
      </bottom>
      <diagonal/>
    </border>
    <border>
      <left/>
      <right/>
      <top style="thin">
        <color rgb="FF000000"/>
      </top>
      <bottom style="thin">
        <color theme="0"/>
      </bottom>
      <diagonal/>
    </border>
    <border>
      <left/>
      <right style="thin">
        <color rgb="FF000000"/>
      </right>
      <top style="thin">
        <color rgb="FF000000"/>
      </top>
      <bottom style="thin">
        <color theme="0"/>
      </bottom>
      <diagonal/>
    </border>
    <border>
      <left style="thin">
        <color theme="0"/>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theme="0"/>
      </right>
      <top/>
      <bottom style="thin">
        <color theme="0"/>
      </bottom>
      <diagonal/>
    </border>
    <border>
      <left style="thin">
        <color rgb="FF000000"/>
      </left>
      <right style="medium">
        <color rgb="FF000000"/>
      </right>
      <top/>
      <bottom/>
      <diagonal/>
    </border>
    <border>
      <left style="medium">
        <color rgb="FF000000"/>
      </left>
      <right style="thin">
        <color theme="0"/>
      </right>
      <top style="thin">
        <color theme="0"/>
      </top>
      <bottom style="thin">
        <color theme="0"/>
      </bottom>
      <diagonal/>
    </border>
    <border>
      <left style="medium">
        <color rgb="FF000000"/>
      </left>
      <right style="thin">
        <color theme="0"/>
      </right>
      <top style="thin">
        <color theme="0"/>
      </top>
      <bottom style="medium">
        <color rgb="FF000000"/>
      </bottom>
      <diagonal/>
    </border>
    <border>
      <left style="thin">
        <color theme="0"/>
      </left>
      <right/>
      <top/>
      <bottom style="medium">
        <color rgb="FF000000"/>
      </bottom>
      <diagonal/>
    </border>
    <border>
      <left/>
      <right/>
      <top/>
      <bottom style="medium">
        <color rgb="FF000000"/>
      </bottom>
      <diagonal/>
    </border>
    <border>
      <left style="thin">
        <color rgb="FF000000"/>
      </left>
      <right style="medium">
        <color rgb="FF000000"/>
      </right>
      <top/>
      <bottom style="medium">
        <color rgb="FF000000"/>
      </bottom>
      <diagonal/>
    </border>
    <border>
      <left style="thin">
        <color theme="0"/>
      </left>
      <right/>
      <top style="thin">
        <color rgb="FF000000"/>
      </top>
      <bottom/>
      <diagonal/>
    </border>
    <border>
      <left style="thin">
        <color rgb="FF000000"/>
      </left>
      <right/>
      <top/>
      <bottom style="medium">
        <color rgb="FF000000"/>
      </bottom>
      <diagonal/>
    </border>
    <border>
      <left style="thin">
        <color rgb="FFFFFFFF"/>
      </left>
      <right/>
      <top style="thin">
        <color rgb="FF000000"/>
      </top>
      <bottom style="thin">
        <color rgb="FF000000"/>
      </bottom>
      <diagonal/>
    </border>
    <border>
      <left style="thin">
        <color rgb="FFFFFFFF"/>
      </left>
      <right/>
      <top style="thin">
        <color rgb="FF000000"/>
      </top>
      <bottom/>
      <diagonal/>
    </border>
    <border>
      <left style="thin">
        <color rgb="FFFFFFFF"/>
      </left>
      <right/>
      <top style="thin">
        <color rgb="FFFFFFFF"/>
      </top>
      <bottom style="thin">
        <color rgb="FFFFFFFF"/>
      </bottom>
      <diagonal/>
    </border>
    <border>
      <left/>
      <right style="thin">
        <color rgb="FF000000"/>
      </right>
      <top/>
      <bottom style="medium">
        <color rgb="FF000000"/>
      </bottom>
      <diagonal/>
    </border>
    <border>
      <left/>
      <right style="thin">
        <color rgb="FF000000"/>
      </right>
      <top style="thin">
        <color rgb="FFFFFFFF"/>
      </top>
      <bottom style="thin">
        <color rgb="FF000000"/>
      </bottom>
      <diagonal/>
    </border>
    <border>
      <left style="thin">
        <color rgb="FF00000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1">
    <xf numFmtId="0" fontId="0" fillId="0" borderId="0"/>
  </cellStyleXfs>
  <cellXfs count="253">
    <xf numFmtId="0" fontId="0" fillId="0" borderId="0" xfId="0"/>
    <xf numFmtId="0" fontId="1" fillId="0" borderId="0" xfId="0" applyFont="1"/>
    <xf numFmtId="0" fontId="2" fillId="2" borderId="1" xfId="0" applyFont="1" applyFill="1" applyBorder="1" applyAlignment="1">
      <alignment horizontal="center" vertical="center" wrapText="1"/>
    </xf>
    <xf numFmtId="0" fontId="4" fillId="0" borderId="0" xfId="0" applyFont="1"/>
    <xf numFmtId="0" fontId="5" fillId="3" borderId="4" xfId="0" applyFont="1" applyFill="1" applyBorder="1" applyAlignment="1">
      <alignment horizontal="left" vertical="center" wrapText="1"/>
    </xf>
    <xf numFmtId="0" fontId="6" fillId="0" borderId="0" xfId="0" applyFont="1" applyAlignment="1">
      <alignment vertical="center" wrapText="1"/>
    </xf>
    <xf numFmtId="49" fontId="5" fillId="3" borderId="12" xfId="0" applyNumberFormat="1" applyFont="1" applyFill="1" applyBorder="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horizontal="center" wrapText="1"/>
    </xf>
    <xf numFmtId="0" fontId="5" fillId="3" borderId="4" xfId="0" applyFont="1" applyFill="1" applyBorder="1" applyAlignment="1">
      <alignment horizontal="center" vertical="center" wrapText="1"/>
    </xf>
    <xf numFmtId="0" fontId="1" fillId="0" borderId="0" xfId="0" applyFont="1" applyAlignment="1">
      <alignment horizontal="center" vertical="center" wrapText="1"/>
    </xf>
    <xf numFmtId="20" fontId="1" fillId="0" borderId="0" xfId="0" applyNumberFormat="1" applyFont="1" applyAlignment="1">
      <alignment horizontal="center" vertical="center" wrapText="1"/>
    </xf>
    <xf numFmtId="0" fontId="1" fillId="2" borderId="17"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1" fillId="2" borderId="13" xfId="0" applyFont="1" applyFill="1" applyBorder="1" applyAlignment="1">
      <alignment vertical="center" wrapText="1"/>
    </xf>
    <xf numFmtId="0" fontId="4" fillId="2" borderId="17" xfId="0" applyFont="1" applyFill="1" applyBorder="1" applyAlignment="1">
      <alignment vertical="center" wrapText="1"/>
    </xf>
    <xf numFmtId="0" fontId="1" fillId="2" borderId="0" xfId="0" applyFont="1" applyFill="1" applyAlignment="1">
      <alignment vertical="center" wrapText="1"/>
    </xf>
    <xf numFmtId="0" fontId="10" fillId="4" borderId="1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7" xfId="0" applyFont="1" applyFill="1" applyBorder="1" applyAlignment="1">
      <alignment vertical="center" wrapText="1"/>
    </xf>
    <xf numFmtId="0" fontId="11" fillId="5" borderId="17" xfId="0" applyFont="1" applyFill="1" applyBorder="1" applyAlignment="1">
      <alignment horizontal="center" vertical="center" wrapText="1"/>
    </xf>
    <xf numFmtId="0" fontId="12" fillId="6" borderId="17" xfId="0" applyFont="1" applyFill="1" applyBorder="1" applyAlignment="1">
      <alignment horizontal="center" vertical="center" wrapText="1"/>
    </xf>
    <xf numFmtId="10" fontId="1" fillId="2" borderId="17" xfId="0" applyNumberFormat="1" applyFont="1" applyFill="1" applyBorder="1" applyAlignment="1">
      <alignment horizontal="center" vertical="center" wrapText="1"/>
    </xf>
    <xf numFmtId="0" fontId="12" fillId="7" borderId="17" xfId="0" applyFont="1" applyFill="1" applyBorder="1" applyAlignment="1">
      <alignment horizontal="center" vertical="center" wrapText="1"/>
    </xf>
    <xf numFmtId="0" fontId="1" fillId="0" borderId="17" xfId="0" applyFont="1" applyBorder="1" applyAlignment="1">
      <alignment horizontal="center" vertical="center" wrapText="1"/>
    </xf>
    <xf numFmtId="0" fontId="1" fillId="2" borderId="18" xfId="0" applyFont="1" applyFill="1" applyBorder="1" applyAlignment="1">
      <alignment horizontal="center" vertical="center" wrapText="1"/>
    </xf>
    <xf numFmtId="0" fontId="1" fillId="2" borderId="6" xfId="0" applyFont="1" applyFill="1" applyBorder="1" applyAlignment="1">
      <alignment horizontal="center" vertical="center" wrapText="1"/>
    </xf>
    <xf numFmtId="1" fontId="1" fillId="2" borderId="6" xfId="0" applyNumberFormat="1" applyFont="1" applyFill="1" applyBorder="1" applyAlignment="1">
      <alignment horizontal="center" vertical="center" wrapText="1"/>
    </xf>
    <xf numFmtId="1" fontId="1" fillId="2" borderId="18" xfId="0" applyNumberFormat="1" applyFont="1" applyFill="1" applyBorder="1" applyAlignment="1">
      <alignment horizontal="center" vertical="center" wrapText="1"/>
    </xf>
    <xf numFmtId="14" fontId="1" fillId="2" borderId="6" xfId="0" applyNumberFormat="1" applyFont="1" applyFill="1" applyBorder="1" applyAlignment="1">
      <alignment horizontal="center" vertical="center" wrapText="1"/>
    </xf>
    <xf numFmtId="0" fontId="1" fillId="2" borderId="12" xfId="0" applyFont="1" applyFill="1" applyBorder="1" applyAlignment="1">
      <alignment horizontal="center" vertical="center" wrapText="1"/>
    </xf>
    <xf numFmtId="0" fontId="5" fillId="3" borderId="21" xfId="0" applyFont="1" applyFill="1" applyBorder="1" applyAlignment="1">
      <alignment horizontal="left" vertical="center" wrapText="1"/>
    </xf>
    <xf numFmtId="0" fontId="4" fillId="0" borderId="17" xfId="0" applyFont="1" applyBorder="1"/>
    <xf numFmtId="0" fontId="0" fillId="0" borderId="17" xfId="0" applyBorder="1"/>
    <xf numFmtId="0" fontId="1" fillId="0" borderId="17" xfId="0" applyFont="1" applyBorder="1"/>
    <xf numFmtId="0" fontId="5" fillId="3" borderId="25" xfId="0" applyFont="1" applyFill="1" applyBorder="1" applyAlignment="1">
      <alignment horizontal="left" vertical="center" wrapText="1"/>
    </xf>
    <xf numFmtId="0" fontId="5" fillId="3" borderId="27" xfId="0" applyFont="1" applyFill="1" applyBorder="1" applyAlignment="1">
      <alignment horizontal="left" vertical="center" wrapText="1"/>
    </xf>
    <xf numFmtId="0" fontId="6" fillId="0" borderId="17" xfId="0" applyFont="1" applyBorder="1" applyAlignment="1">
      <alignment horizontal="center" vertical="center" wrapText="1"/>
    </xf>
    <xf numFmtId="0" fontId="0" fillId="0" borderId="0" xfId="0" applyAlignment="1">
      <alignment vertical="center"/>
    </xf>
    <xf numFmtId="0" fontId="1" fillId="0" borderId="10" xfId="0" applyFont="1" applyBorder="1" applyAlignment="1">
      <alignment vertical="center" wrapText="1"/>
    </xf>
    <xf numFmtId="0" fontId="3" fillId="0" borderId="17" xfId="0" applyFont="1" applyBorder="1"/>
    <xf numFmtId="0" fontId="3" fillId="0" borderId="11" xfId="0" applyFont="1" applyBorder="1"/>
    <xf numFmtId="0" fontId="17" fillId="0" borderId="12" xfId="0" applyFont="1" applyBorder="1" applyAlignment="1">
      <alignment vertical="top" wrapText="1"/>
    </xf>
    <xf numFmtId="0" fontId="3" fillId="0" borderId="12" xfId="0" applyFont="1" applyBorder="1" applyAlignment="1">
      <alignment horizontal="center" vertical="center"/>
    </xf>
    <xf numFmtId="0" fontId="3" fillId="0" borderId="12" xfId="0" applyFont="1" applyBorder="1" applyAlignment="1">
      <alignment vertical="top" wrapText="1"/>
    </xf>
    <xf numFmtId="0" fontId="17" fillId="0" borderId="12" xfId="0" applyFont="1" applyBorder="1" applyAlignment="1">
      <alignment vertical="top"/>
    </xf>
    <xf numFmtId="0" fontId="17" fillId="0" borderId="12" xfId="0" applyFont="1" applyBorder="1" applyAlignment="1">
      <alignment horizontal="center" vertical="center"/>
    </xf>
    <xf numFmtId="0" fontId="3" fillId="0" borderId="12" xfId="0" applyFont="1" applyBorder="1" applyAlignment="1">
      <alignment horizontal="left" vertical="top" wrapText="1"/>
    </xf>
    <xf numFmtId="0" fontId="3" fillId="0" borderId="12" xfId="0" applyFont="1" applyBorder="1" applyAlignment="1">
      <alignment vertical="top"/>
    </xf>
    <xf numFmtId="0" fontId="22" fillId="0" borderId="12" xfId="0" applyFont="1" applyBorder="1" applyAlignment="1">
      <alignment vertical="top" wrapText="1"/>
    </xf>
    <xf numFmtId="0" fontId="17" fillId="11" borderId="12" xfId="0" applyFont="1" applyFill="1" applyBorder="1" applyAlignment="1">
      <alignment vertical="top" wrapText="1"/>
    </xf>
    <xf numFmtId="0" fontId="0" fillId="0" borderId="17" xfId="0" applyBorder="1" applyAlignment="1">
      <alignment vertical="center"/>
    </xf>
    <xf numFmtId="0" fontId="17" fillId="0" borderId="12" xfId="0" applyFont="1" applyBorder="1" applyAlignment="1">
      <alignment vertical="center" wrapText="1"/>
    </xf>
    <xf numFmtId="0" fontId="3" fillId="0" borderId="12" xfId="0" applyFont="1" applyBorder="1" applyAlignment="1">
      <alignment vertical="center" wrapText="1"/>
    </xf>
    <xf numFmtId="0" fontId="3" fillId="0" borderId="12" xfId="0" applyFont="1" applyBorder="1" applyAlignment="1">
      <alignment horizontal="left" vertical="center" wrapText="1"/>
    </xf>
    <xf numFmtId="0" fontId="22" fillId="0" borderId="12" xfId="0" applyFont="1" applyBorder="1" applyAlignment="1">
      <alignment vertical="center" wrapText="1"/>
    </xf>
    <xf numFmtId="0" fontId="17" fillId="11" borderId="12" xfId="0" applyFont="1" applyFill="1" applyBorder="1" applyAlignment="1">
      <alignment vertical="center" wrapText="1"/>
    </xf>
    <xf numFmtId="0" fontId="16" fillId="13" borderId="19" xfId="0" applyFont="1" applyFill="1" applyBorder="1" applyAlignment="1">
      <alignment horizontal="center" vertical="center"/>
    </xf>
    <xf numFmtId="0" fontId="18" fillId="13" borderId="19" xfId="0" applyFont="1" applyFill="1" applyBorder="1" applyAlignment="1">
      <alignment horizontal="center" vertical="center"/>
    </xf>
    <xf numFmtId="0" fontId="19" fillId="13" borderId="19" xfId="0" applyFont="1" applyFill="1" applyBorder="1" applyAlignment="1">
      <alignment horizontal="center" vertical="center" wrapText="1"/>
    </xf>
    <xf numFmtId="0" fontId="17" fillId="0" borderId="18" xfId="0" applyFont="1" applyBorder="1" applyAlignment="1">
      <alignment vertical="center" wrapText="1"/>
    </xf>
    <xf numFmtId="0" fontId="3" fillId="0" borderId="18" xfId="0" applyFont="1" applyBorder="1" applyAlignment="1">
      <alignment vertical="center" wrapText="1"/>
    </xf>
    <xf numFmtId="0" fontId="17" fillId="0" borderId="6" xfId="0" applyFont="1" applyBorder="1" applyAlignment="1">
      <alignment vertical="center" wrapText="1"/>
    </xf>
    <xf numFmtId="0" fontId="17" fillId="0" borderId="3" xfId="0" applyFont="1" applyBorder="1" applyAlignment="1">
      <alignment vertical="center" wrapText="1"/>
    </xf>
    <xf numFmtId="0" fontId="3" fillId="0" borderId="12" xfId="0" applyFont="1" applyBorder="1" applyAlignment="1">
      <alignment horizontal="center" vertical="center" wrapText="1"/>
    </xf>
    <xf numFmtId="0" fontId="0" fillId="0" borderId="17" xfId="0" applyBorder="1" applyAlignment="1">
      <alignment horizontal="center" vertical="center"/>
    </xf>
    <xf numFmtId="0" fontId="0" fillId="0" borderId="0" xfId="0" applyAlignment="1">
      <alignment horizontal="center" vertical="center"/>
    </xf>
    <xf numFmtId="0" fontId="0" fillId="0" borderId="17" xfId="0" applyBorder="1" applyAlignment="1">
      <alignment vertical="center" wrapText="1"/>
    </xf>
    <xf numFmtId="0" fontId="3" fillId="0" borderId="18" xfId="0" applyFont="1" applyBorder="1" applyAlignment="1">
      <alignment horizontal="center" vertical="center" wrapText="1"/>
    </xf>
    <xf numFmtId="0" fontId="0" fillId="0" borderId="0" xfId="0" applyAlignment="1">
      <alignment vertical="center" wrapText="1"/>
    </xf>
    <xf numFmtId="0" fontId="17" fillId="0" borderId="12" xfId="0" applyFont="1" applyBorder="1" applyAlignment="1">
      <alignment horizontal="center" vertical="center" wrapText="1"/>
    </xf>
    <xf numFmtId="0" fontId="0" fillId="0" borderId="0" xfId="0" applyAlignment="1">
      <alignment horizontal="center" vertical="center" wrapText="1"/>
    </xf>
    <xf numFmtId="0" fontId="3" fillId="11" borderId="12" xfId="0" applyFont="1" applyFill="1" applyBorder="1" applyAlignment="1">
      <alignment horizontal="center" vertical="center" wrapText="1"/>
    </xf>
    <xf numFmtId="0" fontId="3" fillId="0" borderId="19" xfId="0" applyFont="1" applyBorder="1" applyAlignment="1">
      <alignment horizontal="center" vertical="center" wrapText="1"/>
    </xf>
    <xf numFmtId="0" fontId="3" fillId="0" borderId="9" xfId="0" applyFont="1" applyBorder="1" applyAlignment="1">
      <alignment vertical="center" wrapText="1"/>
    </xf>
    <xf numFmtId="0" fontId="3" fillId="0" borderId="19" xfId="0" applyFont="1" applyBorder="1" applyAlignment="1">
      <alignment vertical="center" wrapText="1"/>
    </xf>
    <xf numFmtId="0" fontId="17" fillId="0" borderId="19" xfId="0" applyFont="1" applyBorder="1" applyAlignment="1">
      <alignment vertical="center" wrapText="1"/>
    </xf>
    <xf numFmtId="0" fontId="0" fillId="0" borderId="17" xfId="0" applyBorder="1" applyAlignment="1">
      <alignment horizontal="center" vertical="center" wrapText="1"/>
    </xf>
    <xf numFmtId="0" fontId="0" fillId="0" borderId="12" xfId="0" applyBorder="1" applyAlignment="1">
      <alignment horizontal="center" vertical="center"/>
    </xf>
    <xf numFmtId="0" fontId="0" fillId="0" borderId="12" xfId="0" applyBorder="1" applyAlignment="1">
      <alignment vertical="center"/>
    </xf>
    <xf numFmtId="0" fontId="16" fillId="13" borderId="19" xfId="0" applyFont="1" applyFill="1" applyBorder="1" applyAlignment="1">
      <alignment horizontal="center" vertical="center" wrapText="1"/>
    </xf>
    <xf numFmtId="0" fontId="18" fillId="13" borderId="19" xfId="0" applyFont="1" applyFill="1" applyBorder="1" applyAlignment="1">
      <alignment horizontal="center" vertical="center" wrapText="1"/>
    </xf>
    <xf numFmtId="0" fontId="3" fillId="0" borderId="19" xfId="0" applyFont="1" applyBorder="1" applyAlignment="1">
      <alignment horizontal="center" vertical="center"/>
    </xf>
    <xf numFmtId="0" fontId="0" fillId="0" borderId="12" xfId="0" applyBorder="1" applyAlignment="1">
      <alignment horizontal="center" vertical="center" wrapText="1"/>
    </xf>
    <xf numFmtId="0" fontId="17" fillId="0" borderId="28" xfId="0" applyFont="1" applyBorder="1" applyAlignment="1">
      <alignment vertical="center" wrapText="1"/>
    </xf>
    <xf numFmtId="0" fontId="3" fillId="0" borderId="1" xfId="0" applyFont="1" applyBorder="1" applyAlignment="1">
      <alignment horizontal="center" vertical="center"/>
    </xf>
    <xf numFmtId="0" fontId="17" fillId="0" borderId="29" xfId="0" applyFont="1" applyBorder="1" applyAlignment="1">
      <alignment vertical="center" wrapText="1"/>
    </xf>
    <xf numFmtId="0" fontId="17" fillId="0" borderId="19" xfId="0" applyFont="1" applyBorder="1" applyAlignment="1">
      <alignment vertical="top" wrapText="1"/>
    </xf>
    <xf numFmtId="0" fontId="3" fillId="0" borderId="19" xfId="0" applyFont="1" applyBorder="1" applyAlignment="1">
      <alignment vertical="top" wrapText="1"/>
    </xf>
    <xf numFmtId="0" fontId="17" fillId="0" borderId="19" xfId="0" applyFont="1" applyBorder="1" applyAlignment="1">
      <alignment horizontal="center" vertical="center"/>
    </xf>
    <xf numFmtId="0" fontId="3" fillId="0" borderId="7" xfId="0" applyFont="1" applyBorder="1" applyAlignment="1">
      <alignment horizontal="center" vertical="center"/>
    </xf>
    <xf numFmtId="0" fontId="16" fillId="17" borderId="19" xfId="0" applyFont="1" applyFill="1" applyBorder="1" applyAlignment="1">
      <alignment horizontal="center" vertical="center"/>
    </xf>
    <xf numFmtId="0" fontId="18" fillId="17" borderId="19" xfId="0" applyFont="1" applyFill="1" applyBorder="1" applyAlignment="1">
      <alignment horizontal="center" vertical="center"/>
    </xf>
    <xf numFmtId="0" fontId="19" fillId="17" borderId="19" xfId="0" applyFont="1" applyFill="1" applyBorder="1" applyAlignment="1">
      <alignment horizontal="center" vertical="center" wrapText="1"/>
    </xf>
    <xf numFmtId="0" fontId="28" fillId="0" borderId="12" xfId="0" applyFont="1" applyBorder="1" applyAlignment="1">
      <alignment vertical="top" wrapText="1"/>
    </xf>
    <xf numFmtId="0" fontId="17" fillId="0" borderId="12" xfId="0" applyFont="1" applyBorder="1" applyAlignment="1">
      <alignment horizontal="left" vertical="top" wrapText="1"/>
    </xf>
    <xf numFmtId="0" fontId="16" fillId="19" borderId="19" xfId="0" applyFont="1" applyFill="1" applyBorder="1" applyAlignment="1">
      <alignment horizontal="center" vertical="center"/>
    </xf>
    <xf numFmtId="0" fontId="18" fillId="19" borderId="19" xfId="0" applyFont="1" applyFill="1" applyBorder="1" applyAlignment="1">
      <alignment horizontal="center" vertical="center"/>
    </xf>
    <xf numFmtId="0" fontId="19" fillId="19" borderId="19" xfId="0" applyFont="1" applyFill="1" applyBorder="1" applyAlignment="1">
      <alignment horizontal="center" vertical="center" wrapText="1"/>
    </xf>
    <xf numFmtId="0" fontId="5" fillId="3" borderId="36" xfId="0" applyFont="1" applyFill="1" applyBorder="1" applyAlignment="1">
      <alignment horizontal="left" vertical="center" wrapText="1"/>
    </xf>
    <xf numFmtId="0" fontId="5" fillId="3" borderId="38" xfId="0" applyFont="1" applyFill="1" applyBorder="1" applyAlignment="1">
      <alignment horizontal="left" vertical="center" wrapText="1"/>
    </xf>
    <xf numFmtId="0" fontId="5" fillId="3" borderId="39" xfId="0" applyFont="1" applyFill="1" applyBorder="1" applyAlignment="1">
      <alignment horizontal="left" vertical="center" wrapText="1"/>
    </xf>
    <xf numFmtId="0" fontId="17" fillId="0" borderId="19" xfId="0" applyFont="1" applyBorder="1" applyAlignment="1">
      <alignment horizontal="center" vertical="center" wrapText="1"/>
    </xf>
    <xf numFmtId="0" fontId="17" fillId="0" borderId="18" xfId="0" applyFont="1" applyBorder="1" applyAlignment="1">
      <alignment horizontal="center" vertical="center" wrapText="1"/>
    </xf>
    <xf numFmtId="0" fontId="3" fillId="0" borderId="18" xfId="0" applyFont="1" applyBorder="1" applyAlignment="1">
      <alignment horizontal="left" vertical="center" wrapText="1"/>
    </xf>
    <xf numFmtId="0" fontId="20" fillId="14" borderId="1" xfId="0" applyFont="1" applyFill="1" applyBorder="1" applyAlignment="1">
      <alignment vertical="center"/>
    </xf>
    <xf numFmtId="0" fontId="20" fillId="14" borderId="2" xfId="0" applyFont="1" applyFill="1" applyBorder="1" applyAlignment="1">
      <alignment vertical="center"/>
    </xf>
    <xf numFmtId="0" fontId="20" fillId="14" borderId="3" xfId="0" applyFont="1" applyFill="1" applyBorder="1" applyAlignment="1">
      <alignment vertical="center"/>
    </xf>
    <xf numFmtId="0" fontId="0" fillId="0" borderId="0" xfId="0" applyAlignment="1">
      <alignment horizontal="right" vertical="center" wrapText="1"/>
    </xf>
    <xf numFmtId="0" fontId="20" fillId="14" borderId="2" xfId="0" applyFont="1" applyFill="1" applyBorder="1" applyAlignment="1">
      <alignment horizontal="center" vertical="center"/>
    </xf>
    <xf numFmtId="9" fontId="0" fillId="0" borderId="0" xfId="0" applyNumberFormat="1" applyAlignment="1">
      <alignment horizontal="center" vertical="center" wrapText="1"/>
    </xf>
    <xf numFmtId="0" fontId="30" fillId="0" borderId="0" xfId="0" applyFont="1" applyAlignment="1">
      <alignment vertical="center" wrapText="1"/>
    </xf>
    <xf numFmtId="9" fontId="17" fillId="8" borderId="37" xfId="0" applyNumberFormat="1" applyFont="1" applyFill="1" applyBorder="1" applyAlignment="1">
      <alignment horizontal="center" vertical="center"/>
    </xf>
    <xf numFmtId="0" fontId="17" fillId="8" borderId="10" xfId="0" applyFont="1" applyFill="1" applyBorder="1" applyAlignment="1">
      <alignment horizontal="center" vertical="center"/>
    </xf>
    <xf numFmtId="0" fontId="17" fillId="20" borderId="10" xfId="0" applyFont="1" applyFill="1" applyBorder="1" applyAlignment="1">
      <alignment horizontal="center" vertical="center" wrapText="1"/>
    </xf>
    <xf numFmtId="0" fontId="17" fillId="6" borderId="10" xfId="0" applyFont="1" applyFill="1" applyBorder="1" applyAlignment="1">
      <alignment horizontal="center" vertical="center" wrapText="1"/>
    </xf>
    <xf numFmtId="0" fontId="17" fillId="9" borderId="44" xfId="0" applyFont="1" applyFill="1" applyBorder="1" applyAlignment="1">
      <alignment horizontal="center" vertical="center"/>
    </xf>
    <xf numFmtId="0" fontId="20" fillId="16" borderId="1" xfId="0" applyFont="1" applyFill="1" applyBorder="1"/>
    <xf numFmtId="0" fontId="20" fillId="16" borderId="2" xfId="0" applyFont="1" applyFill="1" applyBorder="1"/>
    <xf numFmtId="0" fontId="20" fillId="16" borderId="3" xfId="0" applyFont="1" applyFill="1" applyBorder="1"/>
    <xf numFmtId="0" fontId="20" fillId="16" borderId="1" xfId="0" applyFont="1" applyFill="1" applyBorder="1" applyAlignment="1">
      <alignment vertical="center"/>
    </xf>
    <xf numFmtId="0" fontId="20" fillId="16" borderId="2" xfId="0" applyFont="1" applyFill="1" applyBorder="1" applyAlignment="1">
      <alignment vertical="center"/>
    </xf>
    <xf numFmtId="0" fontId="20" fillId="16" borderId="3" xfId="0" applyFont="1" applyFill="1" applyBorder="1" applyAlignment="1">
      <alignment vertical="center"/>
    </xf>
    <xf numFmtId="0" fontId="16" fillId="22" borderId="19" xfId="0" applyFont="1" applyFill="1" applyBorder="1" applyAlignment="1">
      <alignment horizontal="center" vertical="center"/>
    </xf>
    <xf numFmtId="0" fontId="18" fillId="22" borderId="19" xfId="0" applyFont="1" applyFill="1" applyBorder="1" applyAlignment="1">
      <alignment horizontal="center" vertical="center"/>
    </xf>
    <xf numFmtId="0" fontId="19" fillId="22" borderId="19" xfId="0" applyFont="1" applyFill="1" applyBorder="1" applyAlignment="1">
      <alignment horizontal="center" vertical="center" wrapText="1"/>
    </xf>
    <xf numFmtId="9" fontId="17" fillId="20" borderId="37" xfId="0" applyNumberFormat="1" applyFont="1" applyFill="1" applyBorder="1" applyAlignment="1">
      <alignment horizontal="center" vertical="center" wrapText="1"/>
    </xf>
    <xf numFmtId="9" fontId="17" fillId="6" borderId="37" xfId="0" applyNumberFormat="1" applyFont="1" applyFill="1" applyBorder="1" applyAlignment="1">
      <alignment horizontal="center" vertical="center" wrapText="1"/>
    </xf>
    <xf numFmtId="9" fontId="17" fillId="9" borderId="42" xfId="0" applyNumberFormat="1" applyFont="1" applyFill="1" applyBorder="1" applyAlignment="1">
      <alignment horizontal="center" vertical="center"/>
    </xf>
    <xf numFmtId="0" fontId="17" fillId="21" borderId="12" xfId="0" applyFont="1" applyFill="1" applyBorder="1" applyAlignment="1">
      <alignment horizontal="center" vertical="center" wrapText="1"/>
    </xf>
    <xf numFmtId="0" fontId="5" fillId="3" borderId="47" xfId="0" applyFont="1" applyFill="1" applyBorder="1" applyAlignment="1">
      <alignment horizontal="left" vertical="center" wrapText="1"/>
    </xf>
    <xf numFmtId="0" fontId="1" fillId="0" borderId="17" xfId="0" applyFont="1" applyBorder="1" applyAlignment="1">
      <alignment vertical="center" wrapText="1"/>
    </xf>
    <xf numFmtId="0" fontId="5" fillId="3" borderId="26" xfId="0" applyFont="1" applyFill="1" applyBorder="1" applyAlignment="1">
      <alignment horizontal="left" vertical="center" wrapText="1"/>
    </xf>
    <xf numFmtId="0" fontId="6" fillId="0" borderId="17" xfId="0" applyFont="1" applyBorder="1" applyAlignment="1">
      <alignment vertical="center" wrapText="1"/>
    </xf>
    <xf numFmtId="49" fontId="5" fillId="3" borderId="49" xfId="0" applyNumberFormat="1" applyFont="1" applyFill="1" applyBorder="1" applyAlignment="1">
      <alignment horizontal="left" vertical="center" wrapText="1"/>
    </xf>
    <xf numFmtId="0" fontId="5" fillId="3" borderId="50" xfId="0" applyFont="1" applyFill="1" applyBorder="1" applyAlignment="1">
      <alignment horizontal="left" vertical="center" wrapText="1"/>
    </xf>
    <xf numFmtId="0" fontId="32" fillId="0" borderId="0" xfId="0" applyFont="1" applyAlignment="1">
      <alignment vertical="center"/>
    </xf>
    <xf numFmtId="0" fontId="33" fillId="0" borderId="0" xfId="0" applyFont="1" applyAlignment="1">
      <alignment vertical="center" wrapText="1"/>
    </xf>
    <xf numFmtId="0" fontId="4" fillId="0" borderId="0" xfId="0" applyFont="1" applyAlignment="1">
      <alignment vertical="center"/>
    </xf>
    <xf numFmtId="0" fontId="4" fillId="0" borderId="0" xfId="0" applyFont="1" applyAlignment="1">
      <alignment vertical="center" wrapText="1"/>
    </xf>
    <xf numFmtId="0" fontId="19" fillId="0" borderId="0" xfId="0" applyFont="1" applyAlignment="1">
      <alignment vertical="center"/>
    </xf>
    <xf numFmtId="49" fontId="0" fillId="0" borderId="17" xfId="0" applyNumberFormat="1" applyBorder="1"/>
    <xf numFmtId="9" fontId="0" fillId="0" borderId="12" xfId="0" applyNumberFormat="1" applyBorder="1" applyAlignment="1">
      <alignment horizontal="center" vertical="center"/>
    </xf>
    <xf numFmtId="20" fontId="1" fillId="0" borderId="17" xfId="0" applyNumberFormat="1" applyFont="1" applyBorder="1" applyAlignment="1">
      <alignment horizontal="center" vertical="center" wrapText="1"/>
    </xf>
    <xf numFmtId="0" fontId="33" fillId="0" borderId="0" xfId="0" applyFont="1" applyAlignment="1">
      <alignment vertical="center" wrapText="1"/>
    </xf>
    <xf numFmtId="0" fontId="33" fillId="0" borderId="0" xfId="0" applyFont="1" applyAlignment="1">
      <alignment horizontal="left" vertical="center" wrapText="1"/>
    </xf>
    <xf numFmtId="0" fontId="37" fillId="0" borderId="0" xfId="0" applyFont="1" applyAlignment="1">
      <alignment horizontal="left" vertical="center" wrapText="1"/>
    </xf>
    <xf numFmtId="0" fontId="35" fillId="23" borderId="0" xfId="0" applyFont="1" applyFill="1" applyAlignment="1">
      <alignment horizontal="left" vertical="center" wrapText="1"/>
    </xf>
    <xf numFmtId="49" fontId="1" fillId="0" borderId="45" xfId="0" applyNumberFormat="1" applyFont="1" applyBorder="1" applyAlignment="1">
      <alignment horizontal="left" vertical="center" wrapText="1"/>
    </xf>
    <xf numFmtId="49" fontId="1" fillId="0" borderId="2" xfId="0" applyNumberFormat="1" applyFont="1" applyBorder="1" applyAlignment="1">
      <alignment horizontal="left" vertical="center" wrapText="1"/>
    </xf>
    <xf numFmtId="49" fontId="1" fillId="0" borderId="3" xfId="0" applyNumberFormat="1" applyFont="1" applyBorder="1" applyAlignment="1">
      <alignment horizontal="left" vertical="center" wrapText="1"/>
    </xf>
    <xf numFmtId="0" fontId="4" fillId="24" borderId="12" xfId="0" applyFont="1" applyFill="1" applyBorder="1" applyAlignment="1">
      <alignment horizontal="center" vertical="center"/>
    </xf>
    <xf numFmtId="0" fontId="31" fillId="23" borderId="20" xfId="0" applyFont="1" applyFill="1" applyBorder="1" applyAlignment="1">
      <alignment horizontal="center" vertical="center"/>
    </xf>
    <xf numFmtId="0" fontId="31" fillId="23" borderId="19" xfId="0" applyFont="1" applyFill="1" applyBorder="1" applyAlignment="1">
      <alignment horizontal="center" vertical="center"/>
    </xf>
    <xf numFmtId="0" fontId="31" fillId="23" borderId="7" xfId="0" applyFont="1" applyFill="1" applyBorder="1" applyAlignment="1">
      <alignment horizontal="center" vertical="center"/>
    </xf>
    <xf numFmtId="0" fontId="31" fillId="23" borderId="8" xfId="0" applyFont="1" applyFill="1" applyBorder="1" applyAlignment="1">
      <alignment horizontal="center" vertical="center"/>
    </xf>
    <xf numFmtId="14" fontId="1" fillId="0" borderId="1" xfId="0" applyNumberFormat="1" applyFont="1" applyBorder="1" applyAlignment="1">
      <alignment horizontal="center" vertical="center" wrapText="1"/>
    </xf>
    <xf numFmtId="14" fontId="1" fillId="0" borderId="3" xfId="0" applyNumberFormat="1" applyFont="1" applyBorder="1" applyAlignment="1">
      <alignment horizontal="center" vertical="center" wrapTex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14" fontId="1" fillId="0" borderId="12" xfId="0" applyNumberFormat="1" applyFont="1" applyBorder="1" applyAlignment="1">
      <alignment horizontal="center" vertical="center" wrapText="1"/>
    </xf>
    <xf numFmtId="49" fontId="31" fillId="23" borderId="8" xfId="0" applyNumberFormat="1" applyFont="1" applyFill="1" applyBorder="1" applyAlignment="1">
      <alignment horizontal="center" vertical="center" wrapText="1"/>
    </xf>
    <xf numFmtId="49" fontId="31" fillId="23" borderId="9" xfId="0" applyNumberFormat="1"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23" xfId="0" applyFont="1" applyFill="1" applyBorder="1" applyAlignment="1">
      <alignment horizontal="center" vertical="center" wrapText="1"/>
    </xf>
    <xf numFmtId="14" fontId="1" fillId="0" borderId="12" xfId="0" applyNumberFormat="1" applyFont="1" applyBorder="1" applyAlignment="1">
      <alignment horizontal="left" vertical="center" wrapText="1"/>
    </xf>
    <xf numFmtId="49" fontId="1" fillId="0" borderId="12" xfId="0" applyNumberFormat="1" applyFont="1" applyBorder="1" applyAlignment="1">
      <alignment horizontal="left" vertical="center" wrapText="1"/>
    </xf>
    <xf numFmtId="49" fontId="1" fillId="2" borderId="12" xfId="0" applyNumberFormat="1" applyFont="1" applyFill="1" applyBorder="1" applyAlignment="1">
      <alignment horizontal="left" vertical="center" wrapText="1"/>
    </xf>
    <xf numFmtId="0" fontId="1" fillId="0" borderId="12" xfId="0" applyFont="1" applyBorder="1" applyAlignment="1">
      <alignment horizontal="left" vertical="center" wrapText="1"/>
    </xf>
    <xf numFmtId="0" fontId="1" fillId="0" borderId="12" xfId="0" applyFont="1" applyBorder="1" applyAlignment="1">
      <alignment horizontal="left" vertical="center"/>
    </xf>
    <xf numFmtId="49" fontId="14" fillId="0" borderId="45" xfId="0" applyNumberFormat="1" applyFont="1" applyBorder="1" applyAlignment="1">
      <alignment horizontal="left" vertical="center" wrapText="1"/>
    </xf>
    <xf numFmtId="49" fontId="14" fillId="0" borderId="2" xfId="0" applyNumberFormat="1" applyFont="1" applyBorder="1" applyAlignment="1">
      <alignment horizontal="left" vertical="center" wrapText="1"/>
    </xf>
    <xf numFmtId="49" fontId="14" fillId="0" borderId="3" xfId="0" applyNumberFormat="1" applyFont="1" applyBorder="1" applyAlignment="1">
      <alignment horizontal="left" vertical="center" wrapText="1"/>
    </xf>
    <xf numFmtId="49" fontId="38" fillId="0" borderId="45" xfId="0" applyNumberFormat="1" applyFont="1" applyBorder="1" applyAlignment="1">
      <alignment horizontal="left" vertical="center" wrapText="1"/>
    </xf>
    <xf numFmtId="49" fontId="38" fillId="0" borderId="2" xfId="0" applyNumberFormat="1" applyFont="1" applyBorder="1" applyAlignment="1">
      <alignment horizontal="left" vertical="center" wrapText="1"/>
    </xf>
    <xf numFmtId="49" fontId="38" fillId="0" borderId="3" xfId="0" applyNumberFormat="1" applyFont="1" applyBorder="1" applyAlignment="1">
      <alignment horizontal="left" vertical="center" wrapText="1"/>
    </xf>
    <xf numFmtId="0" fontId="5" fillId="3" borderId="10"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22" fillId="0" borderId="34" xfId="0" applyFont="1" applyBorder="1" applyAlignment="1">
      <alignment horizontal="center" vertical="center" wrapText="1"/>
    </xf>
    <xf numFmtId="0" fontId="22" fillId="0" borderId="13" xfId="0" applyFont="1" applyBorder="1" applyAlignment="1">
      <alignment horizontal="center" vertical="center" wrapText="1"/>
    </xf>
    <xf numFmtId="0" fontId="22" fillId="0" borderId="35"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6" fillId="21" borderId="12" xfId="0" applyFont="1" applyFill="1" applyBorder="1" applyAlignment="1">
      <alignment horizontal="center" vertical="center" wrapText="1"/>
    </xf>
    <xf numFmtId="0" fontId="16" fillId="21" borderId="7" xfId="0" applyFont="1" applyFill="1" applyBorder="1" applyAlignment="1">
      <alignment horizontal="center" vertical="center" wrapText="1"/>
    </xf>
    <xf numFmtId="0" fontId="16" fillId="21" borderId="8" xfId="0" applyFont="1" applyFill="1" applyBorder="1" applyAlignment="1">
      <alignment horizontal="center" vertical="center" wrapText="1"/>
    </xf>
    <xf numFmtId="0" fontId="16" fillId="21" borderId="9" xfId="0" applyFont="1" applyFill="1" applyBorder="1" applyAlignment="1">
      <alignment horizontal="center" vertical="center" wrapText="1"/>
    </xf>
    <xf numFmtId="0" fontId="16" fillId="21" borderId="16" xfId="0" applyFont="1" applyFill="1" applyBorder="1" applyAlignment="1">
      <alignment horizontal="center" vertical="center" wrapText="1"/>
    </xf>
    <xf numFmtId="0" fontId="16" fillId="21" borderId="5" xfId="0" applyFont="1" applyFill="1" applyBorder="1" applyAlignment="1">
      <alignment horizontal="center" vertical="center" wrapText="1"/>
    </xf>
    <xf numFmtId="0" fontId="16" fillId="21" borderId="6" xfId="0" applyFont="1" applyFill="1" applyBorder="1" applyAlignment="1">
      <alignment horizontal="center" vertical="center" wrapText="1"/>
    </xf>
    <xf numFmtId="0" fontId="17" fillId="8" borderId="43" xfId="0" applyFont="1" applyFill="1" applyBorder="1" applyAlignment="1">
      <alignment vertical="center"/>
    </xf>
    <xf numFmtId="0" fontId="17" fillId="8" borderId="8" xfId="0" applyFont="1" applyFill="1" applyBorder="1" applyAlignment="1">
      <alignment vertical="center"/>
    </xf>
    <xf numFmtId="0" fontId="17" fillId="8" borderId="9" xfId="0" applyFont="1" applyFill="1" applyBorder="1" applyAlignment="1">
      <alignment vertical="center"/>
    </xf>
    <xf numFmtId="0" fontId="17" fillId="20" borderId="33" xfId="0" applyFont="1" applyFill="1" applyBorder="1" applyAlignment="1">
      <alignment vertical="center" wrapText="1"/>
    </xf>
    <xf numFmtId="0" fontId="17" fillId="20" borderId="17" xfId="0" applyFont="1" applyFill="1" applyBorder="1" applyAlignment="1">
      <alignment vertical="center" wrapText="1"/>
    </xf>
    <xf numFmtId="0" fontId="17" fillId="20" borderId="11" xfId="0" applyFont="1" applyFill="1" applyBorder="1" applyAlignment="1">
      <alignment vertical="center" wrapText="1"/>
    </xf>
    <xf numFmtId="0" fontId="17" fillId="6" borderId="33" xfId="0" applyFont="1" applyFill="1" applyBorder="1" applyAlignment="1">
      <alignment vertical="center" wrapText="1"/>
    </xf>
    <xf numFmtId="0" fontId="17" fillId="6" borderId="17" xfId="0" applyFont="1" applyFill="1" applyBorder="1" applyAlignment="1">
      <alignment vertical="center" wrapText="1"/>
    </xf>
    <xf numFmtId="0" fontId="17" fillId="6" borderId="11" xfId="0" applyFont="1" applyFill="1" applyBorder="1" applyAlignment="1">
      <alignment vertical="center" wrapText="1"/>
    </xf>
    <xf numFmtId="0" fontId="17" fillId="9" borderId="40" xfId="0" applyFont="1" applyFill="1" applyBorder="1" applyAlignment="1">
      <alignment vertical="center"/>
    </xf>
    <xf numFmtId="0" fontId="17" fillId="9" borderId="41" xfId="0" applyFont="1" applyFill="1" applyBorder="1" applyAlignment="1">
      <alignment vertical="center"/>
    </xf>
    <xf numFmtId="0" fontId="17" fillId="9" borderId="48" xfId="0" applyFont="1" applyFill="1" applyBorder="1" applyAlignment="1">
      <alignment vertical="center"/>
    </xf>
    <xf numFmtId="49" fontId="1" fillId="0" borderId="9" xfId="0" applyNumberFormat="1" applyFont="1" applyBorder="1" applyAlignment="1">
      <alignment horizontal="left" vertical="center" wrapText="1"/>
    </xf>
    <xf numFmtId="0" fontId="1" fillId="0" borderId="45" xfId="0" applyFont="1" applyBorder="1" applyAlignment="1">
      <alignment horizontal="left" vertical="center"/>
    </xf>
    <xf numFmtId="49" fontId="7" fillId="23" borderId="2" xfId="0" applyNumberFormat="1" applyFont="1" applyFill="1" applyBorder="1" applyAlignment="1">
      <alignment horizontal="center" vertical="center" wrapText="1"/>
    </xf>
    <xf numFmtId="49" fontId="7" fillId="2" borderId="1" xfId="0" applyNumberFormat="1" applyFont="1" applyFill="1" applyBorder="1" applyAlignment="1">
      <alignment horizontal="left" vertical="center" wrapText="1"/>
    </xf>
    <xf numFmtId="49" fontId="7" fillId="2" borderId="2" xfId="0" applyNumberFormat="1" applyFont="1" applyFill="1" applyBorder="1" applyAlignment="1">
      <alignment horizontal="lef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7" xfId="0" applyFont="1" applyBorder="1" applyAlignment="1">
      <alignment horizontal="left" vertical="center" wrapText="1"/>
    </xf>
    <xf numFmtId="49" fontId="1" fillId="0" borderId="46" xfId="0" applyNumberFormat="1" applyFont="1" applyBorder="1" applyAlignment="1">
      <alignment horizontal="left" vertical="center" wrapText="1"/>
    </xf>
    <xf numFmtId="49" fontId="1" fillId="0" borderId="8" xfId="0" applyNumberFormat="1" applyFont="1" applyBorder="1" applyAlignment="1">
      <alignment horizontal="left" vertical="center" wrapText="1"/>
    </xf>
    <xf numFmtId="0" fontId="1" fillId="0" borderId="8" xfId="0" applyFont="1" applyBorder="1" applyAlignment="1">
      <alignment horizontal="left" vertical="center" wrapText="1"/>
    </xf>
    <xf numFmtId="0" fontId="6" fillId="2" borderId="30" xfId="0" applyFont="1" applyFill="1" applyBorder="1" applyAlignment="1">
      <alignment horizontal="center" vertical="center" wrapText="1"/>
    </xf>
    <xf numFmtId="0" fontId="6" fillId="2" borderId="31" xfId="0" applyFont="1" applyFill="1" applyBorder="1" applyAlignment="1">
      <alignment horizontal="center" vertical="center" wrapText="1"/>
    </xf>
    <xf numFmtId="0" fontId="6" fillId="2" borderId="32" xfId="0" applyFont="1" applyFill="1" applyBorder="1" applyAlignment="1">
      <alignment horizontal="center" vertical="center" wrapText="1"/>
    </xf>
    <xf numFmtId="9" fontId="13" fillId="2" borderId="7" xfId="0" applyNumberFormat="1" applyFont="1" applyFill="1" applyBorder="1" applyAlignment="1">
      <alignment horizontal="center" vertical="center" wrapText="1"/>
    </xf>
    <xf numFmtId="0" fontId="8" fillId="3" borderId="7" xfId="0" applyFont="1" applyFill="1" applyBorder="1" applyAlignment="1">
      <alignment horizontal="center" vertical="center" wrapText="1"/>
    </xf>
    <xf numFmtId="0" fontId="6" fillId="2" borderId="14" xfId="0" applyFont="1" applyFill="1" applyBorder="1" applyAlignment="1">
      <alignment horizontal="center" vertical="center" wrapText="1"/>
    </xf>
    <xf numFmtId="49" fontId="1" fillId="2" borderId="12" xfId="0" applyNumberFormat="1" applyFont="1" applyFill="1" applyBorder="1" applyAlignment="1">
      <alignment horizontal="center" vertical="center" wrapText="1"/>
    </xf>
    <xf numFmtId="0" fontId="1" fillId="2" borderId="12" xfId="0" applyFont="1" applyFill="1" applyBorder="1" applyAlignment="1">
      <alignment horizontal="center" vertical="center" wrapText="1"/>
    </xf>
    <xf numFmtId="0" fontId="9" fillId="3" borderId="21" xfId="0" applyFont="1" applyFill="1" applyBorder="1" applyAlignment="1">
      <alignment horizontal="left" vertical="center" wrapText="1"/>
    </xf>
    <xf numFmtId="0" fontId="9" fillId="3" borderId="51" xfId="0" applyFont="1" applyFill="1" applyBorder="1" applyAlignment="1">
      <alignment horizontal="left" vertical="center" wrapText="1"/>
    </xf>
    <xf numFmtId="0" fontId="9" fillId="3" borderId="17" xfId="0" applyFont="1" applyFill="1" applyBorder="1" applyAlignment="1">
      <alignment horizontal="left" vertical="center" wrapText="1"/>
    </xf>
    <xf numFmtId="0" fontId="1" fillId="0" borderId="17" xfId="0" applyFont="1" applyBorder="1" applyAlignment="1">
      <alignment horizontal="center" vertical="center" wrapText="1"/>
    </xf>
    <xf numFmtId="0" fontId="1" fillId="2" borderId="0" xfId="0" applyFont="1" applyFill="1" applyAlignment="1">
      <alignment horizontal="center" vertical="center" wrapText="1"/>
    </xf>
    <xf numFmtId="0" fontId="26" fillId="12" borderId="12" xfId="0" applyFont="1" applyFill="1" applyBorder="1" applyAlignment="1">
      <alignment horizontal="center" vertical="center"/>
    </xf>
    <xf numFmtId="0" fontId="26" fillId="12" borderId="12" xfId="0" applyFont="1" applyFill="1" applyBorder="1" applyAlignment="1">
      <alignment horizontal="center" vertical="center" wrapText="1"/>
    </xf>
    <xf numFmtId="0" fontId="26" fillId="15" borderId="12" xfId="0" applyFont="1" applyFill="1" applyBorder="1" applyAlignment="1">
      <alignment horizontal="center" vertical="center"/>
    </xf>
    <xf numFmtId="0" fontId="26" fillId="10" borderId="12" xfId="0" applyFont="1" applyFill="1" applyBorder="1" applyAlignment="1">
      <alignment horizontal="center" vertical="center"/>
    </xf>
    <xf numFmtId="0" fontId="26" fillId="18" borderId="12" xfId="0" applyFont="1" applyFill="1" applyBorder="1" applyAlignment="1">
      <alignment horizontal="center" vertical="center"/>
    </xf>
    <xf numFmtId="0" fontId="3" fillId="0" borderId="23" xfId="0" applyFont="1" applyBorder="1" applyAlignment="1"/>
    <xf numFmtId="0" fontId="3" fillId="0" borderId="24" xfId="0" applyFont="1" applyBorder="1" applyAlignment="1"/>
    <xf numFmtId="0" fontId="3" fillId="0" borderId="8" xfId="0" applyFont="1" applyBorder="1" applyAlignment="1"/>
    <xf numFmtId="0" fontId="3" fillId="0" borderId="9" xfId="0" applyFont="1" applyBorder="1" applyAlignment="1"/>
    <xf numFmtId="0" fontId="0" fillId="0" borderId="0" xfId="0" applyAlignment="1"/>
    <xf numFmtId="0" fontId="3" fillId="0" borderId="11" xfId="0" applyFont="1" applyBorder="1" applyAlignment="1"/>
    <xf numFmtId="0" fontId="3" fillId="0" borderId="2" xfId="0" applyFont="1" applyBorder="1" applyAlignment="1"/>
    <xf numFmtId="0" fontId="3" fillId="0" borderId="3" xfId="0" applyFont="1" applyBorder="1" applyAlignment="1"/>
    <xf numFmtId="0" fontId="3" fillId="0" borderId="15" xfId="0" applyFont="1" applyBorder="1" applyAlignment="1"/>
    <xf numFmtId="0" fontId="3" fillId="0" borderId="16" xfId="0" applyFont="1" applyBorder="1" applyAlignment="1"/>
    <xf numFmtId="0" fontId="3" fillId="0" borderId="6" xfId="0" applyFont="1" applyBorder="1" applyAlignment="1"/>
  </cellXfs>
  <cellStyles count="1">
    <cellStyle name="Normal" xfId="0" builtinId="0"/>
  </cellStyles>
  <dxfs count="10">
    <dxf>
      <font>
        <color rgb="FF000000"/>
      </font>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6FA8DC"/>
          <bgColor rgb="FF6FA8DC"/>
        </patternFill>
      </fill>
    </dxf>
    <dxf>
      <fill>
        <patternFill patternType="solid">
          <fgColor rgb="FF00FF00"/>
          <bgColor rgb="FF00FF00"/>
        </patternFill>
      </fill>
    </dxf>
    <dxf>
      <font>
        <color rgb="FF000000"/>
      </font>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6FA8DC"/>
          <bgColor rgb="FF6FA8DC"/>
        </patternFill>
      </fill>
    </dxf>
    <dxf>
      <fill>
        <patternFill patternType="solid">
          <fgColor rgb="FF00FF00"/>
          <bgColor rgb="FF00FF00"/>
        </patternFill>
      </fill>
    </dxf>
  </dxfs>
  <tableStyles count="0" defaultTableStyle="TableStyleMedium2" defaultPivotStyle="PivotStyleLight16"/>
  <colors>
    <mruColors>
      <color rgb="FFEB15B5"/>
      <color rgb="FFE645C8"/>
      <color rgb="FF33B033"/>
      <color rgb="FFF5F5C4"/>
      <color rgb="FFBFF5BF"/>
      <color rgb="FFFACA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57150</xdr:colOff>
      <xdr:row>1</xdr:row>
      <xdr:rowOff>85725</xdr:rowOff>
    </xdr:from>
    <xdr:ext cx="1657350" cy="3429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33350" y="142875"/>
          <a:ext cx="1657350" cy="3429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9525</xdr:colOff>
      <xdr:row>1</xdr:row>
      <xdr:rowOff>19050</xdr:rowOff>
    </xdr:from>
    <xdr:ext cx="1609725" cy="371475"/>
    <xdr:pic>
      <xdr:nvPicPr>
        <xdr:cNvPr id="3" name="image2.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809625" y="85725"/>
          <a:ext cx="1609725" cy="3714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7E47-76B5-4D73-A44C-CBF06D0E07EC}">
  <sheetPr>
    <tabColor theme="1"/>
    <pageSetUpPr fitToPage="1"/>
  </sheetPr>
  <dimension ref="B1:O31"/>
  <sheetViews>
    <sheetView showGridLines="0" topLeftCell="Q7" workbookViewId="0">
      <selection activeCell="Q7" sqref="Q7"/>
    </sheetView>
  </sheetViews>
  <sheetFormatPr defaultColWidth="0" defaultRowHeight="12.75" zeroHeight="1"/>
  <cols>
    <col min="1" max="1" width="3.85546875" style="38" customWidth="1"/>
    <col min="2" max="2" width="6.28515625" style="38" customWidth="1"/>
    <col min="3" max="3" width="15.42578125" style="38" customWidth="1"/>
    <col min="4" max="4" width="8" style="38" customWidth="1"/>
    <col min="5" max="5" width="9.140625" style="38" customWidth="1"/>
    <col min="6" max="6" width="8.42578125" style="38" bestFit="1" customWidth="1"/>
    <col min="7" max="9" width="13.28515625" style="38" customWidth="1"/>
    <col min="10" max="11" width="14.42578125" style="38" customWidth="1"/>
    <col min="12" max="12" width="16.140625" style="38" customWidth="1"/>
    <col min="13" max="13" width="13.42578125" style="38" customWidth="1"/>
    <col min="14" max="14" width="9.85546875" style="38" customWidth="1"/>
    <col min="15" max="15" width="13.140625" style="38" customWidth="1"/>
    <col min="16" max="17" width="9.140625" style="38" customWidth="1"/>
    <col min="18" max="16384" width="0" style="38" hidden="1"/>
  </cols>
  <sheetData>
    <row r="1" spans="2:15">
      <c r="B1" s="136"/>
      <c r="C1" s="136"/>
      <c r="D1" s="136"/>
      <c r="E1" s="136"/>
      <c r="F1" s="136"/>
      <c r="G1" s="136"/>
      <c r="H1" s="136"/>
      <c r="I1" s="136"/>
      <c r="J1" s="136"/>
      <c r="K1" s="136"/>
      <c r="L1" s="136"/>
      <c r="M1" s="136"/>
    </row>
    <row r="2" spans="2:15" ht="24.75" customHeight="1">
      <c r="B2" s="147" t="s">
        <v>0</v>
      </c>
      <c r="C2" s="147"/>
      <c r="D2" s="147"/>
      <c r="E2" s="147"/>
      <c r="F2" s="147"/>
      <c r="G2" s="147"/>
      <c r="H2" s="147"/>
      <c r="I2" s="147"/>
      <c r="J2" s="147"/>
      <c r="K2" s="147"/>
      <c r="L2" s="147"/>
      <c r="M2" s="147"/>
      <c r="N2" s="147"/>
    </row>
    <row r="3" spans="2:15">
      <c r="B3" s="136"/>
      <c r="C3" s="136"/>
      <c r="D3" s="136"/>
      <c r="E3" s="136"/>
      <c r="F3" s="136"/>
      <c r="G3" s="136"/>
      <c r="H3" s="136"/>
      <c r="I3" s="136"/>
      <c r="J3" s="136"/>
      <c r="K3" s="136"/>
      <c r="L3" s="136"/>
      <c r="M3" s="136"/>
    </row>
    <row r="4" spans="2:15" ht="27" customHeight="1">
      <c r="B4" s="138"/>
      <c r="C4" s="146" t="s">
        <v>1</v>
      </c>
      <c r="D4" s="146"/>
      <c r="E4" s="146"/>
      <c r="F4" s="146"/>
      <c r="G4" s="146"/>
      <c r="H4" s="146"/>
      <c r="I4" s="146"/>
      <c r="J4" s="146"/>
      <c r="K4" s="146"/>
      <c r="L4" s="146"/>
      <c r="M4" s="146"/>
      <c r="N4" s="146"/>
      <c r="O4" s="138"/>
    </row>
    <row r="5" spans="2:15" ht="27" customHeight="1">
      <c r="B5" s="140" t="s">
        <v>2</v>
      </c>
      <c r="C5" s="137"/>
      <c r="D5" s="137"/>
      <c r="E5" s="137"/>
      <c r="F5" s="137"/>
      <c r="G5" s="137"/>
      <c r="H5" s="137"/>
      <c r="I5" s="137"/>
      <c r="J5" s="137"/>
      <c r="K5" s="137"/>
      <c r="L5" s="137"/>
      <c r="M5" s="137"/>
      <c r="N5" s="137"/>
      <c r="O5" s="138"/>
    </row>
    <row r="6" spans="2:15" ht="21.75" customHeight="1">
      <c r="B6" s="138"/>
      <c r="C6" s="145" t="s">
        <v>3</v>
      </c>
      <c r="D6" s="145"/>
      <c r="E6" s="145"/>
      <c r="F6" s="145"/>
      <c r="G6" s="145"/>
      <c r="H6" s="145"/>
      <c r="I6" s="145"/>
      <c r="J6" s="145"/>
      <c r="K6" s="145"/>
      <c r="L6" s="145"/>
      <c r="M6" s="145"/>
      <c r="N6" s="145"/>
      <c r="O6" s="138"/>
    </row>
    <row r="7" spans="2:15" ht="35.25" customHeight="1">
      <c r="B7" s="138"/>
      <c r="C7" s="145" t="s">
        <v>4</v>
      </c>
      <c r="D7" s="145"/>
      <c r="E7" s="145"/>
      <c r="F7" s="145"/>
      <c r="G7" s="145"/>
      <c r="H7" s="145"/>
      <c r="I7" s="145"/>
      <c r="J7" s="145"/>
      <c r="K7" s="145"/>
      <c r="L7" s="145"/>
      <c r="M7" s="145"/>
      <c r="N7" s="145"/>
      <c r="O7" s="138"/>
    </row>
    <row r="8" spans="2:15" s="69" customFormat="1" ht="21.75" customHeight="1">
      <c r="B8" s="139"/>
      <c r="C8" s="145" t="s">
        <v>5</v>
      </c>
      <c r="D8" s="145"/>
      <c r="E8" s="145"/>
      <c r="F8" s="145"/>
      <c r="G8" s="145"/>
      <c r="H8" s="145"/>
      <c r="I8" s="145"/>
      <c r="J8" s="145"/>
      <c r="K8" s="145"/>
      <c r="L8" s="145"/>
      <c r="M8" s="145"/>
      <c r="N8" s="145"/>
      <c r="O8" s="139"/>
    </row>
    <row r="9" spans="2:15" s="69" customFormat="1" ht="24" customHeight="1">
      <c r="B9" s="139"/>
      <c r="C9" s="145" t="s">
        <v>6</v>
      </c>
      <c r="D9" s="145"/>
      <c r="E9" s="145"/>
      <c r="F9" s="145"/>
      <c r="G9" s="145"/>
      <c r="H9" s="145"/>
      <c r="I9" s="145"/>
      <c r="J9" s="145"/>
      <c r="K9" s="145"/>
      <c r="L9" s="145"/>
      <c r="M9" s="145"/>
      <c r="N9" s="145"/>
      <c r="O9" s="139"/>
    </row>
    <row r="10" spans="2:15" s="69" customFormat="1" ht="45.75" customHeight="1">
      <c r="B10" s="139"/>
      <c r="C10" s="145" t="s">
        <v>7</v>
      </c>
      <c r="D10" s="145"/>
      <c r="E10" s="145"/>
      <c r="F10" s="145"/>
      <c r="G10" s="145"/>
      <c r="H10" s="145"/>
      <c r="I10" s="145"/>
      <c r="J10" s="145"/>
      <c r="K10" s="145"/>
      <c r="L10" s="145"/>
      <c r="M10" s="145"/>
      <c r="N10" s="145"/>
      <c r="O10" s="139"/>
    </row>
    <row r="11" spans="2:15" s="69" customFormat="1" ht="21.75" customHeight="1">
      <c r="B11" s="139"/>
      <c r="C11" s="145" t="s">
        <v>8</v>
      </c>
      <c r="D11" s="145"/>
      <c r="E11" s="145"/>
      <c r="F11" s="145"/>
      <c r="G11" s="145"/>
      <c r="H11" s="145"/>
      <c r="I11" s="145"/>
      <c r="J11" s="145"/>
      <c r="K11" s="145"/>
      <c r="L11" s="145"/>
      <c r="M11" s="145"/>
      <c r="N11" s="145"/>
      <c r="O11" s="139"/>
    </row>
    <row r="12" spans="2:15" s="69" customFormat="1" ht="37.5" customHeight="1">
      <c r="B12" s="139"/>
      <c r="C12" s="145" t="s">
        <v>9</v>
      </c>
      <c r="D12" s="145"/>
      <c r="E12" s="145"/>
      <c r="F12" s="145"/>
      <c r="G12" s="145"/>
      <c r="H12" s="145"/>
      <c r="I12" s="145"/>
      <c r="J12" s="145"/>
      <c r="K12" s="145"/>
      <c r="L12" s="145"/>
      <c r="M12" s="145"/>
      <c r="N12" s="145"/>
      <c r="O12" s="139"/>
    </row>
    <row r="13" spans="2:15" s="69" customFormat="1" ht="43.5" customHeight="1">
      <c r="B13" s="139"/>
      <c r="C13" s="145" t="s">
        <v>10</v>
      </c>
      <c r="D13" s="145"/>
      <c r="E13" s="145"/>
      <c r="F13" s="145"/>
      <c r="G13" s="145"/>
      <c r="H13" s="145"/>
      <c r="I13" s="145"/>
      <c r="J13" s="145"/>
      <c r="K13" s="145"/>
      <c r="L13" s="145"/>
      <c r="M13" s="145"/>
      <c r="N13" s="145"/>
      <c r="O13" s="139"/>
    </row>
    <row r="14" spans="2:15" s="69" customFormat="1" ht="34.5" customHeight="1">
      <c r="B14" s="139"/>
      <c r="C14" s="144" t="s">
        <v>11</v>
      </c>
      <c r="D14" s="144"/>
      <c r="E14" s="144"/>
      <c r="F14" s="144"/>
      <c r="G14" s="144"/>
      <c r="H14" s="144"/>
      <c r="I14" s="144"/>
      <c r="J14" s="144"/>
      <c r="K14" s="144"/>
      <c r="L14" s="144"/>
      <c r="M14" s="144"/>
      <c r="N14" s="139"/>
      <c r="O14" s="139"/>
    </row>
    <row r="15" spans="2:15" s="69" customFormat="1" ht="43.5" customHeight="1">
      <c r="B15" s="139"/>
      <c r="C15" s="145" t="s">
        <v>12</v>
      </c>
      <c r="D15" s="145"/>
      <c r="E15" s="145"/>
      <c r="F15" s="145"/>
      <c r="G15" s="145"/>
      <c r="H15" s="145"/>
      <c r="I15" s="145"/>
      <c r="J15" s="145"/>
      <c r="K15" s="145"/>
      <c r="L15" s="145"/>
      <c r="M15" s="145"/>
      <c r="N15" s="145"/>
      <c r="O15" s="139"/>
    </row>
    <row r="16" spans="2:15" s="69" customFormat="1" ht="34.5" customHeight="1">
      <c r="B16" s="139"/>
      <c r="C16" s="145" t="s">
        <v>13</v>
      </c>
      <c r="D16" s="145"/>
      <c r="E16" s="145"/>
      <c r="F16" s="145"/>
      <c r="G16" s="145"/>
      <c r="H16" s="145"/>
      <c r="I16" s="145"/>
      <c r="J16" s="145"/>
      <c r="K16" s="145"/>
      <c r="L16" s="145"/>
      <c r="M16" s="145"/>
      <c r="N16" s="145"/>
      <c r="O16" s="139"/>
    </row>
    <row r="17" spans="2:15" s="69" customFormat="1" ht="34.5" customHeight="1">
      <c r="B17" s="139"/>
      <c r="C17" s="144" t="s">
        <v>14</v>
      </c>
      <c r="D17" s="144"/>
      <c r="E17" s="144"/>
      <c r="F17" s="144"/>
      <c r="G17" s="144"/>
      <c r="H17" s="144"/>
      <c r="I17" s="144"/>
      <c r="J17" s="144"/>
      <c r="K17" s="144"/>
      <c r="L17" s="144"/>
      <c r="M17" s="144"/>
      <c r="N17" s="139"/>
      <c r="O17" s="139"/>
    </row>
    <row r="18" spans="2:15" s="69" customFormat="1" ht="34.5" customHeight="1">
      <c r="B18" s="139"/>
      <c r="C18" s="144"/>
      <c r="D18" s="144"/>
      <c r="E18" s="144"/>
      <c r="F18" s="144"/>
      <c r="G18" s="144"/>
      <c r="H18" s="144"/>
      <c r="I18" s="144"/>
      <c r="J18" s="144"/>
      <c r="K18" s="144"/>
      <c r="L18" s="144"/>
      <c r="M18" s="144"/>
      <c r="N18" s="139"/>
      <c r="O18" s="139"/>
    </row>
    <row r="19" spans="2:15" s="69" customFormat="1" ht="34.5" customHeight="1">
      <c r="B19" s="139"/>
      <c r="C19" s="144"/>
      <c r="D19" s="144"/>
      <c r="E19" s="144"/>
      <c r="F19" s="144"/>
      <c r="G19" s="144"/>
      <c r="H19" s="144"/>
      <c r="I19" s="144"/>
      <c r="J19" s="144"/>
      <c r="K19" s="144"/>
      <c r="L19" s="144"/>
      <c r="M19" s="144"/>
      <c r="N19" s="139"/>
      <c r="O19" s="139"/>
    </row>
    <row r="20" spans="2:15">
      <c r="B20" s="138"/>
      <c r="C20" s="138"/>
      <c r="D20" s="138"/>
      <c r="E20" s="138"/>
      <c r="F20" s="138"/>
      <c r="G20" s="138"/>
      <c r="H20" s="138"/>
      <c r="I20" s="138"/>
      <c r="J20" s="138"/>
      <c r="K20" s="138"/>
      <c r="L20" s="138"/>
      <c r="M20" s="138"/>
      <c r="N20" s="138"/>
      <c r="O20" s="138"/>
    </row>
    <row r="21" spans="2:15">
      <c r="B21" s="138"/>
      <c r="C21" s="138"/>
      <c r="D21" s="138"/>
      <c r="E21" s="138"/>
      <c r="F21" s="138"/>
      <c r="G21" s="138"/>
      <c r="H21" s="138"/>
      <c r="I21" s="138"/>
      <c r="J21" s="138"/>
      <c r="K21" s="138"/>
      <c r="L21" s="138"/>
      <c r="M21" s="138"/>
      <c r="N21" s="138"/>
      <c r="O21" s="138"/>
    </row>
    <row r="22" spans="2:15">
      <c r="B22" s="138"/>
      <c r="C22" s="138"/>
      <c r="D22" s="138"/>
      <c r="E22" s="138"/>
      <c r="F22" s="138"/>
      <c r="G22" s="138"/>
      <c r="H22" s="138"/>
      <c r="I22" s="138"/>
      <c r="J22" s="138"/>
      <c r="K22" s="138"/>
      <c r="L22" s="138"/>
      <c r="M22" s="138"/>
      <c r="N22" s="138"/>
      <c r="O22" s="138"/>
    </row>
    <row r="23" spans="2:15">
      <c r="B23" s="138"/>
      <c r="C23" s="138"/>
      <c r="D23" s="138"/>
      <c r="E23" s="138"/>
      <c r="F23" s="138"/>
      <c r="G23" s="138"/>
      <c r="H23" s="138"/>
      <c r="I23" s="138"/>
      <c r="J23" s="138"/>
      <c r="K23" s="138"/>
      <c r="L23" s="138"/>
      <c r="M23" s="138"/>
      <c r="N23" s="138"/>
      <c r="O23" s="138"/>
    </row>
    <row r="24" spans="2:15">
      <c r="B24" s="138"/>
      <c r="C24" s="138"/>
      <c r="D24" s="138"/>
      <c r="E24" s="138"/>
      <c r="F24" s="138"/>
      <c r="G24" s="138"/>
      <c r="H24" s="138"/>
      <c r="I24" s="138"/>
      <c r="J24" s="138"/>
      <c r="K24" s="138"/>
      <c r="L24" s="138"/>
      <c r="M24" s="138"/>
      <c r="N24" s="138"/>
      <c r="O24" s="138"/>
    </row>
    <row r="25" spans="2:15">
      <c r="B25" s="138"/>
      <c r="C25" s="138"/>
      <c r="D25" s="138"/>
      <c r="E25" s="138"/>
      <c r="F25" s="138"/>
      <c r="G25" s="138"/>
      <c r="H25" s="138"/>
      <c r="I25" s="138"/>
      <c r="J25" s="138"/>
      <c r="K25" s="138"/>
      <c r="L25" s="138"/>
      <c r="M25" s="138"/>
      <c r="N25" s="138"/>
      <c r="O25" s="138"/>
    </row>
    <row r="26" spans="2:15" hidden="1">
      <c r="B26" s="138"/>
      <c r="C26" s="138"/>
      <c r="D26" s="138"/>
      <c r="E26" s="138"/>
      <c r="F26" s="138"/>
      <c r="G26" s="138"/>
      <c r="H26" s="138"/>
      <c r="I26" s="138"/>
      <c r="J26" s="138"/>
      <c r="K26" s="138"/>
      <c r="L26" s="138"/>
      <c r="M26" s="138"/>
      <c r="N26" s="138"/>
      <c r="O26" s="138"/>
    </row>
    <row r="27" spans="2:15" hidden="1">
      <c r="B27" s="138"/>
      <c r="C27" s="138"/>
      <c r="D27" s="138"/>
      <c r="E27" s="138"/>
      <c r="F27" s="138"/>
      <c r="G27" s="138"/>
      <c r="H27" s="138"/>
      <c r="I27" s="138"/>
      <c r="J27" s="138"/>
      <c r="K27" s="138"/>
      <c r="L27" s="138"/>
      <c r="M27" s="138"/>
      <c r="N27" s="138"/>
      <c r="O27" s="138"/>
    </row>
    <row r="28" spans="2:15" hidden="1">
      <c r="B28" s="138"/>
      <c r="C28" s="138"/>
      <c r="D28" s="138"/>
      <c r="E28" s="138"/>
      <c r="F28" s="138"/>
      <c r="G28" s="138"/>
      <c r="H28" s="138"/>
      <c r="I28" s="138"/>
      <c r="J28" s="138"/>
      <c r="K28" s="138"/>
      <c r="L28" s="138"/>
      <c r="M28" s="138"/>
      <c r="N28" s="138"/>
      <c r="O28" s="138"/>
    </row>
    <row r="29" spans="2:15" hidden="1">
      <c r="B29" s="138"/>
      <c r="C29" s="138"/>
      <c r="D29" s="138"/>
      <c r="E29" s="138"/>
      <c r="F29" s="138"/>
      <c r="G29" s="138"/>
      <c r="H29" s="138"/>
      <c r="I29" s="138"/>
      <c r="J29" s="138"/>
      <c r="K29" s="138"/>
      <c r="L29" s="138"/>
      <c r="M29" s="138"/>
      <c r="N29" s="138"/>
      <c r="O29" s="138"/>
    </row>
    <row r="30" spans="2:15" hidden="1">
      <c r="B30" s="138"/>
      <c r="C30" s="138"/>
      <c r="D30" s="138"/>
      <c r="E30" s="138"/>
      <c r="F30" s="138"/>
      <c r="G30" s="138"/>
      <c r="H30" s="138"/>
      <c r="I30" s="138"/>
      <c r="J30" s="138"/>
      <c r="K30" s="138"/>
      <c r="L30" s="138"/>
      <c r="M30" s="138"/>
      <c r="N30" s="138"/>
      <c r="O30" s="138"/>
    </row>
    <row r="31" spans="2:15" hidden="1">
      <c r="B31" s="138"/>
      <c r="C31" s="138"/>
      <c r="D31" s="138"/>
      <c r="E31" s="138"/>
      <c r="F31" s="138"/>
      <c r="G31" s="138"/>
      <c r="H31" s="138"/>
      <c r="I31" s="138"/>
      <c r="J31" s="138"/>
      <c r="K31" s="138"/>
      <c r="L31" s="138"/>
      <c r="M31" s="138"/>
      <c r="N31" s="138"/>
      <c r="O31" s="138"/>
    </row>
  </sheetData>
  <sheetProtection algorithmName="SHA-512" hashValue="NnDBYGF50OlNBosjEq2e8oSeNOd8TP0t2gvJ9zZC0a9kInA8FAOdY2itWWU3W+uOdsRv4nVFs1DFu07PpUKn3g==" saltValue="G+iO+6SboMDLB4s2k80Etg==" spinCount="100000" sheet="1" objects="1" scenarios="1"/>
  <mergeCells count="16">
    <mergeCell ref="C10:N10"/>
    <mergeCell ref="C11:N11"/>
    <mergeCell ref="C12:N12"/>
    <mergeCell ref="C9:N9"/>
    <mergeCell ref="C13:N13"/>
    <mergeCell ref="C4:N4"/>
    <mergeCell ref="B2:N2"/>
    <mergeCell ref="C6:N6"/>
    <mergeCell ref="C7:N7"/>
    <mergeCell ref="C8:N8"/>
    <mergeCell ref="C17:M17"/>
    <mergeCell ref="C18:M18"/>
    <mergeCell ref="C19:M19"/>
    <mergeCell ref="C14:M14"/>
    <mergeCell ref="C15:N15"/>
    <mergeCell ref="C16:N16"/>
  </mergeCells>
  <pageMargins left="0.25" right="0.25" top="0.75" bottom="0.75" header="0.3" footer="0.3"/>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outlinePr summaryBelow="0" summaryRight="0"/>
    <pageSetUpPr fitToPage="1"/>
  </sheetPr>
  <dimension ref="A1:I67"/>
  <sheetViews>
    <sheetView showGridLines="0" tabSelected="1" topLeftCell="A39" workbookViewId="0">
      <selection activeCell="B45" sqref="B45"/>
    </sheetView>
  </sheetViews>
  <sheetFormatPr defaultColWidth="0" defaultRowHeight="15" customHeight="1" zeroHeight="1"/>
  <cols>
    <col min="1" max="1" width="1.140625" customWidth="1"/>
    <col min="2" max="2" width="27.28515625" customWidth="1"/>
    <col min="3" max="4" width="26.42578125" customWidth="1"/>
    <col min="5" max="5" width="20.7109375" customWidth="1"/>
    <col min="6" max="6" width="18.7109375" customWidth="1"/>
    <col min="7" max="7" width="12.7109375" customWidth="1"/>
    <col min="8" max="8" width="11" customWidth="1"/>
    <col min="9" max="10" width="12.5703125" customWidth="1"/>
  </cols>
  <sheetData>
    <row r="1" spans="1:9" ht="4.5" customHeight="1">
      <c r="A1" s="1"/>
      <c r="B1" s="1"/>
      <c r="C1" s="34"/>
      <c r="D1" s="34"/>
      <c r="E1" s="34"/>
      <c r="F1" s="34"/>
      <c r="G1" s="1"/>
      <c r="H1" s="1"/>
    </row>
    <row r="2" spans="1:9" ht="42" customHeight="1">
      <c r="A2" s="1"/>
      <c r="B2" s="2"/>
      <c r="C2" s="170" t="s">
        <v>15</v>
      </c>
      <c r="D2" s="171"/>
      <c r="E2" s="171"/>
      <c r="F2" s="172"/>
      <c r="G2" s="218" t="s">
        <v>16</v>
      </c>
      <c r="H2" s="219"/>
    </row>
    <row r="3" spans="1:9" ht="1.5" customHeight="1">
      <c r="A3" s="1"/>
      <c r="B3" s="34"/>
      <c r="C3" s="34"/>
      <c r="D3" s="34"/>
      <c r="E3" s="34"/>
      <c r="F3" s="34"/>
      <c r="G3" s="34"/>
      <c r="H3" s="34"/>
    </row>
    <row r="4" spans="1:9" ht="27" customHeight="1">
      <c r="A4" s="32"/>
      <c r="B4" s="173" t="s">
        <v>17</v>
      </c>
      <c r="C4" s="174"/>
      <c r="D4" s="242"/>
      <c r="E4" s="242"/>
      <c r="F4" s="242"/>
      <c r="G4" s="242"/>
      <c r="H4" s="243"/>
      <c r="I4" s="33"/>
    </row>
    <row r="5" spans="1:9" ht="27" customHeight="1">
      <c r="A5" s="32"/>
      <c r="B5" s="36" t="s">
        <v>18</v>
      </c>
      <c r="C5" s="177"/>
      <c r="D5" s="177"/>
      <c r="E5" s="177"/>
      <c r="F5" s="6" t="s">
        <v>19</v>
      </c>
      <c r="G5" s="175"/>
      <c r="H5" s="175"/>
      <c r="I5" s="141"/>
    </row>
    <row r="6" spans="1:9" ht="27" customHeight="1">
      <c r="A6" s="3"/>
      <c r="B6" s="132" t="s">
        <v>20</v>
      </c>
      <c r="C6" s="177"/>
      <c r="D6" s="177"/>
      <c r="E6" s="177"/>
      <c r="F6" s="6" t="s">
        <v>21</v>
      </c>
      <c r="G6" s="176"/>
      <c r="H6" s="176"/>
      <c r="I6" s="141"/>
    </row>
    <row r="7" spans="1:9" ht="59.25" customHeight="1">
      <c r="A7" s="3"/>
      <c r="B7" s="130" t="s">
        <v>22</v>
      </c>
      <c r="C7" s="178" t="s">
        <v>23</v>
      </c>
      <c r="D7" s="178"/>
      <c r="E7" s="178"/>
      <c r="F7" s="178"/>
      <c r="G7" s="178"/>
      <c r="H7" s="178"/>
      <c r="I7" s="33"/>
    </row>
    <row r="8" spans="1:9" ht="27" customHeight="1">
      <c r="A8" s="3"/>
      <c r="B8" s="130" t="s">
        <v>24</v>
      </c>
      <c r="C8" s="179" t="s">
        <v>25</v>
      </c>
      <c r="D8" s="179"/>
      <c r="E8" s="179"/>
      <c r="F8" s="179"/>
      <c r="G8" s="179"/>
      <c r="H8" s="179"/>
      <c r="I8" s="33"/>
    </row>
    <row r="9" spans="1:9" ht="27" customHeight="1">
      <c r="A9" s="3"/>
      <c r="B9" s="130" t="s">
        <v>26</v>
      </c>
      <c r="C9" s="178"/>
      <c r="D9" s="178"/>
      <c r="E9" s="178"/>
      <c r="F9" s="178"/>
      <c r="G9" s="178"/>
      <c r="H9" s="178"/>
      <c r="I9" s="33"/>
    </row>
    <row r="10" spans="1:9" ht="27" customHeight="1">
      <c r="A10" s="3"/>
      <c r="B10" s="130" t="s">
        <v>27</v>
      </c>
      <c r="C10" s="178"/>
      <c r="D10" s="178"/>
      <c r="E10" s="178"/>
      <c r="F10" s="178"/>
      <c r="G10" s="178"/>
      <c r="H10" s="178"/>
      <c r="I10" s="33"/>
    </row>
    <row r="11" spans="1:9" ht="8.25" customHeight="1">
      <c r="A11" s="3"/>
      <c r="B11" s="5"/>
      <c r="C11" s="133"/>
      <c r="D11" s="133"/>
      <c r="E11" s="133"/>
      <c r="F11" s="133"/>
      <c r="G11" s="133"/>
      <c r="H11" s="133"/>
    </row>
    <row r="12" spans="1:9" ht="27" customHeight="1">
      <c r="A12" s="3"/>
      <c r="B12" s="168" t="s">
        <v>28</v>
      </c>
      <c r="C12" s="169"/>
      <c r="D12" s="244"/>
      <c r="E12" s="244"/>
      <c r="F12" s="244"/>
      <c r="G12" s="244"/>
      <c r="H12" s="245"/>
    </row>
    <row r="13" spans="1:9" ht="50.25" customHeight="1">
      <c r="A13" s="3"/>
      <c r="B13" s="4" t="s">
        <v>29</v>
      </c>
      <c r="C13" s="180"/>
      <c r="D13" s="181"/>
      <c r="E13" s="181"/>
      <c r="F13" s="181"/>
      <c r="G13" s="181"/>
      <c r="H13" s="182"/>
    </row>
    <row r="14" spans="1:9" ht="50.25" customHeight="1">
      <c r="A14" s="3"/>
      <c r="B14" s="35" t="s">
        <v>30</v>
      </c>
      <c r="C14" s="183"/>
      <c r="D14" s="184"/>
      <c r="E14" s="184"/>
      <c r="F14" s="184"/>
      <c r="G14" s="184"/>
      <c r="H14" s="185"/>
    </row>
    <row r="15" spans="1:9" ht="27" customHeight="1">
      <c r="A15" s="3"/>
      <c r="B15" s="35" t="s">
        <v>31</v>
      </c>
      <c r="C15" s="148"/>
      <c r="D15" s="149"/>
      <c r="E15" s="149"/>
      <c r="F15" s="149"/>
      <c r="G15" s="149"/>
      <c r="H15" s="150"/>
    </row>
    <row r="16" spans="1:9" ht="27" customHeight="1">
      <c r="A16" s="3"/>
      <c r="B16" s="31" t="s">
        <v>32</v>
      </c>
      <c r="C16" s="148"/>
      <c r="D16" s="149"/>
      <c r="E16" s="149"/>
      <c r="F16" s="149"/>
      <c r="G16" s="149"/>
      <c r="H16" s="150"/>
    </row>
    <row r="17" spans="1:9" ht="27" customHeight="1">
      <c r="A17" s="32"/>
      <c r="B17" s="31" t="s">
        <v>33</v>
      </c>
      <c r="C17" s="148"/>
      <c r="D17" s="149"/>
      <c r="E17" s="149"/>
      <c r="F17" s="149"/>
      <c r="G17" s="149"/>
      <c r="H17" s="150"/>
    </row>
    <row r="18" spans="1:9" ht="27" customHeight="1">
      <c r="A18" s="3"/>
      <c r="B18" s="186" t="s">
        <v>34</v>
      </c>
      <c r="C18" s="187"/>
      <c r="D18" s="244"/>
      <c r="E18" s="244"/>
      <c r="F18" s="244"/>
      <c r="G18" s="244"/>
      <c r="H18" s="245"/>
    </row>
    <row r="19" spans="1:9" ht="90" customHeight="1">
      <c r="A19" s="32"/>
      <c r="B19" s="191"/>
      <c r="C19" s="192"/>
      <c r="D19" s="192"/>
      <c r="E19" s="192"/>
      <c r="F19" s="192"/>
      <c r="G19" s="192"/>
      <c r="H19" s="193"/>
      <c r="I19" s="33"/>
    </row>
    <row r="20" spans="1:9" ht="29.25" customHeight="1">
      <c r="A20" s="3"/>
      <c r="B20" s="186" t="s">
        <v>35</v>
      </c>
      <c r="C20" s="187"/>
      <c r="D20" s="244"/>
      <c r="E20" s="244"/>
      <c r="F20" s="244"/>
      <c r="G20" s="244"/>
      <c r="H20" s="245"/>
      <c r="I20" s="33"/>
    </row>
    <row r="21" spans="1:9" ht="21" customHeight="1">
      <c r="A21" s="32"/>
      <c r="B21" s="188" t="s">
        <v>36</v>
      </c>
      <c r="C21" s="189"/>
      <c r="D21" s="189"/>
      <c r="E21" s="189"/>
      <c r="F21" s="189"/>
      <c r="G21" s="189"/>
      <c r="H21" s="190"/>
      <c r="I21" s="33"/>
    </row>
    <row r="22" spans="1:9" ht="18.75" customHeight="1">
      <c r="A22" s="32"/>
      <c r="B22" s="194" t="s">
        <v>37</v>
      </c>
      <c r="C22" s="195" t="s">
        <v>38</v>
      </c>
      <c r="D22" s="196"/>
      <c r="E22" s="196"/>
      <c r="F22" s="197"/>
      <c r="G22" s="194" t="s">
        <v>39</v>
      </c>
      <c r="H22" s="194"/>
      <c r="I22" s="33"/>
    </row>
    <row r="23" spans="1:9" ht="15.75" customHeight="1">
      <c r="A23" s="32"/>
      <c r="B23" s="194"/>
      <c r="C23" s="198"/>
      <c r="D23" s="199"/>
      <c r="E23" s="199"/>
      <c r="F23" s="200"/>
      <c r="G23" s="129" t="s">
        <v>40</v>
      </c>
      <c r="H23" s="129" t="s">
        <v>41</v>
      </c>
      <c r="I23" s="33"/>
    </row>
    <row r="24" spans="1:9" ht="30" customHeight="1">
      <c r="A24" s="32"/>
      <c r="B24" s="99" t="s">
        <v>42</v>
      </c>
      <c r="C24" s="201" t="s">
        <v>43</v>
      </c>
      <c r="D24" s="202"/>
      <c r="E24" s="202"/>
      <c r="F24" s="203"/>
      <c r="G24" s="113">
        <f>SUM('H &amp; S'!F37+Chemical!F28+Eletrical!F29+Organizational!F29+Ergonomics!F70)</f>
        <v>0</v>
      </c>
      <c r="H24" s="112" t="str">
        <f>IFERROR(G24/('H &amp; S'!H37+Chemical!H28+Eletrical!H29+Environment!H27+Organizational!H29+Ergonomics!H70+Equipament!H34+Facilities!H29+'Emergency &amp; Fire'!H27+Compliance!H12),"-")</f>
        <v>-</v>
      </c>
      <c r="I24" s="33"/>
    </row>
    <row r="25" spans="1:9" ht="30" customHeight="1">
      <c r="A25" s="32"/>
      <c r="B25" s="100" t="s">
        <v>44</v>
      </c>
      <c r="C25" s="204" t="s">
        <v>45</v>
      </c>
      <c r="D25" s="205"/>
      <c r="E25" s="205"/>
      <c r="F25" s="206"/>
      <c r="G25" s="114">
        <f>Environment!F27</f>
        <v>0</v>
      </c>
      <c r="H25" s="126" t="str">
        <f>Environment!F28</f>
        <v>-</v>
      </c>
      <c r="I25" s="33"/>
    </row>
    <row r="26" spans="1:9" ht="30" customHeight="1">
      <c r="A26" s="32"/>
      <c r="B26" s="100" t="s">
        <v>46</v>
      </c>
      <c r="C26" s="207" t="s">
        <v>47</v>
      </c>
      <c r="D26" s="208"/>
      <c r="E26" s="208"/>
      <c r="F26" s="209"/>
      <c r="G26" s="115">
        <f>SUM(Equipament!F34+Facilities!F29+'Emergency &amp; Fire'!F27)</f>
        <v>0</v>
      </c>
      <c r="H26" s="127" t="str">
        <f>IFERROR(G26/(Equipament!H34+Facilities!H29+'Emergency &amp; Fire'!H27),"-")</f>
        <v>-</v>
      </c>
      <c r="I26" s="33"/>
    </row>
    <row r="27" spans="1:9" ht="30" customHeight="1">
      <c r="A27" s="32"/>
      <c r="B27" s="101" t="s">
        <v>48</v>
      </c>
      <c r="C27" s="210" t="s">
        <v>49</v>
      </c>
      <c r="D27" s="211"/>
      <c r="E27" s="211"/>
      <c r="F27" s="212"/>
      <c r="G27" s="116">
        <f>Compliance!F12</f>
        <v>0</v>
      </c>
      <c r="H27" s="128" t="str">
        <f>Compliance!F13</f>
        <v>-</v>
      </c>
      <c r="I27" s="33"/>
    </row>
    <row r="28" spans="1:9" ht="9.75" customHeight="1">
      <c r="A28" s="3"/>
      <c r="B28" s="39"/>
      <c r="C28" s="131"/>
      <c r="D28" s="40"/>
      <c r="E28" s="40"/>
      <c r="F28" s="40"/>
      <c r="G28" s="40"/>
      <c r="H28" s="41"/>
    </row>
    <row r="29" spans="1:9" ht="27" customHeight="1">
      <c r="A29" s="3"/>
      <c r="B29" s="186" t="s">
        <v>50</v>
      </c>
      <c r="C29" s="187"/>
      <c r="D29" s="246"/>
      <c r="E29" s="246"/>
      <c r="F29" s="246"/>
      <c r="G29" s="246"/>
      <c r="H29" s="247"/>
    </row>
    <row r="30" spans="1:9" ht="27" customHeight="1">
      <c r="A30" s="3"/>
      <c r="B30" s="4" t="s">
        <v>51</v>
      </c>
      <c r="C30" s="148"/>
      <c r="D30" s="149"/>
      <c r="E30" s="149"/>
      <c r="F30" s="149"/>
      <c r="G30" s="149"/>
      <c r="H30" s="150"/>
    </row>
    <row r="31" spans="1:9" ht="27" customHeight="1">
      <c r="A31" s="3"/>
      <c r="B31" s="4" t="s">
        <v>52</v>
      </c>
      <c r="C31" s="148"/>
      <c r="D31" s="149"/>
      <c r="E31" s="149"/>
      <c r="F31" s="149"/>
      <c r="G31" s="149"/>
      <c r="H31" s="150"/>
    </row>
    <row r="32" spans="1:9" ht="27" customHeight="1">
      <c r="A32" s="3"/>
      <c r="B32" s="4" t="s">
        <v>53</v>
      </c>
      <c r="C32" s="148"/>
      <c r="D32" s="149"/>
      <c r="E32" s="149"/>
      <c r="F32" s="149"/>
      <c r="G32" s="149"/>
      <c r="H32" s="150"/>
    </row>
    <row r="33" spans="1:9" ht="27" customHeight="1">
      <c r="A33" s="3"/>
      <c r="B33" s="4" t="s">
        <v>54</v>
      </c>
      <c r="C33" s="148"/>
      <c r="D33" s="149"/>
      <c r="E33" s="149"/>
      <c r="F33" s="149"/>
      <c r="G33" s="149"/>
      <c r="H33" s="150"/>
    </row>
    <row r="34" spans="1:9" ht="27" customHeight="1">
      <c r="A34" s="3"/>
      <c r="B34" s="4" t="s">
        <v>55</v>
      </c>
      <c r="C34" s="148"/>
      <c r="D34" s="149"/>
      <c r="E34" s="149"/>
      <c r="F34" s="149"/>
      <c r="G34" s="149"/>
      <c r="H34" s="150"/>
    </row>
    <row r="35" spans="1:9" ht="27" customHeight="1">
      <c r="A35" s="3"/>
      <c r="B35" s="4" t="s">
        <v>56</v>
      </c>
      <c r="C35" s="148"/>
      <c r="D35" s="149"/>
      <c r="E35" s="149"/>
      <c r="F35" s="149"/>
      <c r="G35" s="149"/>
      <c r="H35" s="150"/>
    </row>
    <row r="36" spans="1:9" ht="27" customHeight="1">
      <c r="A36" s="3"/>
      <c r="B36" s="4" t="s">
        <v>57</v>
      </c>
      <c r="C36" s="148"/>
      <c r="D36" s="149"/>
      <c r="E36" s="149"/>
      <c r="F36" s="149"/>
      <c r="G36" s="149"/>
      <c r="H36" s="150"/>
    </row>
    <row r="37" spans="1:9" ht="27" customHeight="1">
      <c r="A37" s="3"/>
      <c r="B37" s="4" t="s">
        <v>58</v>
      </c>
      <c r="C37" s="148"/>
      <c r="D37" s="149"/>
      <c r="E37" s="149"/>
      <c r="F37" s="149"/>
      <c r="G37" s="149"/>
      <c r="H37" s="150"/>
    </row>
    <row r="38" spans="1:9" ht="35.25" customHeight="1">
      <c r="A38" s="3"/>
      <c r="B38" s="4" t="s">
        <v>59</v>
      </c>
      <c r="C38" s="148"/>
      <c r="D38" s="149"/>
      <c r="E38" s="149"/>
      <c r="F38" s="149"/>
      <c r="G38" s="149"/>
      <c r="H38" s="213"/>
    </row>
    <row r="39" spans="1:9" ht="27" customHeight="1">
      <c r="A39" s="3"/>
      <c r="B39" s="4" t="s">
        <v>60</v>
      </c>
      <c r="C39" s="216" t="s">
        <v>61</v>
      </c>
      <c r="D39" s="217"/>
      <c r="E39" s="217"/>
      <c r="F39" s="215" t="s">
        <v>62</v>
      </c>
      <c r="G39" s="215"/>
      <c r="H39" s="142" t="str">
        <f>'Plano de ação'!J5</f>
        <v>-</v>
      </c>
      <c r="I39" s="33"/>
    </row>
    <row r="40" spans="1:9" ht="8.25" customHeight="1">
      <c r="A40" s="3"/>
      <c r="B40" s="10"/>
      <c r="C40" s="10"/>
      <c r="D40" s="10"/>
      <c r="E40" s="10"/>
      <c r="F40" s="11"/>
      <c r="G40" s="11"/>
      <c r="H40" s="143"/>
    </row>
    <row r="41" spans="1:9" ht="27" customHeight="1">
      <c r="A41" s="3"/>
      <c r="B41" s="168" t="s">
        <v>63</v>
      </c>
      <c r="C41" s="169"/>
      <c r="D41" s="244"/>
      <c r="E41" s="244"/>
      <c r="F41" s="244"/>
      <c r="G41" s="244"/>
      <c r="H41" s="245"/>
    </row>
    <row r="42" spans="1:9" ht="27" customHeight="1">
      <c r="A42" s="3"/>
      <c r="B42" s="4" t="s">
        <v>64</v>
      </c>
      <c r="C42" s="214" t="s">
        <v>65</v>
      </c>
      <c r="D42" s="158"/>
      <c r="E42" s="158"/>
      <c r="F42" s="158"/>
      <c r="G42" s="158"/>
      <c r="H42" s="159"/>
    </row>
    <row r="43" spans="1:9" ht="27" customHeight="1">
      <c r="A43" s="3"/>
      <c r="B43" s="4" t="s">
        <v>66</v>
      </c>
      <c r="C43" s="148"/>
      <c r="D43" s="149"/>
      <c r="E43" s="149"/>
      <c r="F43" s="149"/>
      <c r="G43" s="149"/>
      <c r="H43" s="150"/>
    </row>
    <row r="44" spans="1:9" ht="27" customHeight="1">
      <c r="A44" s="3"/>
      <c r="B44" s="4" t="s">
        <v>67</v>
      </c>
      <c r="C44" s="221"/>
      <c r="D44" s="222"/>
      <c r="E44" s="213"/>
      <c r="F44" s="6" t="s">
        <v>68</v>
      </c>
      <c r="G44" s="156"/>
      <c r="H44" s="157"/>
    </row>
    <row r="45" spans="1:9" ht="27" customHeight="1">
      <c r="A45" s="3"/>
      <c r="B45" s="4" t="s">
        <v>66</v>
      </c>
      <c r="C45" s="148"/>
      <c r="D45" s="149"/>
      <c r="E45" s="149"/>
      <c r="F45" s="149"/>
      <c r="G45" s="149"/>
      <c r="H45" s="150"/>
    </row>
    <row r="46" spans="1:9" ht="27" customHeight="1">
      <c r="A46" s="3"/>
      <c r="B46" s="130" t="s">
        <v>67</v>
      </c>
      <c r="C46" s="221"/>
      <c r="D46" s="222"/>
      <c r="E46" s="213"/>
      <c r="F46" s="4" t="s">
        <v>68</v>
      </c>
      <c r="G46" s="156"/>
      <c r="H46" s="157"/>
    </row>
    <row r="47" spans="1:9" ht="27" customHeight="1">
      <c r="A47" s="3"/>
      <c r="B47" s="130" t="s">
        <v>69</v>
      </c>
      <c r="C47" s="179" t="s">
        <v>70</v>
      </c>
      <c r="D47" s="179"/>
      <c r="E47" s="179"/>
      <c r="F47" s="134" t="s">
        <v>71</v>
      </c>
      <c r="G47" s="156"/>
      <c r="H47" s="157"/>
    </row>
    <row r="48" spans="1:9" ht="27" customHeight="1">
      <c r="A48" s="3"/>
      <c r="B48" s="4" t="s">
        <v>59</v>
      </c>
      <c r="C48" s="148"/>
      <c r="D48" s="149"/>
      <c r="E48" s="149"/>
      <c r="F48" s="149"/>
      <c r="G48" s="149"/>
      <c r="H48" s="150"/>
    </row>
    <row r="49" spans="1:9" ht="12" customHeight="1">
      <c r="A49" s="3"/>
      <c r="B49" s="32"/>
      <c r="C49" s="32"/>
      <c r="D49" s="32"/>
      <c r="E49" s="32"/>
      <c r="F49" s="32"/>
      <c r="G49" s="32"/>
      <c r="H49" s="32"/>
    </row>
    <row r="50" spans="1:9" ht="27" customHeight="1">
      <c r="A50" s="32"/>
      <c r="B50" s="168" t="s">
        <v>72</v>
      </c>
      <c r="C50" s="169"/>
      <c r="D50" s="244"/>
      <c r="E50" s="244"/>
      <c r="F50" s="244"/>
      <c r="G50" s="244"/>
      <c r="H50" s="245"/>
      <c r="I50" s="33"/>
    </row>
    <row r="51" spans="1:9" ht="83.25" customHeight="1">
      <c r="A51" s="32"/>
      <c r="B51" s="166"/>
      <c r="C51" s="167"/>
      <c r="D51" s="248"/>
      <c r="E51" s="248"/>
      <c r="F51" s="248"/>
      <c r="G51" s="248"/>
      <c r="H51" s="249"/>
      <c r="I51" s="33"/>
    </row>
    <row r="52" spans="1:9" ht="27" customHeight="1">
      <c r="A52" s="32"/>
      <c r="B52" s="168" t="s">
        <v>73</v>
      </c>
      <c r="C52" s="169"/>
      <c r="D52" s="244"/>
      <c r="E52" s="244"/>
      <c r="F52" s="244"/>
      <c r="G52" s="244"/>
      <c r="H52" s="245"/>
      <c r="I52" s="33"/>
    </row>
    <row r="53" spans="1:9" ht="83.25" customHeight="1">
      <c r="A53" s="32"/>
      <c r="B53" s="220"/>
      <c r="C53" s="223"/>
      <c r="D53" s="244"/>
      <c r="E53" s="244"/>
      <c r="F53" s="244"/>
      <c r="G53" s="244"/>
      <c r="H53" s="245"/>
      <c r="I53" s="33"/>
    </row>
    <row r="54" spans="1:9" ht="27" customHeight="1">
      <c r="A54" s="32"/>
      <c r="B54" s="168" t="s">
        <v>74</v>
      </c>
      <c r="C54" s="169"/>
      <c r="D54" s="244"/>
      <c r="E54" s="244"/>
      <c r="F54" s="244"/>
      <c r="G54" s="244"/>
      <c r="H54" s="245"/>
      <c r="I54" s="33"/>
    </row>
    <row r="55" spans="1:9" ht="61.5" customHeight="1">
      <c r="A55" s="32"/>
      <c r="B55" s="220"/>
      <c r="C55" s="167"/>
      <c r="D55" s="248"/>
      <c r="E55" s="248"/>
      <c r="F55" s="248"/>
      <c r="G55" s="248"/>
      <c r="H55" s="249"/>
      <c r="I55" s="33"/>
    </row>
    <row r="56" spans="1:9" ht="27" customHeight="1">
      <c r="A56" s="32"/>
      <c r="B56" s="135" t="s">
        <v>75</v>
      </c>
      <c r="C56" s="158" t="s">
        <v>76</v>
      </c>
      <c r="D56" s="158"/>
      <c r="E56" s="158"/>
      <c r="F56" s="158"/>
      <c r="G56" s="158"/>
      <c r="H56" s="159"/>
      <c r="I56" s="33"/>
    </row>
    <row r="57" spans="1:9" ht="27" customHeight="1">
      <c r="A57" s="32"/>
      <c r="B57" s="152" t="s">
        <v>77</v>
      </c>
      <c r="C57" s="153"/>
      <c r="D57" s="154" t="s">
        <v>78</v>
      </c>
      <c r="E57" s="155"/>
      <c r="F57" s="155"/>
      <c r="G57" s="164" t="s">
        <v>79</v>
      </c>
      <c r="H57" s="165"/>
      <c r="I57" s="33"/>
    </row>
    <row r="58" spans="1:9" ht="21.75" customHeight="1">
      <c r="A58" s="32"/>
      <c r="B58" s="151" t="s">
        <v>80</v>
      </c>
      <c r="C58" s="151"/>
      <c r="D58" s="160"/>
      <c r="E58" s="161"/>
      <c r="F58" s="162"/>
      <c r="G58" s="156"/>
      <c r="H58" s="157"/>
      <c r="I58" s="33"/>
    </row>
    <row r="59" spans="1:9" ht="21.75" customHeight="1">
      <c r="A59" s="32"/>
      <c r="B59" s="151" t="s">
        <v>81</v>
      </c>
      <c r="C59" s="151"/>
      <c r="D59" s="160"/>
      <c r="E59" s="161"/>
      <c r="F59" s="162"/>
      <c r="G59" s="163"/>
      <c r="H59" s="163"/>
      <c r="I59" s="33"/>
    </row>
    <row r="60" spans="1:9" ht="21.75" customHeight="1">
      <c r="A60" s="33"/>
      <c r="B60" s="151" t="s">
        <v>82</v>
      </c>
      <c r="C60" s="151"/>
      <c r="D60" s="160"/>
      <c r="E60" s="161"/>
      <c r="F60" s="162"/>
      <c r="G60" s="163"/>
      <c r="H60" s="163"/>
      <c r="I60" s="33"/>
    </row>
    <row r="61" spans="1:9" ht="15" customHeight="1">
      <c r="B61" s="33"/>
      <c r="C61" s="33"/>
      <c r="D61" s="33"/>
      <c r="E61" s="33"/>
      <c r="F61" s="33"/>
      <c r="G61" s="33"/>
      <c r="H61" s="33"/>
    </row>
    <row r="62" spans="1:9" ht="15" customHeight="1"/>
    <row r="63" spans="1:9" ht="15" customHeight="1"/>
    <row r="64" spans="1:9" ht="15" customHeight="1"/>
    <row r="65" ht="15" customHeight="1"/>
    <row r="66" ht="15" customHeight="1"/>
    <row r="67" ht="15" customHeight="1"/>
  </sheetData>
  <sheetProtection algorithmName="SHA-512" hashValue="17tE4nu1PISlSOCFvLmKmUj88/iGsiUC4od5pVuheYUsJv9hIoBAIdT5cVk6y26XUWLhMeIFhsgvHV8aGNeBUQ==" saltValue="Q/OaJalMz3pMuZA1ENohVA==" spinCount="100000" sheet="1" formatCells="0" formatColumns="0" formatRows="0" insertColumns="0" insertRows="0" insertHyperlinks="0" deleteColumns="0" deleteRows="0" sort="0" autoFilter="0" pivotTables="0"/>
  <protectedRanges>
    <protectedRange sqref="C5:E6" name="Range1"/>
    <protectedRange sqref="G5:H6" name="Range2"/>
    <protectedRange sqref="C7:H10" name="Range3"/>
    <protectedRange sqref="C13:H17" name="Range4"/>
    <protectedRange sqref="C30:H38" name="Range6"/>
    <protectedRange sqref="C56" name="Range17"/>
    <protectedRange sqref="D58:H60" name="Range18"/>
    <protectedRange sqref="C42:H48" name="Range12"/>
    <protectedRange sqref="B19:H19" name="Range13"/>
    <protectedRange sqref="B51:H51" name="Range14"/>
    <protectedRange sqref="B53:H53" name="Range15"/>
    <protectedRange sqref="B55:H55" name="Range16"/>
  </protectedRanges>
  <mergeCells count="70">
    <mergeCell ref="G2:H2"/>
    <mergeCell ref="B54:H54"/>
    <mergeCell ref="B55:H55"/>
    <mergeCell ref="B41:H41"/>
    <mergeCell ref="C46:E46"/>
    <mergeCell ref="C45:H45"/>
    <mergeCell ref="C47:E47"/>
    <mergeCell ref="C48:H48"/>
    <mergeCell ref="B53:H53"/>
    <mergeCell ref="G44:H44"/>
    <mergeCell ref="G46:H46"/>
    <mergeCell ref="G47:H47"/>
    <mergeCell ref="C44:E44"/>
    <mergeCell ref="C35:H35"/>
    <mergeCell ref="C36:H36"/>
    <mergeCell ref="B50:H50"/>
    <mergeCell ref="C37:H37"/>
    <mergeCell ref="C38:H38"/>
    <mergeCell ref="C42:H42"/>
    <mergeCell ref="C43:H43"/>
    <mergeCell ref="F39:G39"/>
    <mergeCell ref="C39:E39"/>
    <mergeCell ref="B21:H21"/>
    <mergeCell ref="B29:H29"/>
    <mergeCell ref="B19:H19"/>
    <mergeCell ref="B20:H20"/>
    <mergeCell ref="G22:H22"/>
    <mergeCell ref="B22:B23"/>
    <mergeCell ref="C22:F23"/>
    <mergeCell ref="C24:F24"/>
    <mergeCell ref="C25:F25"/>
    <mergeCell ref="C26:F26"/>
    <mergeCell ref="C27:F27"/>
    <mergeCell ref="C10:H10"/>
    <mergeCell ref="C13:H13"/>
    <mergeCell ref="C14:H14"/>
    <mergeCell ref="C17:H17"/>
    <mergeCell ref="B18:H18"/>
    <mergeCell ref="C2:F2"/>
    <mergeCell ref="C30:H30"/>
    <mergeCell ref="C31:H31"/>
    <mergeCell ref="C32:H32"/>
    <mergeCell ref="C33:H33"/>
    <mergeCell ref="B4:H4"/>
    <mergeCell ref="B12:H12"/>
    <mergeCell ref="C15:H15"/>
    <mergeCell ref="C16:H16"/>
    <mergeCell ref="G5:H5"/>
    <mergeCell ref="G6:H6"/>
    <mergeCell ref="C5:E5"/>
    <mergeCell ref="C6:E6"/>
    <mergeCell ref="C7:H7"/>
    <mergeCell ref="C8:H8"/>
    <mergeCell ref="C9:H9"/>
    <mergeCell ref="C34:H34"/>
    <mergeCell ref="B60:C60"/>
    <mergeCell ref="B57:C57"/>
    <mergeCell ref="D57:F57"/>
    <mergeCell ref="G58:H58"/>
    <mergeCell ref="C56:H56"/>
    <mergeCell ref="D58:F58"/>
    <mergeCell ref="D59:F59"/>
    <mergeCell ref="D60:F60"/>
    <mergeCell ref="G60:H60"/>
    <mergeCell ref="G59:H59"/>
    <mergeCell ref="G57:H57"/>
    <mergeCell ref="B58:C58"/>
    <mergeCell ref="B59:C59"/>
    <mergeCell ref="B51:H51"/>
    <mergeCell ref="B52:H52"/>
  </mergeCells>
  <pageMargins left="0.25" right="0.25" top="0.75" bottom="0.75" header="0.3" footer="0.3"/>
  <pageSetup paperSize="9" scale="40" fitToHeight="0" orientation="portrait"/>
  <headerFooter>
    <oddHeader>&amp;L                   &amp;CFormulário Relatório de Gestão de Mudança&amp;RCódigo: FOR.137  -  Revisão: 0 Elaboração: 28/10/2021 - Aprovação: 28/10/2021 Página:</oddHeader>
    <oddFooter>&amp;LElaborado por: Nathalia Brandao Setor: Qualidade&amp;CVerificado por: Vagner Domingos Setor: Qualidade&amp;RAprovado por: José Hamilton Setor: Ger. Qualidade</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34998626667073579"/>
    <outlinePr summaryRight="0"/>
  </sheetPr>
  <dimension ref="A1:P200"/>
  <sheetViews>
    <sheetView showGridLines="0" workbookViewId="0">
      <pane ySplit="8" topLeftCell="A9" activePane="bottomLeft" state="frozen"/>
      <selection pane="bottomLeft" activeCell="E3" sqref="E3:E4"/>
    </sheetView>
  </sheetViews>
  <sheetFormatPr defaultColWidth="9.140625" defaultRowHeight="15" customHeight="1"/>
  <cols>
    <col min="1" max="1" width="0.7109375" customWidth="1"/>
    <col min="2" max="2" width="11.28515625" customWidth="1"/>
    <col min="3" max="4" width="18.5703125" customWidth="1"/>
    <col min="5" max="5" width="40.28515625" customWidth="1"/>
    <col min="6" max="6" width="12.42578125" customWidth="1"/>
    <col min="7" max="7" width="51.85546875" customWidth="1"/>
    <col min="8" max="9" width="22.7109375" customWidth="1"/>
    <col min="10" max="10" width="20.7109375" customWidth="1"/>
    <col min="11" max="11" width="12" customWidth="1"/>
    <col min="12" max="12" width="16" customWidth="1"/>
    <col min="13" max="14" width="15" customWidth="1"/>
    <col min="15" max="15" width="36.140625" customWidth="1"/>
    <col min="16" max="16" width="18.28515625" customWidth="1"/>
    <col min="17" max="18" width="9.140625" customWidth="1"/>
  </cols>
  <sheetData>
    <row r="1" spans="1:16" ht="5.25" customHeight="1">
      <c r="A1" s="12"/>
      <c r="B1" s="13"/>
      <c r="C1" s="13"/>
      <c r="D1" s="13"/>
      <c r="E1" s="13"/>
      <c r="F1" s="13"/>
      <c r="G1" s="13"/>
      <c r="H1" s="13"/>
      <c r="I1" s="13"/>
      <c r="J1" s="13"/>
      <c r="K1" s="13"/>
      <c r="L1" s="13"/>
      <c r="M1" s="14"/>
      <c r="N1" s="14"/>
      <c r="O1" s="15"/>
      <c r="P1" s="16"/>
    </row>
    <row r="2" spans="1:16" ht="36" customHeight="1">
      <c r="A2" s="12"/>
      <c r="B2" s="224"/>
      <c r="C2" s="225"/>
      <c r="D2" s="226"/>
      <c r="E2" s="228" t="s">
        <v>83</v>
      </c>
      <c r="F2" s="244"/>
      <c r="G2" s="244"/>
      <c r="H2" s="244"/>
      <c r="I2" s="244"/>
      <c r="J2" s="244"/>
      <c r="K2" s="244"/>
      <c r="L2" s="244"/>
      <c r="M2" s="244"/>
      <c r="N2" s="244"/>
      <c r="O2" s="244"/>
      <c r="P2" s="244"/>
    </row>
    <row r="3" spans="1:16" ht="17.25" customHeight="1">
      <c r="A3" s="12"/>
      <c r="B3" s="232" t="s">
        <v>84</v>
      </c>
      <c r="C3" s="232"/>
      <c r="D3" s="233"/>
      <c r="E3" s="230">
        <f>'Relatório de Gestão de Mudança'!C5</f>
        <v>0</v>
      </c>
      <c r="F3" s="235"/>
      <c r="G3" s="17" t="str">
        <f>"AÇÕES PLANEJADAS (ACCIONES PLANEADAS): "&amp;COUNTIF(J9:J208,"Planeada/Planejada")</f>
        <v>AÇÕES PLANEJADAS (ACCIONES PLANEADAS): 0</v>
      </c>
      <c r="H3" s="236"/>
      <c r="I3" s="18"/>
      <c r="J3" s="229" t="s">
        <v>85</v>
      </c>
      <c r="K3" s="250"/>
      <c r="L3" s="12"/>
      <c r="M3" s="19"/>
      <c r="N3" s="19"/>
      <c r="O3" s="15"/>
      <c r="P3" s="15"/>
    </row>
    <row r="4" spans="1:16" ht="17.25" customHeight="1">
      <c r="A4" s="12"/>
      <c r="B4" s="232"/>
      <c r="C4" s="232"/>
      <c r="D4" s="233"/>
      <c r="E4" s="231"/>
      <c r="F4" s="235"/>
      <c r="G4" s="20" t="str">
        <f>"AÇÕES COMPLETAS (ACCIONES COMPLETAS): "&amp;COUNTIFS(J9:J208,"Completa/Concluído")</f>
        <v>AÇÕES COMPLETAS (ACCIONES COMPLETAS): 0</v>
      </c>
      <c r="H4" s="236"/>
      <c r="I4" s="12"/>
      <c r="J4" s="251"/>
      <c r="K4" s="252"/>
      <c r="L4" s="12"/>
      <c r="M4" s="19"/>
      <c r="N4" s="19"/>
      <c r="O4" s="15"/>
      <c r="P4" s="16"/>
    </row>
    <row r="5" spans="1:16" ht="17.25" customHeight="1">
      <c r="A5" s="12"/>
      <c r="B5" s="234" t="s">
        <v>86</v>
      </c>
      <c r="C5" s="234"/>
      <c r="D5" s="234"/>
      <c r="E5" s="230">
        <f>'Relatório de Gestão de Mudança'!G6</f>
        <v>0</v>
      </c>
      <c r="F5" s="24"/>
      <c r="G5" s="21" t="str">
        <f>"AÇÕES EM ANDAMENTO (ACCIONES EN CURSO): "&amp;COUNTIFS(J9:J208,"En Curso/Andamento")</f>
        <v>AÇÕES EM ANDAMENTO (ACCIONES EN CURSO): 0</v>
      </c>
      <c r="H5" s="22"/>
      <c r="I5" s="22"/>
      <c r="J5" s="227" t="str">
        <f>IFERROR(COUNTIF(J9:J890,"Completa/Concluído")/(COUNTIF(J9:J890,"Planeada/Planejada")+(COUNTIF(J9:J890,"En Curso/Andamento")+(COUNTIF(J9:J890,"Completa/Concluído")+(COUNTIF(J9:J890,"Retardo/Atrasada"))))),"-")</f>
        <v>-</v>
      </c>
      <c r="K5" s="245"/>
      <c r="L5" s="19"/>
      <c r="M5" s="19"/>
      <c r="N5" s="19"/>
      <c r="O5" s="15"/>
      <c r="P5" s="16"/>
    </row>
    <row r="6" spans="1:16" ht="17.25" customHeight="1">
      <c r="A6" s="12"/>
      <c r="B6" s="234"/>
      <c r="C6" s="234"/>
      <c r="D6" s="234"/>
      <c r="E6" s="231"/>
      <c r="F6" s="12"/>
      <c r="G6" s="23" t="str">
        <f>"AÇÕES PRIORIDADE EM ANDAMENTO (ACCIONES PRIORIDAD EN CURSO): "&amp;COUNTIFS(J9:J208,"En Curso/Andamento",K9:K208,"Y")</f>
        <v>AÇÕES PRIORIDADE EM ANDAMENTO (ACCIONES PRIORIDAD EN CURSO): 0</v>
      </c>
      <c r="H6" s="12"/>
      <c r="I6" s="12"/>
      <c r="J6" s="251"/>
      <c r="K6" s="252"/>
      <c r="L6" s="19"/>
      <c r="M6" s="19"/>
      <c r="N6" s="19"/>
      <c r="O6" s="12"/>
      <c r="P6" s="16"/>
    </row>
    <row r="7" spans="1:16" ht="10.5" customHeight="1">
      <c r="A7" s="24"/>
      <c r="B7" s="10"/>
      <c r="C7" s="7"/>
      <c r="D7" s="7"/>
      <c r="E7" s="37"/>
      <c r="F7" s="7"/>
      <c r="G7" s="7"/>
      <c r="H7" s="7"/>
      <c r="I7" s="7"/>
      <c r="J7" s="7"/>
      <c r="K7" s="7"/>
      <c r="L7" s="7"/>
      <c r="M7" s="7"/>
      <c r="N7" s="7"/>
      <c r="O7" s="8"/>
      <c r="P7" s="7"/>
    </row>
    <row r="8" spans="1:16" ht="35.25" customHeight="1">
      <c r="A8" s="12"/>
      <c r="B8" s="9" t="s">
        <v>87</v>
      </c>
      <c r="C8" s="9" t="s">
        <v>88</v>
      </c>
      <c r="D8" s="9" t="s">
        <v>89</v>
      </c>
      <c r="E8" s="9" t="s">
        <v>90</v>
      </c>
      <c r="F8" s="9" t="s">
        <v>91</v>
      </c>
      <c r="G8" s="9" t="s">
        <v>92</v>
      </c>
      <c r="H8" s="9" t="s">
        <v>93</v>
      </c>
      <c r="I8" s="9" t="s">
        <v>94</v>
      </c>
      <c r="J8" s="9" t="s">
        <v>95</v>
      </c>
      <c r="K8" s="9" t="s">
        <v>96</v>
      </c>
      <c r="L8" s="9" t="s">
        <v>97</v>
      </c>
      <c r="M8" s="9" t="s">
        <v>98</v>
      </c>
      <c r="N8" s="9" t="s">
        <v>99</v>
      </c>
      <c r="O8" s="9" t="s">
        <v>100</v>
      </c>
      <c r="P8" s="9" t="s">
        <v>101</v>
      </c>
    </row>
    <row r="9" spans="1:16" ht="18" customHeight="1">
      <c r="A9" s="12"/>
      <c r="B9" s="25">
        <v>1</v>
      </c>
      <c r="C9" s="26"/>
      <c r="D9" s="30"/>
      <c r="E9" s="26"/>
      <c r="F9" s="26"/>
      <c r="G9" s="26"/>
      <c r="H9" s="27"/>
      <c r="I9" s="27"/>
      <c r="J9" s="27"/>
      <c r="K9" s="27"/>
      <c r="L9" s="28"/>
      <c r="M9" s="29"/>
      <c r="N9" s="29"/>
      <c r="O9" s="28"/>
      <c r="P9" s="25"/>
    </row>
    <row r="10" spans="1:16" ht="18" customHeight="1">
      <c r="A10" s="12"/>
      <c r="B10" s="25">
        <v>2</v>
      </c>
      <c r="C10" s="26"/>
      <c r="D10" s="30"/>
      <c r="E10" s="26"/>
      <c r="F10" s="26"/>
      <c r="G10" s="26"/>
      <c r="H10" s="27"/>
      <c r="I10" s="27"/>
      <c r="J10" s="27"/>
      <c r="K10" s="27"/>
      <c r="L10" s="28"/>
      <c r="M10" s="29"/>
      <c r="N10" s="29"/>
      <c r="O10" s="28"/>
      <c r="P10" s="25"/>
    </row>
    <row r="11" spans="1:16" ht="18" customHeight="1">
      <c r="A11" s="12"/>
      <c r="B11" s="25">
        <v>3</v>
      </c>
      <c r="C11" s="26"/>
      <c r="D11" s="30"/>
      <c r="E11" s="26"/>
      <c r="F11" s="26"/>
      <c r="G11" s="26"/>
      <c r="H11" s="27"/>
      <c r="I11" s="27"/>
      <c r="J11" s="27"/>
      <c r="K11" s="27"/>
      <c r="L11" s="28"/>
      <c r="M11" s="29"/>
      <c r="N11" s="29"/>
      <c r="O11" s="28"/>
      <c r="P11" s="25"/>
    </row>
    <row r="12" spans="1:16" ht="18" customHeight="1">
      <c r="A12" s="12"/>
      <c r="B12" s="25">
        <v>4</v>
      </c>
      <c r="C12" s="26"/>
      <c r="D12" s="30"/>
      <c r="E12" s="26"/>
      <c r="F12" s="26"/>
      <c r="G12" s="26"/>
      <c r="H12" s="27"/>
      <c r="I12" s="27"/>
      <c r="J12" s="27"/>
      <c r="K12" s="27"/>
      <c r="L12" s="28"/>
      <c r="M12" s="29"/>
      <c r="N12" s="29"/>
      <c r="O12" s="28"/>
      <c r="P12" s="25"/>
    </row>
    <row r="13" spans="1:16" ht="18" customHeight="1">
      <c r="A13" s="12"/>
      <c r="B13" s="25">
        <v>5</v>
      </c>
      <c r="C13" s="26"/>
      <c r="D13" s="30"/>
      <c r="E13" s="26"/>
      <c r="F13" s="26"/>
      <c r="G13" s="26"/>
      <c r="H13" s="27"/>
      <c r="I13" s="27"/>
      <c r="J13" s="27"/>
      <c r="K13" s="27"/>
      <c r="L13" s="28"/>
      <c r="M13" s="29"/>
      <c r="N13" s="29"/>
      <c r="O13" s="28"/>
      <c r="P13" s="25"/>
    </row>
    <row r="14" spans="1:16" ht="18" customHeight="1">
      <c r="A14" s="12"/>
      <c r="B14" s="25">
        <v>6</v>
      </c>
      <c r="C14" s="26"/>
      <c r="D14" s="30"/>
      <c r="E14" s="26"/>
      <c r="F14" s="26"/>
      <c r="G14" s="26"/>
      <c r="H14" s="27"/>
      <c r="I14" s="27"/>
      <c r="J14" s="27"/>
      <c r="K14" s="27"/>
      <c r="L14" s="28"/>
      <c r="M14" s="29"/>
      <c r="N14" s="29"/>
      <c r="O14" s="28"/>
      <c r="P14" s="25"/>
    </row>
    <row r="15" spans="1:16" ht="18" customHeight="1">
      <c r="A15" s="12"/>
      <c r="B15" s="25">
        <v>7</v>
      </c>
      <c r="C15" s="26"/>
      <c r="D15" s="30"/>
      <c r="E15" s="26"/>
      <c r="F15" s="26"/>
      <c r="G15" s="26"/>
      <c r="H15" s="27"/>
      <c r="I15" s="27"/>
      <c r="J15" s="27"/>
      <c r="K15" s="27"/>
      <c r="L15" s="28"/>
      <c r="M15" s="29"/>
      <c r="N15" s="29"/>
      <c r="O15" s="28"/>
      <c r="P15" s="25"/>
    </row>
    <row r="16" spans="1:16" ht="18" customHeight="1">
      <c r="A16" s="12"/>
      <c r="B16" s="25">
        <v>8</v>
      </c>
      <c r="C16" s="26"/>
      <c r="D16" s="30"/>
      <c r="E16" s="26"/>
      <c r="F16" s="26"/>
      <c r="G16" s="26"/>
      <c r="H16" s="27"/>
      <c r="I16" s="27"/>
      <c r="J16" s="27"/>
      <c r="K16" s="27"/>
      <c r="L16" s="28"/>
      <c r="M16" s="29"/>
      <c r="N16" s="29"/>
      <c r="O16" s="28"/>
      <c r="P16" s="25"/>
    </row>
    <row r="17" spans="1:16" ht="18" customHeight="1">
      <c r="A17" s="12"/>
      <c r="B17" s="25">
        <v>9</v>
      </c>
      <c r="C17" s="26"/>
      <c r="D17" s="30"/>
      <c r="E17" s="26"/>
      <c r="F17" s="26"/>
      <c r="G17" s="26"/>
      <c r="H17" s="27"/>
      <c r="I17" s="27"/>
      <c r="J17" s="27"/>
      <c r="K17" s="27"/>
      <c r="L17" s="28"/>
      <c r="M17" s="29"/>
      <c r="N17" s="29"/>
      <c r="O17" s="28"/>
      <c r="P17" s="25"/>
    </row>
    <row r="18" spans="1:16" ht="18" customHeight="1">
      <c r="A18" s="12"/>
      <c r="B18" s="25">
        <v>10</v>
      </c>
      <c r="C18" s="26"/>
      <c r="D18" s="30"/>
      <c r="E18" s="26"/>
      <c r="F18" s="26"/>
      <c r="G18" s="26"/>
      <c r="H18" s="27"/>
      <c r="I18" s="27"/>
      <c r="J18" s="27"/>
      <c r="K18" s="27"/>
      <c r="L18" s="28"/>
      <c r="M18" s="29"/>
      <c r="N18" s="29"/>
      <c r="O18" s="28"/>
      <c r="P18" s="25"/>
    </row>
    <row r="19" spans="1:16" ht="18" customHeight="1">
      <c r="A19" s="12"/>
      <c r="B19" s="25">
        <v>11</v>
      </c>
      <c r="C19" s="26"/>
      <c r="D19" s="30"/>
      <c r="E19" s="26"/>
      <c r="F19" s="26"/>
      <c r="G19" s="26"/>
      <c r="H19" s="27"/>
      <c r="I19" s="27"/>
      <c r="J19" s="27"/>
      <c r="K19" s="27"/>
      <c r="L19" s="28"/>
      <c r="M19" s="29"/>
      <c r="N19" s="29"/>
      <c r="O19" s="28"/>
      <c r="P19" s="25"/>
    </row>
    <row r="20" spans="1:16" ht="18" customHeight="1">
      <c r="A20" s="12"/>
      <c r="B20" s="25">
        <v>12</v>
      </c>
      <c r="C20" s="26"/>
      <c r="D20" s="30"/>
      <c r="E20" s="26"/>
      <c r="F20" s="26"/>
      <c r="G20" s="26"/>
      <c r="H20" s="27"/>
      <c r="I20" s="27"/>
      <c r="J20" s="27"/>
      <c r="K20" s="27"/>
      <c r="L20" s="28"/>
      <c r="M20" s="29"/>
      <c r="N20" s="29"/>
      <c r="O20" s="28"/>
      <c r="P20" s="25"/>
    </row>
    <row r="21" spans="1:16" ht="18" customHeight="1">
      <c r="A21" s="12"/>
      <c r="B21" s="25">
        <v>13</v>
      </c>
      <c r="C21" s="26"/>
      <c r="D21" s="30"/>
      <c r="E21" s="26"/>
      <c r="F21" s="26"/>
      <c r="G21" s="26"/>
      <c r="H21" s="27"/>
      <c r="I21" s="27"/>
      <c r="J21" s="27"/>
      <c r="K21" s="27"/>
      <c r="L21" s="28"/>
      <c r="M21" s="29"/>
      <c r="N21" s="29"/>
      <c r="O21" s="28"/>
      <c r="P21" s="25"/>
    </row>
    <row r="22" spans="1:16" ht="18" customHeight="1">
      <c r="A22" s="12"/>
      <c r="B22" s="25">
        <v>14</v>
      </c>
      <c r="C22" s="26"/>
      <c r="D22" s="30"/>
      <c r="E22" s="26"/>
      <c r="F22" s="26"/>
      <c r="G22" s="26"/>
      <c r="H22" s="27"/>
      <c r="I22" s="27"/>
      <c r="J22" s="27"/>
      <c r="K22" s="27"/>
      <c r="L22" s="28"/>
      <c r="M22" s="29"/>
      <c r="N22" s="29"/>
      <c r="O22" s="28"/>
      <c r="P22" s="25"/>
    </row>
    <row r="23" spans="1:16" ht="18" customHeight="1">
      <c r="A23" s="12"/>
      <c r="B23" s="25">
        <v>15</v>
      </c>
      <c r="C23" s="26"/>
      <c r="D23" s="30"/>
      <c r="E23" s="26"/>
      <c r="F23" s="26"/>
      <c r="G23" s="26"/>
      <c r="H23" s="27"/>
      <c r="I23" s="27"/>
      <c r="J23" s="27"/>
      <c r="K23" s="27"/>
      <c r="L23" s="28"/>
      <c r="M23" s="29"/>
      <c r="N23" s="29"/>
      <c r="O23" s="28"/>
      <c r="P23" s="25"/>
    </row>
    <row r="24" spans="1:16" ht="18" customHeight="1">
      <c r="A24" s="12"/>
      <c r="B24" s="25">
        <v>16</v>
      </c>
      <c r="C24" s="26"/>
      <c r="D24" s="30"/>
      <c r="E24" s="26"/>
      <c r="F24" s="26"/>
      <c r="G24" s="26"/>
      <c r="H24" s="27"/>
      <c r="I24" s="27"/>
      <c r="J24" s="27"/>
      <c r="K24" s="27"/>
      <c r="L24" s="28"/>
      <c r="M24" s="29"/>
      <c r="N24" s="29"/>
      <c r="O24" s="28"/>
      <c r="P24" s="25"/>
    </row>
    <row r="25" spans="1:16" ht="18" customHeight="1">
      <c r="A25" s="12"/>
      <c r="B25" s="25">
        <v>17</v>
      </c>
      <c r="C25" s="26"/>
      <c r="D25" s="30"/>
      <c r="E25" s="26"/>
      <c r="F25" s="26"/>
      <c r="G25" s="26"/>
      <c r="H25" s="27"/>
      <c r="I25" s="27"/>
      <c r="J25" s="27"/>
      <c r="K25" s="27"/>
      <c r="L25" s="28"/>
      <c r="M25" s="29"/>
      <c r="N25" s="29"/>
      <c r="O25" s="28"/>
      <c r="P25" s="25"/>
    </row>
    <row r="26" spans="1:16" ht="18" customHeight="1">
      <c r="A26" s="12"/>
      <c r="B26" s="25">
        <v>18</v>
      </c>
      <c r="C26" s="26"/>
      <c r="D26" s="30"/>
      <c r="E26" s="26"/>
      <c r="F26" s="26"/>
      <c r="G26" s="26"/>
      <c r="H26" s="27"/>
      <c r="I26" s="27"/>
      <c r="J26" s="27"/>
      <c r="K26" s="27"/>
      <c r="L26" s="28"/>
      <c r="M26" s="29"/>
      <c r="N26" s="29"/>
      <c r="O26" s="28"/>
      <c r="P26" s="25"/>
    </row>
    <row r="27" spans="1:16" ht="18" customHeight="1">
      <c r="A27" s="12"/>
      <c r="B27" s="25">
        <v>19</v>
      </c>
      <c r="C27" s="26"/>
      <c r="D27" s="30"/>
      <c r="E27" s="26"/>
      <c r="F27" s="26"/>
      <c r="G27" s="26"/>
      <c r="H27" s="27"/>
      <c r="I27" s="27"/>
      <c r="J27" s="27"/>
      <c r="K27" s="27"/>
      <c r="L27" s="28"/>
      <c r="M27" s="29"/>
      <c r="N27" s="29"/>
      <c r="O27" s="28"/>
      <c r="P27" s="25"/>
    </row>
    <row r="28" spans="1:16" ht="18" customHeight="1">
      <c r="A28" s="12"/>
      <c r="B28" s="25">
        <v>20</v>
      </c>
      <c r="C28" s="26"/>
      <c r="D28" s="30"/>
      <c r="E28" s="26"/>
      <c r="F28" s="26"/>
      <c r="G28" s="26"/>
      <c r="H28" s="27"/>
      <c r="I28" s="27"/>
      <c r="J28" s="27"/>
      <c r="K28" s="27"/>
      <c r="L28" s="28"/>
      <c r="M28" s="29"/>
      <c r="N28" s="29"/>
      <c r="O28" s="28"/>
      <c r="P28" s="25"/>
    </row>
    <row r="29" spans="1:16" ht="18" customHeight="1">
      <c r="A29" s="12"/>
      <c r="B29" s="25">
        <v>21</v>
      </c>
      <c r="C29" s="26"/>
      <c r="D29" s="30"/>
      <c r="E29" s="26"/>
      <c r="F29" s="26"/>
      <c r="G29" s="26"/>
      <c r="H29" s="27"/>
      <c r="I29" s="27"/>
      <c r="J29" s="27"/>
      <c r="K29" s="27"/>
      <c r="L29" s="28"/>
      <c r="M29" s="29"/>
      <c r="N29" s="29"/>
      <c r="O29" s="28"/>
      <c r="P29" s="25"/>
    </row>
    <row r="30" spans="1:16" ht="18" customHeight="1">
      <c r="A30" s="12"/>
      <c r="B30" s="25">
        <v>22</v>
      </c>
      <c r="C30" s="26"/>
      <c r="D30" s="30"/>
      <c r="E30" s="26"/>
      <c r="F30" s="26"/>
      <c r="G30" s="26"/>
      <c r="H30" s="27"/>
      <c r="I30" s="27"/>
      <c r="J30" s="27"/>
      <c r="K30" s="27"/>
      <c r="L30" s="28"/>
      <c r="M30" s="29"/>
      <c r="N30" s="29"/>
      <c r="O30" s="28"/>
      <c r="P30" s="25"/>
    </row>
    <row r="31" spans="1:16" ht="18" customHeight="1">
      <c r="A31" s="12"/>
      <c r="B31" s="25">
        <v>23</v>
      </c>
      <c r="C31" s="26"/>
      <c r="D31" s="30"/>
      <c r="E31" s="26"/>
      <c r="F31" s="26"/>
      <c r="G31" s="26"/>
      <c r="H31" s="27"/>
      <c r="I31" s="27"/>
      <c r="J31" s="27"/>
      <c r="K31" s="27"/>
      <c r="L31" s="28"/>
      <c r="M31" s="29"/>
      <c r="N31" s="29"/>
      <c r="O31" s="28"/>
      <c r="P31" s="25"/>
    </row>
    <row r="32" spans="1:16" ht="18" customHeight="1">
      <c r="A32" s="12"/>
      <c r="B32" s="25">
        <v>24</v>
      </c>
      <c r="C32" s="26"/>
      <c r="D32" s="30"/>
      <c r="E32" s="26"/>
      <c r="F32" s="26"/>
      <c r="G32" s="26"/>
      <c r="H32" s="27"/>
      <c r="I32" s="27"/>
      <c r="J32" s="27"/>
      <c r="K32" s="27"/>
      <c r="L32" s="28"/>
      <c r="M32" s="29"/>
      <c r="N32" s="29"/>
      <c r="O32" s="28"/>
      <c r="P32" s="25"/>
    </row>
    <row r="33" spans="1:16" ht="18" customHeight="1">
      <c r="A33" s="12"/>
      <c r="B33" s="25">
        <v>25</v>
      </c>
      <c r="C33" s="26"/>
      <c r="D33" s="30"/>
      <c r="E33" s="26"/>
      <c r="F33" s="26"/>
      <c r="G33" s="26"/>
      <c r="H33" s="27"/>
      <c r="I33" s="27"/>
      <c r="J33" s="27"/>
      <c r="K33" s="27"/>
      <c r="L33" s="28"/>
      <c r="M33" s="29"/>
      <c r="N33" s="29"/>
      <c r="O33" s="28"/>
      <c r="P33" s="25"/>
    </row>
    <row r="34" spans="1:16" ht="18" customHeight="1">
      <c r="A34" s="12"/>
      <c r="B34" s="25">
        <v>26</v>
      </c>
      <c r="C34" s="26"/>
      <c r="D34" s="30"/>
      <c r="E34" s="26"/>
      <c r="F34" s="26"/>
      <c r="G34" s="26"/>
      <c r="H34" s="27"/>
      <c r="I34" s="27"/>
      <c r="J34" s="27"/>
      <c r="K34" s="27"/>
      <c r="L34" s="28"/>
      <c r="M34" s="29"/>
      <c r="N34" s="29"/>
      <c r="O34" s="28"/>
      <c r="P34" s="25"/>
    </row>
    <row r="35" spans="1:16" ht="18" customHeight="1">
      <c r="A35" s="12"/>
      <c r="B35" s="25">
        <v>27</v>
      </c>
      <c r="C35" s="26"/>
      <c r="D35" s="30"/>
      <c r="E35" s="26"/>
      <c r="F35" s="26"/>
      <c r="G35" s="26"/>
      <c r="H35" s="27"/>
      <c r="I35" s="27"/>
      <c r="J35" s="27"/>
      <c r="K35" s="27"/>
      <c r="L35" s="28"/>
      <c r="M35" s="29"/>
      <c r="N35" s="29"/>
      <c r="O35" s="28"/>
      <c r="P35" s="25"/>
    </row>
    <row r="36" spans="1:16" ht="18" customHeight="1">
      <c r="A36" s="12"/>
      <c r="B36" s="25">
        <v>28</v>
      </c>
      <c r="C36" s="26"/>
      <c r="D36" s="30"/>
      <c r="E36" s="26"/>
      <c r="F36" s="26"/>
      <c r="G36" s="26"/>
      <c r="H36" s="27"/>
      <c r="I36" s="27"/>
      <c r="J36" s="27"/>
      <c r="K36" s="27"/>
      <c r="L36" s="28"/>
      <c r="M36" s="29"/>
      <c r="N36" s="29"/>
      <c r="O36" s="28"/>
      <c r="P36" s="25"/>
    </row>
    <row r="37" spans="1:16" ht="18" customHeight="1">
      <c r="A37" s="12"/>
      <c r="B37" s="25">
        <v>29</v>
      </c>
      <c r="C37" s="26"/>
      <c r="D37" s="30"/>
      <c r="E37" s="26"/>
      <c r="F37" s="26"/>
      <c r="G37" s="26"/>
      <c r="H37" s="27"/>
      <c r="I37" s="27"/>
      <c r="J37" s="27"/>
      <c r="K37" s="27"/>
      <c r="L37" s="28"/>
      <c r="M37" s="29"/>
      <c r="N37" s="29"/>
      <c r="O37" s="28"/>
      <c r="P37" s="25"/>
    </row>
    <row r="38" spans="1:16" ht="18" customHeight="1">
      <c r="A38" s="12"/>
      <c r="B38" s="25">
        <v>30</v>
      </c>
      <c r="C38" s="26"/>
      <c r="D38" s="30"/>
      <c r="E38" s="26"/>
      <c r="F38" s="26"/>
      <c r="G38" s="26"/>
      <c r="H38" s="27"/>
      <c r="I38" s="27"/>
      <c r="J38" s="27"/>
      <c r="K38" s="27"/>
      <c r="L38" s="28"/>
      <c r="M38" s="29"/>
      <c r="N38" s="29"/>
      <c r="O38" s="28"/>
      <c r="P38" s="25"/>
    </row>
    <row r="39" spans="1:16" ht="18" customHeight="1">
      <c r="A39" s="12"/>
      <c r="B39" s="25">
        <v>31</v>
      </c>
      <c r="C39" s="26"/>
      <c r="D39" s="30"/>
      <c r="E39" s="26"/>
      <c r="F39" s="26"/>
      <c r="G39" s="26"/>
      <c r="H39" s="27"/>
      <c r="I39" s="27"/>
      <c r="J39" s="27"/>
      <c r="K39" s="27"/>
      <c r="L39" s="28"/>
      <c r="M39" s="29"/>
      <c r="N39" s="29"/>
      <c r="O39" s="28"/>
      <c r="P39" s="25"/>
    </row>
    <row r="40" spans="1:16" ht="18" customHeight="1">
      <c r="A40" s="12"/>
      <c r="B40" s="25">
        <v>32</v>
      </c>
      <c r="C40" s="26"/>
      <c r="D40" s="30"/>
      <c r="E40" s="26"/>
      <c r="F40" s="26"/>
      <c r="G40" s="26"/>
      <c r="H40" s="27"/>
      <c r="I40" s="27"/>
      <c r="J40" s="27"/>
      <c r="K40" s="27"/>
      <c r="L40" s="28"/>
      <c r="M40" s="29"/>
      <c r="N40" s="29"/>
      <c r="O40" s="28"/>
      <c r="P40" s="25"/>
    </row>
    <row r="41" spans="1:16" ht="18" customHeight="1">
      <c r="A41" s="12"/>
      <c r="B41" s="25">
        <v>33</v>
      </c>
      <c r="C41" s="26"/>
      <c r="D41" s="30"/>
      <c r="E41" s="26"/>
      <c r="F41" s="26"/>
      <c r="G41" s="26"/>
      <c r="H41" s="27"/>
      <c r="I41" s="27"/>
      <c r="J41" s="27"/>
      <c r="K41" s="27"/>
      <c r="L41" s="28"/>
      <c r="M41" s="29"/>
      <c r="N41" s="29"/>
      <c r="O41" s="28"/>
      <c r="P41" s="25"/>
    </row>
    <row r="42" spans="1:16" ht="18" customHeight="1">
      <c r="A42" s="12"/>
      <c r="B42" s="25">
        <v>34</v>
      </c>
      <c r="C42" s="26"/>
      <c r="D42" s="30"/>
      <c r="E42" s="26"/>
      <c r="F42" s="26"/>
      <c r="G42" s="26"/>
      <c r="H42" s="27"/>
      <c r="I42" s="27"/>
      <c r="J42" s="27"/>
      <c r="K42" s="27"/>
      <c r="L42" s="28"/>
      <c r="M42" s="29"/>
      <c r="N42" s="29"/>
      <c r="O42" s="28"/>
      <c r="P42" s="25"/>
    </row>
    <row r="43" spans="1:16" ht="18" customHeight="1">
      <c r="A43" s="12"/>
      <c r="B43" s="25">
        <v>35</v>
      </c>
      <c r="C43" s="26"/>
      <c r="D43" s="30"/>
      <c r="E43" s="26"/>
      <c r="F43" s="26"/>
      <c r="G43" s="26"/>
      <c r="H43" s="27"/>
      <c r="I43" s="27"/>
      <c r="J43" s="27"/>
      <c r="K43" s="27"/>
      <c r="L43" s="28"/>
      <c r="M43" s="29"/>
      <c r="N43" s="29"/>
      <c r="O43" s="28"/>
      <c r="P43" s="25"/>
    </row>
    <row r="44" spans="1:16" ht="18" customHeight="1">
      <c r="A44" s="12"/>
      <c r="B44" s="25">
        <v>36</v>
      </c>
      <c r="C44" s="26"/>
      <c r="D44" s="30"/>
      <c r="E44" s="26"/>
      <c r="F44" s="26"/>
      <c r="G44" s="26"/>
      <c r="H44" s="27"/>
      <c r="I44" s="27"/>
      <c r="J44" s="27"/>
      <c r="K44" s="27"/>
      <c r="L44" s="28"/>
      <c r="M44" s="29"/>
      <c r="N44" s="29"/>
      <c r="O44" s="28"/>
      <c r="P44" s="25"/>
    </row>
    <row r="45" spans="1:16" ht="18" customHeight="1">
      <c r="A45" s="12"/>
      <c r="B45" s="25">
        <v>37</v>
      </c>
      <c r="C45" s="26"/>
      <c r="D45" s="30"/>
      <c r="E45" s="26"/>
      <c r="F45" s="26"/>
      <c r="G45" s="26"/>
      <c r="H45" s="27"/>
      <c r="I45" s="27"/>
      <c r="J45" s="27"/>
      <c r="K45" s="27"/>
      <c r="L45" s="28"/>
      <c r="M45" s="29"/>
      <c r="N45" s="29"/>
      <c r="O45" s="28"/>
      <c r="P45" s="25"/>
    </row>
    <row r="46" spans="1:16" ht="18" customHeight="1">
      <c r="A46" s="12"/>
      <c r="B46" s="25">
        <v>38</v>
      </c>
      <c r="C46" s="26"/>
      <c r="D46" s="30"/>
      <c r="E46" s="26"/>
      <c r="F46" s="26"/>
      <c r="G46" s="26"/>
      <c r="H46" s="27"/>
      <c r="I46" s="27"/>
      <c r="J46" s="27"/>
      <c r="K46" s="27"/>
      <c r="L46" s="28"/>
      <c r="M46" s="29"/>
      <c r="N46" s="29"/>
      <c r="O46" s="28"/>
      <c r="P46" s="25"/>
    </row>
    <row r="47" spans="1:16" ht="18" customHeight="1">
      <c r="A47" s="12"/>
      <c r="B47" s="25">
        <v>39</v>
      </c>
      <c r="C47" s="26"/>
      <c r="D47" s="30"/>
      <c r="E47" s="26"/>
      <c r="F47" s="26"/>
      <c r="G47" s="26"/>
      <c r="H47" s="27"/>
      <c r="I47" s="27"/>
      <c r="J47" s="27"/>
      <c r="K47" s="27"/>
      <c r="L47" s="28"/>
      <c r="M47" s="29"/>
      <c r="N47" s="29"/>
      <c r="O47" s="28"/>
      <c r="P47" s="25"/>
    </row>
    <row r="48" spans="1:16" ht="18" customHeight="1">
      <c r="A48" s="12"/>
      <c r="B48" s="25">
        <v>40</v>
      </c>
      <c r="C48" s="26"/>
      <c r="D48" s="30"/>
      <c r="E48" s="26"/>
      <c r="F48" s="26"/>
      <c r="G48" s="26"/>
      <c r="H48" s="27"/>
      <c r="I48" s="27"/>
      <c r="J48" s="27"/>
      <c r="K48" s="27"/>
      <c r="L48" s="28"/>
      <c r="M48" s="29"/>
      <c r="N48" s="29"/>
      <c r="O48" s="28"/>
      <c r="P48" s="25"/>
    </row>
    <row r="49" spans="1:16" ht="18" customHeight="1">
      <c r="A49" s="12"/>
      <c r="B49" s="25">
        <v>41</v>
      </c>
      <c r="C49" s="26"/>
      <c r="D49" s="30"/>
      <c r="E49" s="26"/>
      <c r="F49" s="26"/>
      <c r="G49" s="26"/>
      <c r="H49" s="27"/>
      <c r="I49" s="27"/>
      <c r="J49" s="27"/>
      <c r="K49" s="27"/>
      <c r="L49" s="28"/>
      <c r="M49" s="29"/>
      <c r="N49" s="29"/>
      <c r="O49" s="28"/>
      <c r="P49" s="25"/>
    </row>
    <row r="50" spans="1:16" ht="18" customHeight="1">
      <c r="A50" s="12"/>
      <c r="B50" s="25">
        <v>42</v>
      </c>
      <c r="C50" s="26"/>
      <c r="D50" s="30"/>
      <c r="E50" s="26"/>
      <c r="F50" s="26"/>
      <c r="G50" s="26"/>
      <c r="H50" s="27"/>
      <c r="I50" s="27"/>
      <c r="J50" s="27"/>
      <c r="K50" s="27"/>
      <c r="L50" s="28"/>
      <c r="M50" s="29"/>
      <c r="N50" s="29"/>
      <c r="O50" s="28"/>
      <c r="P50" s="25"/>
    </row>
    <row r="51" spans="1:16" ht="18" customHeight="1">
      <c r="A51" s="12"/>
      <c r="B51" s="25">
        <v>43</v>
      </c>
      <c r="C51" s="26"/>
      <c r="D51" s="30"/>
      <c r="E51" s="26"/>
      <c r="F51" s="26"/>
      <c r="G51" s="26"/>
      <c r="H51" s="27"/>
      <c r="I51" s="27"/>
      <c r="J51" s="27"/>
      <c r="K51" s="27"/>
      <c r="L51" s="28"/>
      <c r="M51" s="29"/>
      <c r="N51" s="29"/>
      <c r="O51" s="28"/>
      <c r="P51" s="25"/>
    </row>
    <row r="52" spans="1:16" ht="18" customHeight="1">
      <c r="A52" s="12"/>
      <c r="B52" s="25">
        <v>44</v>
      </c>
      <c r="C52" s="26"/>
      <c r="D52" s="30"/>
      <c r="E52" s="26"/>
      <c r="F52" s="26"/>
      <c r="G52" s="26"/>
      <c r="H52" s="27"/>
      <c r="I52" s="27"/>
      <c r="J52" s="27"/>
      <c r="K52" s="27"/>
      <c r="L52" s="28"/>
      <c r="M52" s="29"/>
      <c r="N52" s="29"/>
      <c r="O52" s="28"/>
      <c r="P52" s="25"/>
    </row>
    <row r="53" spans="1:16" ht="18" customHeight="1">
      <c r="A53" s="12"/>
      <c r="B53" s="25">
        <v>45</v>
      </c>
      <c r="C53" s="26"/>
      <c r="D53" s="30"/>
      <c r="E53" s="26"/>
      <c r="F53" s="26"/>
      <c r="G53" s="26"/>
      <c r="H53" s="27"/>
      <c r="I53" s="27"/>
      <c r="J53" s="27"/>
      <c r="K53" s="27"/>
      <c r="L53" s="28"/>
      <c r="M53" s="29"/>
      <c r="N53" s="29"/>
      <c r="O53" s="28"/>
      <c r="P53" s="25"/>
    </row>
    <row r="54" spans="1:16" ht="18" customHeight="1">
      <c r="A54" s="12"/>
      <c r="B54" s="25">
        <v>46</v>
      </c>
      <c r="C54" s="26"/>
      <c r="D54" s="30"/>
      <c r="E54" s="26"/>
      <c r="F54" s="26"/>
      <c r="G54" s="26"/>
      <c r="H54" s="27"/>
      <c r="I54" s="27"/>
      <c r="J54" s="27"/>
      <c r="K54" s="27"/>
      <c r="L54" s="28"/>
      <c r="M54" s="29"/>
      <c r="N54" s="29"/>
      <c r="O54" s="28"/>
      <c r="P54" s="25"/>
    </row>
    <row r="55" spans="1:16" ht="18" customHeight="1">
      <c r="A55" s="12"/>
      <c r="B55" s="25">
        <v>47</v>
      </c>
      <c r="C55" s="26"/>
      <c r="D55" s="30"/>
      <c r="E55" s="26"/>
      <c r="F55" s="26"/>
      <c r="G55" s="26"/>
      <c r="H55" s="27"/>
      <c r="I55" s="27"/>
      <c r="J55" s="27"/>
      <c r="K55" s="27"/>
      <c r="L55" s="28"/>
      <c r="M55" s="29"/>
      <c r="N55" s="29"/>
      <c r="O55" s="28"/>
      <c r="P55" s="25"/>
    </row>
    <row r="56" spans="1:16" ht="18" customHeight="1">
      <c r="A56" s="12"/>
      <c r="B56" s="25">
        <v>48</v>
      </c>
      <c r="C56" s="26"/>
      <c r="D56" s="30"/>
      <c r="E56" s="26"/>
      <c r="F56" s="26"/>
      <c r="G56" s="26"/>
      <c r="H56" s="27"/>
      <c r="I56" s="27"/>
      <c r="J56" s="27"/>
      <c r="K56" s="27"/>
      <c r="L56" s="28"/>
      <c r="M56" s="29"/>
      <c r="N56" s="29"/>
      <c r="O56" s="28"/>
      <c r="P56" s="25"/>
    </row>
    <row r="57" spans="1:16" ht="18" customHeight="1">
      <c r="A57" s="12"/>
      <c r="B57" s="25">
        <v>49</v>
      </c>
      <c r="C57" s="26"/>
      <c r="D57" s="30"/>
      <c r="E57" s="26"/>
      <c r="F57" s="26"/>
      <c r="G57" s="26"/>
      <c r="H57" s="27"/>
      <c r="I57" s="27"/>
      <c r="J57" s="27"/>
      <c r="K57" s="27"/>
      <c r="L57" s="28"/>
      <c r="M57" s="29"/>
      <c r="N57" s="29"/>
      <c r="O57" s="28"/>
      <c r="P57" s="25"/>
    </row>
    <row r="58" spans="1:16" ht="18" customHeight="1">
      <c r="A58" s="12"/>
      <c r="B58" s="25">
        <v>50</v>
      </c>
      <c r="C58" s="26"/>
      <c r="D58" s="30"/>
      <c r="E58" s="26"/>
      <c r="F58" s="26"/>
      <c r="G58" s="26"/>
      <c r="H58" s="27"/>
      <c r="I58" s="27"/>
      <c r="J58" s="27"/>
      <c r="K58" s="27"/>
      <c r="L58" s="28"/>
      <c r="M58" s="29"/>
      <c r="N58" s="29"/>
      <c r="O58" s="28"/>
      <c r="P58" s="25"/>
    </row>
    <row r="59" spans="1:16" ht="18" customHeight="1">
      <c r="A59" s="12"/>
      <c r="B59" s="25">
        <v>51</v>
      </c>
      <c r="C59" s="26"/>
      <c r="D59" s="30"/>
      <c r="E59" s="26"/>
      <c r="F59" s="26"/>
      <c r="G59" s="26"/>
      <c r="H59" s="27"/>
      <c r="I59" s="27"/>
      <c r="J59" s="27"/>
      <c r="K59" s="27"/>
      <c r="L59" s="28"/>
      <c r="M59" s="29"/>
      <c r="N59" s="29"/>
      <c r="O59" s="28"/>
      <c r="P59" s="25"/>
    </row>
    <row r="60" spans="1:16" ht="18" customHeight="1">
      <c r="A60" s="12"/>
      <c r="B60" s="25">
        <v>52</v>
      </c>
      <c r="C60" s="26"/>
      <c r="D60" s="30"/>
      <c r="E60" s="26"/>
      <c r="F60" s="26"/>
      <c r="G60" s="26"/>
      <c r="H60" s="27"/>
      <c r="I60" s="27"/>
      <c r="J60" s="27"/>
      <c r="K60" s="27"/>
      <c r="L60" s="28"/>
      <c r="M60" s="29"/>
      <c r="N60" s="29"/>
      <c r="O60" s="28"/>
      <c r="P60" s="25"/>
    </row>
    <row r="61" spans="1:16" ht="18" customHeight="1">
      <c r="A61" s="12"/>
      <c r="B61" s="25">
        <v>53</v>
      </c>
      <c r="C61" s="26"/>
      <c r="D61" s="30"/>
      <c r="E61" s="26"/>
      <c r="F61" s="26"/>
      <c r="G61" s="26"/>
      <c r="H61" s="27"/>
      <c r="I61" s="27"/>
      <c r="J61" s="27"/>
      <c r="K61" s="27"/>
      <c r="L61" s="28"/>
      <c r="M61" s="29"/>
      <c r="N61" s="29"/>
      <c r="O61" s="28"/>
      <c r="P61" s="25"/>
    </row>
    <row r="62" spans="1:16" ht="18" customHeight="1">
      <c r="A62" s="12"/>
      <c r="B62" s="25">
        <v>54</v>
      </c>
      <c r="C62" s="26"/>
      <c r="D62" s="30"/>
      <c r="E62" s="26"/>
      <c r="F62" s="26"/>
      <c r="G62" s="26"/>
      <c r="H62" s="27"/>
      <c r="I62" s="27"/>
      <c r="J62" s="27"/>
      <c r="K62" s="27"/>
      <c r="L62" s="28"/>
      <c r="M62" s="29"/>
      <c r="N62" s="29"/>
      <c r="O62" s="28"/>
      <c r="P62" s="25"/>
    </row>
    <row r="63" spans="1:16" ht="18" customHeight="1">
      <c r="A63" s="12"/>
      <c r="B63" s="25">
        <v>55</v>
      </c>
      <c r="C63" s="26"/>
      <c r="D63" s="30"/>
      <c r="E63" s="26"/>
      <c r="F63" s="26"/>
      <c r="G63" s="26"/>
      <c r="H63" s="27"/>
      <c r="I63" s="27"/>
      <c r="J63" s="27"/>
      <c r="K63" s="27"/>
      <c r="L63" s="28"/>
      <c r="M63" s="29"/>
      <c r="N63" s="29"/>
      <c r="O63" s="28"/>
      <c r="P63" s="25"/>
    </row>
    <row r="64" spans="1:16" ht="18" customHeight="1">
      <c r="A64" s="12"/>
      <c r="B64" s="25">
        <v>56</v>
      </c>
      <c r="C64" s="26"/>
      <c r="D64" s="30"/>
      <c r="E64" s="26"/>
      <c r="F64" s="26"/>
      <c r="G64" s="26"/>
      <c r="H64" s="27"/>
      <c r="I64" s="27"/>
      <c r="J64" s="27"/>
      <c r="K64" s="27"/>
      <c r="L64" s="28"/>
      <c r="M64" s="29"/>
      <c r="N64" s="29"/>
      <c r="O64" s="28"/>
      <c r="P64" s="25"/>
    </row>
    <row r="65" spans="1:16" ht="18" customHeight="1">
      <c r="A65" s="12"/>
      <c r="B65" s="25">
        <v>57</v>
      </c>
      <c r="C65" s="26"/>
      <c r="D65" s="30"/>
      <c r="E65" s="26"/>
      <c r="F65" s="26"/>
      <c r="G65" s="26"/>
      <c r="H65" s="27"/>
      <c r="I65" s="27"/>
      <c r="J65" s="27"/>
      <c r="K65" s="27"/>
      <c r="L65" s="28"/>
      <c r="M65" s="29"/>
      <c r="N65" s="29"/>
      <c r="O65" s="28"/>
      <c r="P65" s="25"/>
    </row>
    <row r="66" spans="1:16" ht="18" customHeight="1">
      <c r="A66" s="12"/>
      <c r="B66" s="25">
        <v>58</v>
      </c>
      <c r="C66" s="26"/>
      <c r="D66" s="30"/>
      <c r="E66" s="26"/>
      <c r="F66" s="26"/>
      <c r="G66" s="26"/>
      <c r="H66" s="27"/>
      <c r="I66" s="27"/>
      <c r="J66" s="27"/>
      <c r="K66" s="27"/>
      <c r="L66" s="28"/>
      <c r="M66" s="29"/>
      <c r="N66" s="29"/>
      <c r="O66" s="28"/>
      <c r="P66" s="25"/>
    </row>
    <row r="67" spans="1:16" ht="18" customHeight="1">
      <c r="A67" s="12"/>
      <c r="B67" s="25">
        <v>59</v>
      </c>
      <c r="C67" s="26"/>
      <c r="D67" s="30"/>
      <c r="E67" s="26"/>
      <c r="F67" s="26"/>
      <c r="G67" s="26"/>
      <c r="H67" s="27"/>
      <c r="I67" s="27"/>
      <c r="J67" s="27"/>
      <c r="K67" s="27"/>
      <c r="L67" s="28"/>
      <c r="M67" s="29"/>
      <c r="N67" s="29"/>
      <c r="O67" s="28"/>
      <c r="P67" s="25"/>
    </row>
    <row r="68" spans="1:16" ht="18" customHeight="1">
      <c r="A68" s="12"/>
      <c r="B68" s="25">
        <v>60</v>
      </c>
      <c r="C68" s="26"/>
      <c r="D68" s="30"/>
      <c r="E68" s="26"/>
      <c r="F68" s="26"/>
      <c r="G68" s="26"/>
      <c r="H68" s="27"/>
      <c r="I68" s="27"/>
      <c r="J68" s="27"/>
      <c r="K68" s="27"/>
      <c r="L68" s="28"/>
      <c r="M68" s="29"/>
      <c r="N68" s="29"/>
      <c r="O68" s="28"/>
      <c r="P68" s="25"/>
    </row>
    <row r="69" spans="1:16" ht="18" customHeight="1">
      <c r="A69" s="12"/>
      <c r="B69" s="25">
        <v>61</v>
      </c>
      <c r="C69" s="26"/>
      <c r="D69" s="30"/>
      <c r="E69" s="26"/>
      <c r="F69" s="26"/>
      <c r="G69" s="26"/>
      <c r="H69" s="27"/>
      <c r="I69" s="27"/>
      <c r="J69" s="27"/>
      <c r="K69" s="27"/>
      <c r="L69" s="28"/>
      <c r="M69" s="29"/>
      <c r="N69" s="29"/>
      <c r="O69" s="28"/>
      <c r="P69" s="25"/>
    </row>
    <row r="70" spans="1:16" ht="18" customHeight="1">
      <c r="A70" s="12"/>
      <c r="B70" s="25">
        <v>62</v>
      </c>
      <c r="C70" s="26"/>
      <c r="D70" s="30"/>
      <c r="E70" s="26"/>
      <c r="F70" s="26"/>
      <c r="G70" s="26"/>
      <c r="H70" s="27"/>
      <c r="I70" s="27"/>
      <c r="J70" s="27"/>
      <c r="K70" s="27"/>
      <c r="L70" s="28"/>
      <c r="M70" s="29"/>
      <c r="N70" s="29"/>
      <c r="O70" s="28"/>
      <c r="P70" s="25"/>
    </row>
    <row r="71" spans="1:16" ht="18" customHeight="1">
      <c r="A71" s="12"/>
      <c r="B71" s="25">
        <v>63</v>
      </c>
      <c r="C71" s="26"/>
      <c r="D71" s="30"/>
      <c r="E71" s="26"/>
      <c r="F71" s="26"/>
      <c r="G71" s="26"/>
      <c r="H71" s="27"/>
      <c r="I71" s="27"/>
      <c r="J71" s="27"/>
      <c r="K71" s="27"/>
      <c r="L71" s="28"/>
      <c r="M71" s="29"/>
      <c r="N71" s="29"/>
      <c r="O71" s="28"/>
      <c r="P71" s="25"/>
    </row>
    <row r="72" spans="1:16" ht="18" customHeight="1">
      <c r="A72" s="12"/>
      <c r="B72" s="25">
        <v>64</v>
      </c>
      <c r="C72" s="26"/>
      <c r="D72" s="30"/>
      <c r="E72" s="26"/>
      <c r="F72" s="26"/>
      <c r="G72" s="26"/>
      <c r="H72" s="27"/>
      <c r="I72" s="27"/>
      <c r="J72" s="27"/>
      <c r="K72" s="27"/>
      <c r="L72" s="28"/>
      <c r="M72" s="29"/>
      <c r="N72" s="29"/>
      <c r="O72" s="28"/>
      <c r="P72" s="25"/>
    </row>
    <row r="73" spans="1:16" ht="18" customHeight="1">
      <c r="A73" s="12"/>
      <c r="B73" s="25">
        <v>65</v>
      </c>
      <c r="C73" s="26"/>
      <c r="D73" s="30"/>
      <c r="E73" s="26"/>
      <c r="F73" s="26"/>
      <c r="G73" s="26"/>
      <c r="H73" s="27"/>
      <c r="I73" s="27"/>
      <c r="J73" s="27"/>
      <c r="K73" s="27"/>
      <c r="L73" s="28"/>
      <c r="M73" s="29"/>
      <c r="N73" s="29"/>
      <c r="O73" s="28"/>
      <c r="P73" s="25"/>
    </row>
    <row r="74" spans="1:16" ht="18" customHeight="1">
      <c r="A74" s="12"/>
      <c r="B74" s="25">
        <v>66</v>
      </c>
      <c r="C74" s="26"/>
      <c r="D74" s="30"/>
      <c r="E74" s="26"/>
      <c r="F74" s="26"/>
      <c r="G74" s="26"/>
      <c r="H74" s="27"/>
      <c r="I74" s="27"/>
      <c r="J74" s="27"/>
      <c r="K74" s="27"/>
      <c r="L74" s="28"/>
      <c r="M74" s="29"/>
      <c r="N74" s="29"/>
      <c r="O74" s="28"/>
      <c r="P74" s="25"/>
    </row>
    <row r="75" spans="1:16" ht="18" customHeight="1">
      <c r="A75" s="12"/>
      <c r="B75" s="25">
        <v>67</v>
      </c>
      <c r="C75" s="26"/>
      <c r="D75" s="30"/>
      <c r="E75" s="26"/>
      <c r="F75" s="26"/>
      <c r="G75" s="26"/>
      <c r="H75" s="27"/>
      <c r="I75" s="27"/>
      <c r="J75" s="27"/>
      <c r="K75" s="27"/>
      <c r="L75" s="28"/>
      <c r="M75" s="29"/>
      <c r="N75" s="29"/>
      <c r="O75" s="28"/>
      <c r="P75" s="25"/>
    </row>
    <row r="76" spans="1:16" ht="18" customHeight="1">
      <c r="A76" s="12"/>
      <c r="B76" s="25">
        <v>68</v>
      </c>
      <c r="C76" s="26"/>
      <c r="D76" s="30"/>
      <c r="E76" s="26"/>
      <c r="F76" s="26"/>
      <c r="G76" s="26"/>
      <c r="H76" s="27"/>
      <c r="I76" s="27"/>
      <c r="J76" s="27"/>
      <c r="K76" s="27"/>
      <c r="L76" s="28"/>
      <c r="M76" s="29"/>
      <c r="N76" s="29"/>
      <c r="O76" s="28"/>
      <c r="P76" s="25"/>
    </row>
    <row r="77" spans="1:16" ht="18" customHeight="1">
      <c r="A77" s="12"/>
      <c r="B77" s="25">
        <v>69</v>
      </c>
      <c r="C77" s="26"/>
      <c r="D77" s="30"/>
      <c r="E77" s="26"/>
      <c r="F77" s="26"/>
      <c r="G77" s="26"/>
      <c r="H77" s="27"/>
      <c r="I77" s="27"/>
      <c r="J77" s="27"/>
      <c r="K77" s="27"/>
      <c r="L77" s="28"/>
      <c r="M77" s="29"/>
      <c r="N77" s="29"/>
      <c r="O77" s="28"/>
      <c r="P77" s="25"/>
    </row>
    <row r="78" spans="1:16" ht="18" customHeight="1">
      <c r="A78" s="12"/>
      <c r="B78" s="25">
        <v>70</v>
      </c>
      <c r="C78" s="26"/>
      <c r="D78" s="30"/>
      <c r="E78" s="26"/>
      <c r="F78" s="26"/>
      <c r="G78" s="26"/>
      <c r="H78" s="27"/>
      <c r="I78" s="27"/>
      <c r="J78" s="27"/>
      <c r="K78" s="27"/>
      <c r="L78" s="28"/>
      <c r="M78" s="29"/>
      <c r="N78" s="29"/>
      <c r="O78" s="28"/>
      <c r="P78" s="25"/>
    </row>
    <row r="79" spans="1:16" ht="18" customHeight="1">
      <c r="A79" s="12"/>
      <c r="B79" s="25">
        <v>71</v>
      </c>
      <c r="C79" s="26"/>
      <c r="D79" s="30"/>
      <c r="E79" s="26"/>
      <c r="F79" s="26"/>
      <c r="G79" s="26"/>
      <c r="H79" s="27"/>
      <c r="I79" s="27"/>
      <c r="J79" s="27"/>
      <c r="K79" s="27"/>
      <c r="L79" s="28"/>
      <c r="M79" s="29"/>
      <c r="N79" s="29"/>
      <c r="O79" s="28"/>
      <c r="P79" s="25"/>
    </row>
    <row r="80" spans="1:16" ht="18" customHeight="1">
      <c r="A80" s="12"/>
      <c r="B80" s="25">
        <v>72</v>
      </c>
      <c r="C80" s="26"/>
      <c r="D80" s="30"/>
      <c r="E80" s="26"/>
      <c r="F80" s="26"/>
      <c r="G80" s="26"/>
      <c r="H80" s="27"/>
      <c r="I80" s="27"/>
      <c r="J80" s="27"/>
      <c r="K80" s="27"/>
      <c r="L80" s="28"/>
      <c r="M80" s="29"/>
      <c r="N80" s="29"/>
      <c r="O80" s="28"/>
      <c r="P80" s="25"/>
    </row>
    <row r="81" spans="1:16" ht="18" customHeight="1">
      <c r="A81" s="12"/>
      <c r="B81" s="25">
        <v>73</v>
      </c>
      <c r="C81" s="26"/>
      <c r="D81" s="30"/>
      <c r="E81" s="26"/>
      <c r="F81" s="26"/>
      <c r="G81" s="26"/>
      <c r="H81" s="27"/>
      <c r="I81" s="27"/>
      <c r="J81" s="27"/>
      <c r="K81" s="27"/>
      <c r="L81" s="28"/>
      <c r="M81" s="29"/>
      <c r="N81" s="29"/>
      <c r="O81" s="28"/>
      <c r="P81" s="25"/>
    </row>
    <row r="82" spans="1:16" ht="18" customHeight="1">
      <c r="A82" s="12"/>
      <c r="B82" s="25">
        <v>74</v>
      </c>
      <c r="C82" s="26"/>
      <c r="D82" s="30"/>
      <c r="E82" s="26"/>
      <c r="F82" s="26"/>
      <c r="G82" s="26"/>
      <c r="H82" s="27"/>
      <c r="I82" s="27"/>
      <c r="J82" s="27"/>
      <c r="K82" s="27"/>
      <c r="L82" s="28"/>
      <c r="M82" s="29"/>
      <c r="N82" s="29"/>
      <c r="O82" s="28"/>
      <c r="P82" s="25"/>
    </row>
    <row r="83" spans="1:16" ht="18" customHeight="1">
      <c r="A83" s="12"/>
      <c r="B83" s="25">
        <v>75</v>
      </c>
      <c r="C83" s="26"/>
      <c r="D83" s="30"/>
      <c r="E83" s="26"/>
      <c r="F83" s="26"/>
      <c r="G83" s="26"/>
      <c r="H83" s="27"/>
      <c r="I83" s="27"/>
      <c r="J83" s="27"/>
      <c r="K83" s="27"/>
      <c r="L83" s="28"/>
      <c r="M83" s="29"/>
      <c r="N83" s="29"/>
      <c r="O83" s="28"/>
      <c r="P83" s="25"/>
    </row>
    <row r="84" spans="1:16" ht="18" customHeight="1">
      <c r="A84" s="12"/>
      <c r="B84" s="25">
        <v>76</v>
      </c>
      <c r="C84" s="26"/>
      <c r="D84" s="30"/>
      <c r="E84" s="26"/>
      <c r="F84" s="26"/>
      <c r="G84" s="26"/>
      <c r="H84" s="27"/>
      <c r="I84" s="27"/>
      <c r="J84" s="27"/>
      <c r="K84" s="27"/>
      <c r="L84" s="28"/>
      <c r="M84" s="29"/>
      <c r="N84" s="29"/>
      <c r="O84" s="28"/>
      <c r="P84" s="25"/>
    </row>
    <row r="85" spans="1:16" ht="18" customHeight="1">
      <c r="A85" s="12"/>
      <c r="B85" s="25">
        <v>77</v>
      </c>
      <c r="C85" s="26"/>
      <c r="D85" s="30"/>
      <c r="E85" s="26"/>
      <c r="F85" s="26"/>
      <c r="G85" s="26"/>
      <c r="H85" s="27"/>
      <c r="I85" s="27"/>
      <c r="J85" s="27"/>
      <c r="K85" s="27"/>
      <c r="L85" s="28"/>
      <c r="M85" s="29"/>
      <c r="N85" s="29"/>
      <c r="O85" s="28"/>
      <c r="P85" s="25"/>
    </row>
    <row r="86" spans="1:16" ht="18" customHeight="1">
      <c r="A86" s="12"/>
      <c r="B86" s="25">
        <v>78</v>
      </c>
      <c r="C86" s="26"/>
      <c r="D86" s="30"/>
      <c r="E86" s="26"/>
      <c r="F86" s="26"/>
      <c r="G86" s="26"/>
      <c r="H86" s="27"/>
      <c r="I86" s="27"/>
      <c r="J86" s="27"/>
      <c r="K86" s="27"/>
      <c r="L86" s="28"/>
      <c r="M86" s="29"/>
      <c r="N86" s="29"/>
      <c r="O86" s="28"/>
      <c r="P86" s="25"/>
    </row>
    <row r="87" spans="1:16" ht="18" customHeight="1">
      <c r="A87" s="12"/>
      <c r="B87" s="25">
        <v>79</v>
      </c>
      <c r="C87" s="26"/>
      <c r="D87" s="30"/>
      <c r="E87" s="26"/>
      <c r="F87" s="26"/>
      <c r="G87" s="26"/>
      <c r="H87" s="27"/>
      <c r="I87" s="27"/>
      <c r="J87" s="27"/>
      <c r="K87" s="27"/>
      <c r="L87" s="28"/>
      <c r="M87" s="29"/>
      <c r="N87" s="29"/>
      <c r="O87" s="28"/>
      <c r="P87" s="25"/>
    </row>
    <row r="88" spans="1:16" ht="18" customHeight="1">
      <c r="A88" s="12"/>
      <c r="B88" s="25">
        <v>80</v>
      </c>
      <c r="C88" s="26"/>
      <c r="D88" s="30"/>
      <c r="E88" s="26"/>
      <c r="F88" s="26"/>
      <c r="G88" s="26"/>
      <c r="H88" s="27"/>
      <c r="I88" s="27"/>
      <c r="J88" s="27"/>
      <c r="K88" s="27"/>
      <c r="L88" s="28"/>
      <c r="M88" s="29"/>
      <c r="N88" s="29"/>
      <c r="O88" s="28"/>
      <c r="P88" s="25"/>
    </row>
    <row r="89" spans="1:16" ht="18" customHeight="1">
      <c r="A89" s="12"/>
      <c r="B89" s="25">
        <v>81</v>
      </c>
      <c r="C89" s="26"/>
      <c r="D89" s="30"/>
      <c r="E89" s="26"/>
      <c r="F89" s="26"/>
      <c r="G89" s="26"/>
      <c r="H89" s="27"/>
      <c r="I89" s="27"/>
      <c r="J89" s="27"/>
      <c r="K89" s="27"/>
      <c r="L89" s="28"/>
      <c r="M89" s="29"/>
      <c r="N89" s="29"/>
      <c r="O89" s="28"/>
      <c r="P89" s="25"/>
    </row>
    <row r="90" spans="1:16" ht="18" customHeight="1">
      <c r="A90" s="12"/>
      <c r="B90" s="25">
        <v>82</v>
      </c>
      <c r="C90" s="26"/>
      <c r="D90" s="30"/>
      <c r="E90" s="26"/>
      <c r="F90" s="26"/>
      <c r="G90" s="26"/>
      <c r="H90" s="27"/>
      <c r="I90" s="27"/>
      <c r="J90" s="27"/>
      <c r="K90" s="27"/>
      <c r="L90" s="28"/>
      <c r="M90" s="29"/>
      <c r="N90" s="29"/>
      <c r="O90" s="28"/>
      <c r="P90" s="25"/>
    </row>
    <row r="91" spans="1:16" ht="18" customHeight="1">
      <c r="A91" s="12"/>
      <c r="B91" s="25">
        <v>83</v>
      </c>
      <c r="C91" s="26"/>
      <c r="D91" s="30"/>
      <c r="E91" s="26"/>
      <c r="F91" s="26"/>
      <c r="G91" s="26"/>
      <c r="H91" s="27"/>
      <c r="I91" s="27"/>
      <c r="J91" s="27"/>
      <c r="K91" s="27"/>
      <c r="L91" s="28"/>
      <c r="M91" s="29"/>
      <c r="N91" s="29"/>
      <c r="O91" s="28"/>
      <c r="P91" s="25"/>
    </row>
    <row r="92" spans="1:16" ht="18" customHeight="1">
      <c r="A92" s="12"/>
      <c r="B92" s="25">
        <v>84</v>
      </c>
      <c r="C92" s="26"/>
      <c r="D92" s="30"/>
      <c r="E92" s="26"/>
      <c r="F92" s="26"/>
      <c r="G92" s="26"/>
      <c r="H92" s="27"/>
      <c r="I92" s="27"/>
      <c r="J92" s="27"/>
      <c r="K92" s="27"/>
      <c r="L92" s="28"/>
      <c r="M92" s="29"/>
      <c r="N92" s="29"/>
      <c r="O92" s="28"/>
      <c r="P92" s="25"/>
    </row>
    <row r="93" spans="1:16" ht="18" customHeight="1">
      <c r="A93" s="12"/>
      <c r="B93" s="25">
        <v>85</v>
      </c>
      <c r="C93" s="26"/>
      <c r="D93" s="30"/>
      <c r="E93" s="26"/>
      <c r="F93" s="26"/>
      <c r="G93" s="26"/>
      <c r="H93" s="27"/>
      <c r="I93" s="27"/>
      <c r="J93" s="27"/>
      <c r="K93" s="27"/>
      <c r="L93" s="28"/>
      <c r="M93" s="29"/>
      <c r="N93" s="29"/>
      <c r="O93" s="28"/>
      <c r="P93" s="25"/>
    </row>
    <row r="94" spans="1:16" ht="18" customHeight="1">
      <c r="A94" s="12"/>
      <c r="B94" s="25">
        <v>86</v>
      </c>
      <c r="C94" s="26"/>
      <c r="D94" s="30"/>
      <c r="E94" s="26"/>
      <c r="F94" s="26"/>
      <c r="G94" s="26"/>
      <c r="H94" s="27"/>
      <c r="I94" s="27"/>
      <c r="J94" s="27"/>
      <c r="K94" s="27"/>
      <c r="L94" s="28"/>
      <c r="M94" s="29"/>
      <c r="N94" s="29"/>
      <c r="O94" s="28"/>
      <c r="P94" s="25"/>
    </row>
    <row r="95" spans="1:16" ht="18" customHeight="1">
      <c r="A95" s="12"/>
      <c r="B95" s="25">
        <v>87</v>
      </c>
      <c r="C95" s="26"/>
      <c r="D95" s="30"/>
      <c r="E95" s="26"/>
      <c r="F95" s="26"/>
      <c r="G95" s="26"/>
      <c r="H95" s="27"/>
      <c r="I95" s="27"/>
      <c r="J95" s="27"/>
      <c r="K95" s="27"/>
      <c r="L95" s="28"/>
      <c r="M95" s="29"/>
      <c r="N95" s="29"/>
      <c r="O95" s="28"/>
      <c r="P95" s="25"/>
    </row>
    <row r="96" spans="1:16" ht="18" customHeight="1">
      <c r="A96" s="12"/>
      <c r="B96" s="25">
        <v>88</v>
      </c>
      <c r="C96" s="26"/>
      <c r="D96" s="30"/>
      <c r="E96" s="26"/>
      <c r="F96" s="26"/>
      <c r="G96" s="26"/>
      <c r="H96" s="27"/>
      <c r="I96" s="27"/>
      <c r="J96" s="27"/>
      <c r="K96" s="27"/>
      <c r="L96" s="28"/>
      <c r="M96" s="29"/>
      <c r="N96" s="29"/>
      <c r="O96" s="28"/>
      <c r="P96" s="25"/>
    </row>
    <row r="97" spans="1:16" ht="18" customHeight="1">
      <c r="A97" s="12"/>
      <c r="B97" s="25">
        <v>89</v>
      </c>
      <c r="C97" s="26"/>
      <c r="D97" s="30"/>
      <c r="E97" s="26"/>
      <c r="F97" s="26"/>
      <c r="G97" s="26"/>
      <c r="H97" s="27"/>
      <c r="I97" s="27"/>
      <c r="J97" s="27"/>
      <c r="K97" s="27"/>
      <c r="L97" s="28"/>
      <c r="M97" s="29"/>
      <c r="N97" s="29"/>
      <c r="O97" s="28"/>
      <c r="P97" s="25"/>
    </row>
    <row r="98" spans="1:16" ht="18" customHeight="1">
      <c r="A98" s="12"/>
      <c r="B98" s="25">
        <v>90</v>
      </c>
      <c r="C98" s="26"/>
      <c r="D98" s="30"/>
      <c r="E98" s="26"/>
      <c r="F98" s="26"/>
      <c r="G98" s="26"/>
      <c r="H98" s="27"/>
      <c r="I98" s="27"/>
      <c r="J98" s="27"/>
      <c r="K98" s="27"/>
      <c r="L98" s="28"/>
      <c r="M98" s="29"/>
      <c r="N98" s="29"/>
      <c r="O98" s="28"/>
      <c r="P98" s="25"/>
    </row>
    <row r="99" spans="1:16" ht="18" customHeight="1">
      <c r="A99" s="12"/>
      <c r="B99" s="25">
        <v>91</v>
      </c>
      <c r="C99" s="26"/>
      <c r="D99" s="30"/>
      <c r="E99" s="26"/>
      <c r="F99" s="26"/>
      <c r="G99" s="26"/>
      <c r="H99" s="27"/>
      <c r="I99" s="27"/>
      <c r="J99" s="27"/>
      <c r="K99" s="27"/>
      <c r="L99" s="28"/>
      <c r="M99" s="29"/>
      <c r="N99" s="29"/>
      <c r="O99" s="28"/>
      <c r="P99" s="25"/>
    </row>
    <row r="100" spans="1:16" ht="18" customHeight="1">
      <c r="A100" s="12"/>
      <c r="B100" s="25">
        <v>92</v>
      </c>
      <c r="C100" s="26"/>
      <c r="D100" s="30"/>
      <c r="E100" s="26"/>
      <c r="F100" s="26"/>
      <c r="G100" s="26"/>
      <c r="H100" s="27"/>
      <c r="I100" s="27"/>
      <c r="J100" s="27"/>
      <c r="K100" s="27"/>
      <c r="L100" s="28"/>
      <c r="M100" s="29"/>
      <c r="N100" s="29"/>
      <c r="O100" s="28"/>
      <c r="P100" s="25"/>
    </row>
    <row r="101" spans="1:16" ht="18" customHeight="1">
      <c r="A101" s="12"/>
      <c r="B101" s="25">
        <v>93</v>
      </c>
      <c r="C101" s="26"/>
      <c r="D101" s="30"/>
      <c r="E101" s="26"/>
      <c r="F101" s="26"/>
      <c r="G101" s="26"/>
      <c r="H101" s="27"/>
      <c r="I101" s="27"/>
      <c r="J101" s="27"/>
      <c r="K101" s="27"/>
      <c r="L101" s="28"/>
      <c r="M101" s="29"/>
      <c r="N101" s="29"/>
      <c r="O101" s="28"/>
      <c r="P101" s="25"/>
    </row>
    <row r="102" spans="1:16" ht="18" customHeight="1">
      <c r="A102" s="12"/>
      <c r="B102" s="25">
        <v>94</v>
      </c>
      <c r="C102" s="26"/>
      <c r="D102" s="30"/>
      <c r="E102" s="26"/>
      <c r="F102" s="26"/>
      <c r="G102" s="26"/>
      <c r="H102" s="27"/>
      <c r="I102" s="27"/>
      <c r="J102" s="27"/>
      <c r="K102" s="27"/>
      <c r="L102" s="28"/>
      <c r="M102" s="29"/>
      <c r="N102" s="29"/>
      <c r="O102" s="28"/>
      <c r="P102" s="25"/>
    </row>
    <row r="103" spans="1:16" ht="18" customHeight="1">
      <c r="A103" s="12"/>
      <c r="B103" s="25">
        <v>95</v>
      </c>
      <c r="C103" s="26"/>
      <c r="D103" s="30"/>
      <c r="E103" s="26"/>
      <c r="F103" s="26"/>
      <c r="G103" s="26"/>
      <c r="H103" s="27"/>
      <c r="I103" s="27"/>
      <c r="J103" s="27"/>
      <c r="K103" s="27"/>
      <c r="L103" s="28"/>
      <c r="M103" s="29"/>
      <c r="N103" s="29"/>
      <c r="O103" s="28"/>
      <c r="P103" s="25"/>
    </row>
    <row r="104" spans="1:16" ht="18" customHeight="1">
      <c r="A104" s="12"/>
      <c r="B104" s="25">
        <v>96</v>
      </c>
      <c r="C104" s="26"/>
      <c r="D104" s="30"/>
      <c r="E104" s="26"/>
      <c r="F104" s="26"/>
      <c r="G104" s="26"/>
      <c r="H104" s="27"/>
      <c r="I104" s="27"/>
      <c r="J104" s="27"/>
      <c r="K104" s="27"/>
      <c r="L104" s="28"/>
      <c r="M104" s="29"/>
      <c r="N104" s="29"/>
      <c r="O104" s="28"/>
      <c r="P104" s="25"/>
    </row>
    <row r="105" spans="1:16" ht="18" customHeight="1">
      <c r="A105" s="12"/>
      <c r="B105" s="25">
        <v>97</v>
      </c>
      <c r="C105" s="26"/>
      <c r="D105" s="30"/>
      <c r="E105" s="26"/>
      <c r="F105" s="26"/>
      <c r="G105" s="26"/>
      <c r="H105" s="27"/>
      <c r="I105" s="27"/>
      <c r="J105" s="27"/>
      <c r="K105" s="27"/>
      <c r="L105" s="28"/>
      <c r="M105" s="29"/>
      <c r="N105" s="29"/>
      <c r="O105" s="28"/>
      <c r="P105" s="25"/>
    </row>
    <row r="106" spans="1:16" ht="18" customHeight="1">
      <c r="A106" s="12"/>
      <c r="B106" s="25">
        <v>98</v>
      </c>
      <c r="C106" s="26"/>
      <c r="D106" s="30"/>
      <c r="E106" s="26"/>
      <c r="F106" s="26"/>
      <c r="G106" s="26"/>
      <c r="H106" s="27"/>
      <c r="I106" s="27"/>
      <c r="J106" s="27"/>
      <c r="K106" s="27"/>
      <c r="L106" s="28"/>
      <c r="M106" s="29"/>
      <c r="N106" s="29"/>
      <c r="O106" s="28"/>
      <c r="P106" s="25"/>
    </row>
    <row r="107" spans="1:16" ht="18" customHeight="1">
      <c r="A107" s="12"/>
      <c r="B107" s="25">
        <v>99</v>
      </c>
      <c r="C107" s="26"/>
      <c r="D107" s="30"/>
      <c r="E107" s="26"/>
      <c r="F107" s="26"/>
      <c r="G107" s="26"/>
      <c r="H107" s="27"/>
      <c r="I107" s="27"/>
      <c r="J107" s="27"/>
      <c r="K107" s="27"/>
      <c r="L107" s="28"/>
      <c r="M107" s="29"/>
      <c r="N107" s="29"/>
      <c r="O107" s="28"/>
      <c r="P107" s="25"/>
    </row>
    <row r="108" spans="1:16" ht="18" customHeight="1">
      <c r="A108" s="12"/>
      <c r="B108" s="25">
        <v>100</v>
      </c>
      <c r="C108" s="26"/>
      <c r="D108" s="30"/>
      <c r="E108" s="26"/>
      <c r="F108" s="26"/>
      <c r="G108" s="26"/>
      <c r="H108" s="27"/>
      <c r="I108" s="27"/>
      <c r="J108" s="27"/>
      <c r="K108" s="27"/>
      <c r="L108" s="28"/>
      <c r="M108" s="29"/>
      <c r="N108" s="29"/>
      <c r="O108" s="28"/>
      <c r="P108" s="25"/>
    </row>
    <row r="109" spans="1:16" ht="15" customHeight="1">
      <c r="B109" s="25">
        <v>101</v>
      </c>
      <c r="C109" s="26"/>
      <c r="D109" s="30"/>
      <c r="E109" s="26"/>
      <c r="F109" s="26"/>
      <c r="G109" s="26"/>
      <c r="H109" s="27"/>
      <c r="I109" s="27"/>
      <c r="J109" s="27"/>
      <c r="K109" s="27"/>
      <c r="L109" s="28"/>
      <c r="M109" s="29"/>
      <c r="N109" s="29"/>
      <c r="O109" s="28"/>
      <c r="P109" s="25"/>
    </row>
    <row r="110" spans="1:16" ht="15" customHeight="1">
      <c r="B110" s="25">
        <v>102</v>
      </c>
      <c r="C110" s="26"/>
      <c r="D110" s="30"/>
      <c r="E110" s="26"/>
      <c r="F110" s="26"/>
      <c r="G110" s="26"/>
      <c r="H110" s="27"/>
      <c r="I110" s="27"/>
      <c r="J110" s="27"/>
      <c r="K110" s="27"/>
      <c r="L110" s="28"/>
      <c r="M110" s="29"/>
      <c r="N110" s="29"/>
      <c r="O110" s="28"/>
      <c r="P110" s="25"/>
    </row>
    <row r="111" spans="1:16" ht="15" customHeight="1">
      <c r="B111" s="25">
        <v>103</v>
      </c>
      <c r="C111" s="26"/>
      <c r="D111" s="30"/>
      <c r="E111" s="26"/>
      <c r="F111" s="26"/>
      <c r="G111" s="26"/>
      <c r="H111" s="27"/>
      <c r="I111" s="27"/>
      <c r="J111" s="27"/>
      <c r="K111" s="27"/>
      <c r="L111" s="28"/>
      <c r="M111" s="29"/>
      <c r="N111" s="29"/>
      <c r="O111" s="28"/>
      <c r="P111" s="25"/>
    </row>
    <row r="112" spans="1:16" ht="15" customHeight="1">
      <c r="B112" s="25">
        <v>104</v>
      </c>
      <c r="C112" s="26"/>
      <c r="D112" s="30"/>
      <c r="E112" s="26"/>
      <c r="F112" s="26"/>
      <c r="G112" s="26"/>
      <c r="H112" s="27"/>
      <c r="I112" s="27"/>
      <c r="J112" s="27"/>
      <c r="K112" s="27"/>
      <c r="L112" s="28"/>
      <c r="M112" s="29"/>
      <c r="N112" s="29"/>
      <c r="O112" s="28"/>
      <c r="P112" s="25"/>
    </row>
    <row r="113" spans="2:16" ht="15" customHeight="1">
      <c r="B113" s="25">
        <v>105</v>
      </c>
      <c r="C113" s="26"/>
      <c r="D113" s="30"/>
      <c r="E113" s="26"/>
      <c r="F113" s="26"/>
      <c r="G113" s="26"/>
      <c r="H113" s="27"/>
      <c r="I113" s="27"/>
      <c r="J113" s="27"/>
      <c r="K113" s="27"/>
      <c r="L113" s="28"/>
      <c r="M113" s="29"/>
      <c r="N113" s="29"/>
      <c r="O113" s="28"/>
      <c r="P113" s="25"/>
    </row>
    <row r="114" spans="2:16" ht="15" customHeight="1">
      <c r="B114" s="25">
        <v>106</v>
      </c>
      <c r="C114" s="26"/>
      <c r="D114" s="30"/>
      <c r="E114" s="26"/>
      <c r="F114" s="26"/>
      <c r="G114" s="26"/>
      <c r="H114" s="27"/>
      <c r="I114" s="27"/>
      <c r="J114" s="27"/>
      <c r="K114" s="27"/>
      <c r="L114" s="28"/>
      <c r="M114" s="29"/>
      <c r="N114" s="29"/>
      <c r="O114" s="28"/>
      <c r="P114" s="25"/>
    </row>
    <row r="115" spans="2:16" ht="15" customHeight="1">
      <c r="B115" s="25">
        <v>107</v>
      </c>
      <c r="C115" s="26"/>
      <c r="D115" s="30"/>
      <c r="E115" s="26"/>
      <c r="F115" s="26"/>
      <c r="G115" s="26"/>
      <c r="H115" s="27"/>
      <c r="I115" s="27"/>
      <c r="J115" s="27"/>
      <c r="K115" s="27"/>
      <c r="L115" s="28"/>
      <c r="M115" s="29"/>
      <c r="N115" s="29"/>
      <c r="O115" s="28"/>
      <c r="P115" s="25"/>
    </row>
    <row r="116" spans="2:16" ht="15" customHeight="1">
      <c r="B116" s="25">
        <v>108</v>
      </c>
      <c r="C116" s="26"/>
      <c r="D116" s="30"/>
      <c r="E116" s="26"/>
      <c r="F116" s="26"/>
      <c r="G116" s="26"/>
      <c r="H116" s="27"/>
      <c r="I116" s="27"/>
      <c r="J116" s="27"/>
      <c r="K116" s="27"/>
      <c r="L116" s="28"/>
      <c r="M116" s="29"/>
      <c r="N116" s="29"/>
      <c r="O116" s="28"/>
      <c r="P116" s="25"/>
    </row>
    <row r="117" spans="2:16" ht="15" customHeight="1">
      <c r="B117" s="25">
        <v>109</v>
      </c>
      <c r="C117" s="26"/>
      <c r="D117" s="30"/>
      <c r="E117" s="26"/>
      <c r="F117" s="26"/>
      <c r="G117" s="26"/>
      <c r="H117" s="27"/>
      <c r="I117" s="27"/>
      <c r="J117" s="27"/>
      <c r="K117" s="27"/>
      <c r="L117" s="28"/>
      <c r="M117" s="29"/>
      <c r="N117" s="29"/>
      <c r="O117" s="28"/>
      <c r="P117" s="25"/>
    </row>
    <row r="118" spans="2:16" ht="15" customHeight="1">
      <c r="B118" s="25">
        <v>110</v>
      </c>
      <c r="C118" s="26"/>
      <c r="D118" s="30"/>
      <c r="E118" s="26"/>
      <c r="F118" s="26"/>
      <c r="G118" s="26"/>
      <c r="H118" s="27"/>
      <c r="I118" s="27"/>
      <c r="J118" s="27"/>
      <c r="K118" s="27"/>
      <c r="L118" s="28"/>
      <c r="M118" s="29"/>
      <c r="N118" s="29"/>
      <c r="O118" s="28"/>
      <c r="P118" s="25"/>
    </row>
    <row r="119" spans="2:16" ht="15" customHeight="1">
      <c r="B119" s="25">
        <v>111</v>
      </c>
      <c r="C119" s="26"/>
      <c r="D119" s="30"/>
      <c r="E119" s="26"/>
      <c r="F119" s="26"/>
      <c r="G119" s="26"/>
      <c r="H119" s="27"/>
      <c r="I119" s="27"/>
      <c r="J119" s="27"/>
      <c r="K119" s="27"/>
      <c r="L119" s="28"/>
      <c r="M119" s="29"/>
      <c r="N119" s="29"/>
      <c r="O119" s="28"/>
      <c r="P119" s="25"/>
    </row>
    <row r="120" spans="2:16" ht="15" customHeight="1">
      <c r="B120" s="25">
        <v>112</v>
      </c>
      <c r="C120" s="26"/>
      <c r="D120" s="30"/>
      <c r="E120" s="26"/>
      <c r="F120" s="26"/>
      <c r="G120" s="26"/>
      <c r="H120" s="27"/>
      <c r="I120" s="27"/>
      <c r="J120" s="27"/>
      <c r="K120" s="27"/>
      <c r="L120" s="28"/>
      <c r="M120" s="29"/>
      <c r="N120" s="29"/>
      <c r="O120" s="28"/>
      <c r="P120" s="25"/>
    </row>
    <row r="121" spans="2:16" ht="15" customHeight="1">
      <c r="B121" s="25">
        <v>113</v>
      </c>
      <c r="C121" s="26"/>
      <c r="D121" s="30"/>
      <c r="E121" s="26"/>
      <c r="F121" s="26"/>
      <c r="G121" s="26"/>
      <c r="H121" s="27"/>
      <c r="I121" s="27"/>
      <c r="J121" s="27"/>
      <c r="K121" s="27"/>
      <c r="L121" s="28"/>
      <c r="M121" s="29"/>
      <c r="N121" s="29"/>
      <c r="O121" s="28"/>
      <c r="P121" s="25"/>
    </row>
    <row r="122" spans="2:16" ht="15" customHeight="1">
      <c r="B122" s="25">
        <v>114</v>
      </c>
      <c r="C122" s="26"/>
      <c r="D122" s="30"/>
      <c r="E122" s="26"/>
      <c r="F122" s="26"/>
      <c r="G122" s="26"/>
      <c r="H122" s="27"/>
      <c r="I122" s="27"/>
      <c r="J122" s="27"/>
      <c r="K122" s="27"/>
      <c r="L122" s="28"/>
      <c r="M122" s="29"/>
      <c r="N122" s="29"/>
      <c r="O122" s="28"/>
      <c r="P122" s="25"/>
    </row>
    <row r="123" spans="2:16" ht="15" customHeight="1">
      <c r="B123" s="25">
        <v>115</v>
      </c>
      <c r="C123" s="26"/>
      <c r="D123" s="30"/>
      <c r="E123" s="26"/>
      <c r="F123" s="26"/>
      <c r="G123" s="26"/>
      <c r="H123" s="27"/>
      <c r="I123" s="27"/>
      <c r="J123" s="27"/>
      <c r="K123" s="27"/>
      <c r="L123" s="28"/>
      <c r="M123" s="29"/>
      <c r="N123" s="29"/>
      <c r="O123" s="28"/>
      <c r="P123" s="25"/>
    </row>
    <row r="124" spans="2:16" ht="15" customHeight="1">
      <c r="B124" s="25">
        <v>116</v>
      </c>
      <c r="C124" s="26"/>
      <c r="D124" s="30"/>
      <c r="E124" s="26"/>
      <c r="F124" s="26"/>
      <c r="G124" s="26"/>
      <c r="H124" s="27"/>
      <c r="I124" s="27"/>
      <c r="J124" s="27"/>
      <c r="K124" s="27"/>
      <c r="L124" s="28"/>
      <c r="M124" s="29"/>
      <c r="N124" s="29"/>
      <c r="O124" s="28"/>
      <c r="P124" s="25"/>
    </row>
    <row r="125" spans="2:16" ht="15" customHeight="1">
      <c r="B125" s="25">
        <v>117</v>
      </c>
      <c r="C125" s="26"/>
      <c r="D125" s="30"/>
      <c r="E125" s="26"/>
      <c r="F125" s="26"/>
      <c r="G125" s="26"/>
      <c r="H125" s="27"/>
      <c r="I125" s="27"/>
      <c r="J125" s="27"/>
      <c r="K125" s="27"/>
      <c r="L125" s="28"/>
      <c r="M125" s="29"/>
      <c r="N125" s="29"/>
      <c r="O125" s="28"/>
      <c r="P125" s="25"/>
    </row>
    <row r="126" spans="2:16" ht="15" customHeight="1">
      <c r="B126" s="25">
        <v>118</v>
      </c>
      <c r="C126" s="26"/>
      <c r="D126" s="30"/>
      <c r="E126" s="26"/>
      <c r="F126" s="26"/>
      <c r="G126" s="26"/>
      <c r="H126" s="27"/>
      <c r="I126" s="27"/>
      <c r="J126" s="27"/>
      <c r="K126" s="27"/>
      <c r="L126" s="28"/>
      <c r="M126" s="29"/>
      <c r="N126" s="29"/>
      <c r="O126" s="28"/>
      <c r="P126" s="25"/>
    </row>
    <row r="127" spans="2:16" ht="15" customHeight="1">
      <c r="B127" s="25">
        <v>119</v>
      </c>
      <c r="C127" s="26"/>
      <c r="D127" s="30"/>
      <c r="E127" s="26"/>
      <c r="F127" s="26"/>
      <c r="G127" s="26"/>
      <c r="H127" s="27"/>
      <c r="I127" s="27"/>
      <c r="J127" s="27"/>
      <c r="K127" s="27"/>
      <c r="L127" s="28"/>
      <c r="M127" s="29"/>
      <c r="N127" s="29"/>
      <c r="O127" s="28"/>
      <c r="P127" s="25"/>
    </row>
    <row r="128" spans="2:16" ht="15" customHeight="1">
      <c r="B128" s="25">
        <v>120</v>
      </c>
      <c r="C128" s="26"/>
      <c r="D128" s="30"/>
      <c r="E128" s="26"/>
      <c r="F128" s="26"/>
      <c r="G128" s="26"/>
      <c r="H128" s="27"/>
      <c r="I128" s="27"/>
      <c r="J128" s="27"/>
      <c r="K128" s="27"/>
      <c r="L128" s="28"/>
      <c r="M128" s="29"/>
      <c r="N128" s="29"/>
      <c r="O128" s="28"/>
      <c r="P128" s="25"/>
    </row>
    <row r="129" spans="2:16" ht="15" customHeight="1">
      <c r="B129" s="25">
        <v>121</v>
      </c>
      <c r="C129" s="26"/>
      <c r="D129" s="30"/>
      <c r="E129" s="26"/>
      <c r="F129" s="26"/>
      <c r="G129" s="26"/>
      <c r="H129" s="27"/>
      <c r="I129" s="27"/>
      <c r="J129" s="27"/>
      <c r="K129" s="27"/>
      <c r="L129" s="28"/>
      <c r="M129" s="29"/>
      <c r="N129" s="29"/>
      <c r="O129" s="28"/>
      <c r="P129" s="25"/>
    </row>
    <row r="130" spans="2:16" ht="15" customHeight="1">
      <c r="B130" s="25">
        <v>122</v>
      </c>
      <c r="C130" s="26"/>
      <c r="D130" s="30"/>
      <c r="E130" s="26"/>
      <c r="F130" s="26"/>
      <c r="G130" s="26"/>
      <c r="H130" s="27"/>
      <c r="I130" s="27"/>
      <c r="J130" s="27"/>
      <c r="K130" s="27"/>
      <c r="L130" s="28"/>
      <c r="M130" s="29"/>
      <c r="N130" s="29"/>
      <c r="O130" s="28"/>
      <c r="P130" s="25"/>
    </row>
    <row r="131" spans="2:16" ht="15" customHeight="1">
      <c r="B131" s="25">
        <v>123</v>
      </c>
      <c r="C131" s="26"/>
      <c r="D131" s="30"/>
      <c r="E131" s="26"/>
      <c r="F131" s="26"/>
      <c r="G131" s="26"/>
      <c r="H131" s="27"/>
      <c r="I131" s="27"/>
      <c r="J131" s="27"/>
      <c r="K131" s="27"/>
      <c r="L131" s="28"/>
      <c r="M131" s="29"/>
      <c r="N131" s="29"/>
      <c r="O131" s="28"/>
      <c r="P131" s="25"/>
    </row>
    <row r="132" spans="2:16" ht="15" customHeight="1">
      <c r="B132" s="25">
        <v>124</v>
      </c>
      <c r="C132" s="26"/>
      <c r="D132" s="30"/>
      <c r="E132" s="26"/>
      <c r="F132" s="26"/>
      <c r="G132" s="26"/>
      <c r="H132" s="27"/>
      <c r="I132" s="27"/>
      <c r="J132" s="27"/>
      <c r="K132" s="27"/>
      <c r="L132" s="28"/>
      <c r="M132" s="29"/>
      <c r="N132" s="29"/>
      <c r="O132" s="28"/>
      <c r="P132" s="25"/>
    </row>
    <row r="133" spans="2:16" ht="15" customHeight="1">
      <c r="B133" s="25">
        <v>125</v>
      </c>
      <c r="C133" s="26"/>
      <c r="D133" s="30"/>
      <c r="E133" s="26"/>
      <c r="F133" s="26"/>
      <c r="G133" s="26"/>
      <c r="H133" s="27"/>
      <c r="I133" s="27"/>
      <c r="J133" s="27"/>
      <c r="K133" s="27"/>
      <c r="L133" s="28"/>
      <c r="M133" s="29"/>
      <c r="N133" s="29"/>
      <c r="O133" s="28"/>
      <c r="P133" s="25"/>
    </row>
    <row r="134" spans="2:16" ht="15" customHeight="1">
      <c r="B134" s="25">
        <v>126</v>
      </c>
      <c r="C134" s="26"/>
      <c r="D134" s="30"/>
      <c r="E134" s="26"/>
      <c r="F134" s="26"/>
      <c r="G134" s="26"/>
      <c r="H134" s="27"/>
      <c r="I134" s="27"/>
      <c r="J134" s="27"/>
      <c r="K134" s="27"/>
      <c r="L134" s="28"/>
      <c r="M134" s="29"/>
      <c r="N134" s="29"/>
      <c r="O134" s="28"/>
      <c r="P134" s="25"/>
    </row>
    <row r="135" spans="2:16" ht="15" customHeight="1">
      <c r="B135" s="25">
        <v>127</v>
      </c>
      <c r="C135" s="26"/>
      <c r="D135" s="30"/>
      <c r="E135" s="26"/>
      <c r="F135" s="26"/>
      <c r="G135" s="26"/>
      <c r="H135" s="27"/>
      <c r="I135" s="27"/>
      <c r="J135" s="27"/>
      <c r="K135" s="27"/>
      <c r="L135" s="28"/>
      <c r="M135" s="29"/>
      <c r="N135" s="29"/>
      <c r="O135" s="28"/>
      <c r="P135" s="25"/>
    </row>
    <row r="136" spans="2:16" ht="15" customHeight="1">
      <c r="B136" s="25">
        <v>128</v>
      </c>
      <c r="C136" s="26"/>
      <c r="D136" s="30"/>
      <c r="E136" s="26"/>
      <c r="F136" s="26"/>
      <c r="G136" s="26"/>
      <c r="H136" s="27"/>
      <c r="I136" s="27"/>
      <c r="J136" s="27"/>
      <c r="K136" s="27"/>
      <c r="L136" s="28"/>
      <c r="M136" s="29"/>
      <c r="N136" s="29"/>
      <c r="O136" s="28"/>
      <c r="P136" s="25"/>
    </row>
    <row r="137" spans="2:16" ht="15" customHeight="1">
      <c r="B137" s="25">
        <v>129</v>
      </c>
      <c r="C137" s="26"/>
      <c r="D137" s="30"/>
      <c r="E137" s="26"/>
      <c r="F137" s="26"/>
      <c r="G137" s="26"/>
      <c r="H137" s="27"/>
      <c r="I137" s="27"/>
      <c r="J137" s="27"/>
      <c r="K137" s="27"/>
      <c r="L137" s="28"/>
      <c r="M137" s="29"/>
      <c r="N137" s="29"/>
      <c r="O137" s="28"/>
      <c r="P137" s="25"/>
    </row>
    <row r="138" spans="2:16" ht="15" customHeight="1">
      <c r="B138" s="25">
        <v>130</v>
      </c>
      <c r="C138" s="26"/>
      <c r="D138" s="30"/>
      <c r="E138" s="26"/>
      <c r="F138" s="26"/>
      <c r="G138" s="26"/>
      <c r="H138" s="27"/>
      <c r="I138" s="27"/>
      <c r="J138" s="27"/>
      <c r="K138" s="27"/>
      <c r="L138" s="28"/>
      <c r="M138" s="29"/>
      <c r="N138" s="29"/>
      <c r="O138" s="28"/>
      <c r="P138" s="25"/>
    </row>
    <row r="139" spans="2:16" ht="15" customHeight="1">
      <c r="B139" s="25">
        <v>131</v>
      </c>
      <c r="C139" s="26"/>
      <c r="D139" s="30"/>
      <c r="E139" s="26"/>
      <c r="F139" s="26"/>
      <c r="G139" s="26"/>
      <c r="H139" s="27"/>
      <c r="I139" s="27"/>
      <c r="J139" s="27"/>
      <c r="K139" s="27"/>
      <c r="L139" s="28"/>
      <c r="M139" s="29"/>
      <c r="N139" s="29"/>
      <c r="O139" s="28"/>
      <c r="P139" s="25"/>
    </row>
    <row r="140" spans="2:16" ht="15" customHeight="1">
      <c r="B140" s="25">
        <v>132</v>
      </c>
      <c r="C140" s="26"/>
      <c r="D140" s="30"/>
      <c r="E140" s="26"/>
      <c r="F140" s="26"/>
      <c r="G140" s="26"/>
      <c r="H140" s="27"/>
      <c r="I140" s="27"/>
      <c r="J140" s="27"/>
      <c r="K140" s="27"/>
      <c r="L140" s="28"/>
      <c r="M140" s="29"/>
      <c r="N140" s="29"/>
      <c r="O140" s="28"/>
      <c r="P140" s="25"/>
    </row>
    <row r="141" spans="2:16" ht="15" customHeight="1">
      <c r="B141" s="25">
        <v>133</v>
      </c>
      <c r="C141" s="26"/>
      <c r="D141" s="30"/>
      <c r="E141" s="26"/>
      <c r="F141" s="26"/>
      <c r="G141" s="26"/>
      <c r="H141" s="27"/>
      <c r="I141" s="27"/>
      <c r="J141" s="27"/>
      <c r="K141" s="27"/>
      <c r="L141" s="28"/>
      <c r="M141" s="29"/>
      <c r="N141" s="29"/>
      <c r="O141" s="28"/>
      <c r="P141" s="25"/>
    </row>
    <row r="142" spans="2:16" ht="15" customHeight="1">
      <c r="B142" s="25">
        <v>134</v>
      </c>
      <c r="C142" s="26"/>
      <c r="D142" s="30"/>
      <c r="E142" s="26"/>
      <c r="F142" s="26"/>
      <c r="G142" s="26"/>
      <c r="H142" s="27"/>
      <c r="I142" s="27"/>
      <c r="J142" s="27"/>
      <c r="K142" s="27"/>
      <c r="L142" s="28"/>
      <c r="M142" s="29"/>
      <c r="N142" s="29"/>
      <c r="O142" s="28"/>
      <c r="P142" s="25"/>
    </row>
    <row r="143" spans="2:16" ht="15" customHeight="1">
      <c r="B143" s="25">
        <v>135</v>
      </c>
      <c r="C143" s="26"/>
      <c r="D143" s="30"/>
      <c r="E143" s="26"/>
      <c r="F143" s="26"/>
      <c r="G143" s="26"/>
      <c r="H143" s="27"/>
      <c r="I143" s="27"/>
      <c r="J143" s="27"/>
      <c r="K143" s="27"/>
      <c r="L143" s="28"/>
      <c r="M143" s="29"/>
      <c r="N143" s="29"/>
      <c r="O143" s="28"/>
      <c r="P143" s="25"/>
    </row>
    <row r="144" spans="2:16" ht="15" customHeight="1">
      <c r="B144" s="25">
        <v>136</v>
      </c>
      <c r="C144" s="26"/>
      <c r="D144" s="30"/>
      <c r="E144" s="26"/>
      <c r="F144" s="26"/>
      <c r="G144" s="26"/>
      <c r="H144" s="27"/>
      <c r="I144" s="27"/>
      <c r="J144" s="27"/>
      <c r="K144" s="27"/>
      <c r="L144" s="28"/>
      <c r="M144" s="29"/>
      <c r="N144" s="29"/>
      <c r="O144" s="28"/>
      <c r="P144" s="25"/>
    </row>
    <row r="145" spans="2:16" ht="15" customHeight="1">
      <c r="B145" s="25">
        <v>137</v>
      </c>
      <c r="C145" s="26"/>
      <c r="D145" s="30"/>
      <c r="E145" s="26"/>
      <c r="F145" s="26"/>
      <c r="G145" s="26"/>
      <c r="H145" s="27"/>
      <c r="I145" s="27"/>
      <c r="J145" s="27"/>
      <c r="K145" s="27"/>
      <c r="L145" s="28"/>
      <c r="M145" s="29"/>
      <c r="N145" s="29"/>
      <c r="O145" s="28"/>
      <c r="P145" s="25"/>
    </row>
    <row r="146" spans="2:16" ht="15" customHeight="1">
      <c r="B146" s="25">
        <v>138</v>
      </c>
      <c r="C146" s="26"/>
      <c r="D146" s="30"/>
      <c r="E146" s="26"/>
      <c r="F146" s="26"/>
      <c r="G146" s="26"/>
      <c r="H146" s="27"/>
      <c r="I146" s="27"/>
      <c r="J146" s="27"/>
      <c r="K146" s="27"/>
      <c r="L146" s="28"/>
      <c r="M146" s="29"/>
      <c r="N146" s="29"/>
      <c r="O146" s="28"/>
      <c r="P146" s="25"/>
    </row>
    <row r="147" spans="2:16" ht="15" customHeight="1">
      <c r="B147" s="25">
        <v>139</v>
      </c>
      <c r="C147" s="26"/>
      <c r="D147" s="30"/>
      <c r="E147" s="26"/>
      <c r="F147" s="26"/>
      <c r="G147" s="26"/>
      <c r="H147" s="27"/>
      <c r="I147" s="27"/>
      <c r="J147" s="27"/>
      <c r="K147" s="27"/>
      <c r="L147" s="28"/>
      <c r="M147" s="29"/>
      <c r="N147" s="29"/>
      <c r="O147" s="28"/>
      <c r="P147" s="25"/>
    </row>
    <row r="148" spans="2:16" ht="15" customHeight="1">
      <c r="B148" s="25">
        <v>140</v>
      </c>
      <c r="C148" s="26"/>
      <c r="D148" s="30"/>
      <c r="E148" s="26"/>
      <c r="F148" s="26"/>
      <c r="G148" s="26"/>
      <c r="H148" s="27"/>
      <c r="I148" s="27"/>
      <c r="J148" s="27"/>
      <c r="K148" s="27"/>
      <c r="L148" s="28"/>
      <c r="M148" s="29"/>
      <c r="N148" s="29"/>
      <c r="O148" s="28"/>
      <c r="P148" s="25"/>
    </row>
    <row r="149" spans="2:16" ht="15" customHeight="1">
      <c r="B149" s="25">
        <v>141</v>
      </c>
      <c r="C149" s="26"/>
      <c r="D149" s="30"/>
      <c r="E149" s="26"/>
      <c r="F149" s="26"/>
      <c r="G149" s="26"/>
      <c r="H149" s="27"/>
      <c r="I149" s="27"/>
      <c r="J149" s="27"/>
      <c r="K149" s="27"/>
      <c r="L149" s="28"/>
      <c r="M149" s="29"/>
      <c r="N149" s="29"/>
      <c r="O149" s="28"/>
      <c r="P149" s="25"/>
    </row>
    <row r="150" spans="2:16" ht="15" customHeight="1">
      <c r="B150" s="25">
        <v>142</v>
      </c>
      <c r="C150" s="26"/>
      <c r="D150" s="30"/>
      <c r="E150" s="26"/>
      <c r="F150" s="26"/>
      <c r="G150" s="26"/>
      <c r="H150" s="27"/>
      <c r="I150" s="27"/>
      <c r="J150" s="27"/>
      <c r="K150" s="27"/>
      <c r="L150" s="28"/>
      <c r="M150" s="29"/>
      <c r="N150" s="29"/>
      <c r="O150" s="28"/>
      <c r="P150" s="25"/>
    </row>
    <row r="151" spans="2:16" ht="15" customHeight="1">
      <c r="B151" s="25">
        <v>143</v>
      </c>
      <c r="C151" s="26"/>
      <c r="D151" s="30"/>
      <c r="E151" s="26"/>
      <c r="F151" s="26"/>
      <c r="G151" s="26"/>
      <c r="H151" s="27"/>
      <c r="I151" s="27"/>
      <c r="J151" s="27"/>
      <c r="K151" s="27"/>
      <c r="L151" s="28"/>
      <c r="M151" s="29"/>
      <c r="N151" s="29"/>
      <c r="O151" s="28"/>
      <c r="P151" s="25"/>
    </row>
    <row r="152" spans="2:16" ht="15" customHeight="1">
      <c r="B152" s="25">
        <v>144</v>
      </c>
      <c r="C152" s="26"/>
      <c r="D152" s="30"/>
      <c r="E152" s="26"/>
      <c r="F152" s="26"/>
      <c r="G152" s="26"/>
      <c r="H152" s="27"/>
      <c r="I152" s="27"/>
      <c r="J152" s="27"/>
      <c r="K152" s="27"/>
      <c r="L152" s="28"/>
      <c r="M152" s="29"/>
      <c r="N152" s="29"/>
      <c r="O152" s="28"/>
      <c r="P152" s="25"/>
    </row>
    <row r="153" spans="2:16" ht="15" customHeight="1">
      <c r="B153" s="25">
        <v>145</v>
      </c>
      <c r="C153" s="26"/>
      <c r="D153" s="30"/>
      <c r="E153" s="26"/>
      <c r="F153" s="26"/>
      <c r="G153" s="26"/>
      <c r="H153" s="27"/>
      <c r="I153" s="27"/>
      <c r="J153" s="27"/>
      <c r="K153" s="27"/>
      <c r="L153" s="28"/>
      <c r="M153" s="29"/>
      <c r="N153" s="29"/>
      <c r="O153" s="28"/>
      <c r="P153" s="25"/>
    </row>
    <row r="154" spans="2:16" ht="15" customHeight="1">
      <c r="B154" s="25">
        <v>146</v>
      </c>
      <c r="C154" s="26"/>
      <c r="D154" s="30"/>
      <c r="E154" s="26"/>
      <c r="F154" s="26"/>
      <c r="G154" s="26"/>
      <c r="H154" s="27"/>
      <c r="I154" s="27"/>
      <c r="J154" s="27"/>
      <c r="K154" s="27"/>
      <c r="L154" s="28"/>
      <c r="M154" s="29"/>
      <c r="N154" s="29"/>
      <c r="O154" s="28"/>
      <c r="P154" s="25"/>
    </row>
    <row r="155" spans="2:16" ht="15" customHeight="1">
      <c r="B155" s="25">
        <v>147</v>
      </c>
      <c r="C155" s="26"/>
      <c r="D155" s="30"/>
      <c r="E155" s="26"/>
      <c r="F155" s="26"/>
      <c r="G155" s="26"/>
      <c r="H155" s="27"/>
      <c r="I155" s="27"/>
      <c r="J155" s="27"/>
      <c r="K155" s="27"/>
      <c r="L155" s="28"/>
      <c r="M155" s="29"/>
      <c r="N155" s="29"/>
      <c r="O155" s="28"/>
      <c r="P155" s="25"/>
    </row>
    <row r="156" spans="2:16" ht="15" customHeight="1">
      <c r="B156" s="25">
        <v>148</v>
      </c>
      <c r="C156" s="26"/>
      <c r="D156" s="30"/>
      <c r="E156" s="26"/>
      <c r="F156" s="26"/>
      <c r="G156" s="26"/>
      <c r="H156" s="27"/>
      <c r="I156" s="27"/>
      <c r="J156" s="27"/>
      <c r="K156" s="27"/>
      <c r="L156" s="28"/>
      <c r="M156" s="29"/>
      <c r="N156" s="29"/>
      <c r="O156" s="28"/>
      <c r="P156" s="25"/>
    </row>
    <row r="157" spans="2:16" ht="15" customHeight="1">
      <c r="B157" s="25">
        <v>149</v>
      </c>
      <c r="C157" s="26"/>
      <c r="D157" s="30"/>
      <c r="E157" s="26"/>
      <c r="F157" s="26"/>
      <c r="G157" s="26"/>
      <c r="H157" s="27"/>
      <c r="I157" s="27"/>
      <c r="J157" s="27"/>
      <c r="K157" s="27"/>
      <c r="L157" s="28"/>
      <c r="M157" s="29"/>
      <c r="N157" s="29"/>
      <c r="O157" s="28"/>
      <c r="P157" s="25"/>
    </row>
    <row r="158" spans="2:16" ht="15" customHeight="1">
      <c r="B158" s="25">
        <v>150</v>
      </c>
      <c r="C158" s="26"/>
      <c r="D158" s="30"/>
      <c r="E158" s="26"/>
      <c r="F158" s="26"/>
      <c r="G158" s="26"/>
      <c r="H158" s="27"/>
      <c r="I158" s="27"/>
      <c r="J158" s="27"/>
      <c r="K158" s="27"/>
      <c r="L158" s="28"/>
      <c r="M158" s="29"/>
      <c r="N158" s="29"/>
      <c r="O158" s="28"/>
      <c r="P158" s="25"/>
    </row>
    <row r="159" spans="2:16" ht="15" customHeight="1">
      <c r="B159" s="25">
        <v>151</v>
      </c>
      <c r="C159" s="26"/>
      <c r="D159" s="30"/>
      <c r="E159" s="26"/>
      <c r="F159" s="26"/>
      <c r="G159" s="26"/>
      <c r="H159" s="27"/>
      <c r="I159" s="27"/>
      <c r="J159" s="27"/>
      <c r="K159" s="27"/>
      <c r="L159" s="28"/>
      <c r="M159" s="29"/>
      <c r="N159" s="29"/>
      <c r="O159" s="28"/>
      <c r="P159" s="25"/>
    </row>
    <row r="160" spans="2:16" ht="15" customHeight="1">
      <c r="B160" s="25">
        <v>152</v>
      </c>
      <c r="C160" s="26"/>
      <c r="D160" s="30"/>
      <c r="E160" s="26"/>
      <c r="F160" s="26"/>
      <c r="G160" s="26"/>
      <c r="H160" s="27"/>
      <c r="I160" s="27"/>
      <c r="J160" s="27"/>
      <c r="K160" s="27"/>
      <c r="L160" s="28"/>
      <c r="M160" s="29"/>
      <c r="N160" s="29"/>
      <c r="O160" s="28"/>
      <c r="P160" s="25"/>
    </row>
    <row r="161" spans="2:16" ht="15" customHeight="1">
      <c r="B161" s="25">
        <v>153</v>
      </c>
      <c r="C161" s="26"/>
      <c r="D161" s="30"/>
      <c r="E161" s="26"/>
      <c r="F161" s="26"/>
      <c r="G161" s="26"/>
      <c r="H161" s="27"/>
      <c r="I161" s="27"/>
      <c r="J161" s="27"/>
      <c r="K161" s="27"/>
      <c r="L161" s="28"/>
      <c r="M161" s="29"/>
      <c r="N161" s="29"/>
      <c r="O161" s="28"/>
      <c r="P161" s="25"/>
    </row>
    <row r="162" spans="2:16" ht="15" customHeight="1">
      <c r="B162" s="25">
        <v>154</v>
      </c>
      <c r="C162" s="26"/>
      <c r="D162" s="30"/>
      <c r="E162" s="26"/>
      <c r="F162" s="26"/>
      <c r="G162" s="26"/>
      <c r="H162" s="27"/>
      <c r="I162" s="27"/>
      <c r="J162" s="27"/>
      <c r="K162" s="27"/>
      <c r="L162" s="28"/>
      <c r="M162" s="29"/>
      <c r="N162" s="29"/>
      <c r="O162" s="28"/>
      <c r="P162" s="25"/>
    </row>
    <row r="163" spans="2:16" ht="15" customHeight="1">
      <c r="B163" s="25">
        <v>155</v>
      </c>
      <c r="C163" s="26"/>
      <c r="D163" s="30"/>
      <c r="E163" s="26"/>
      <c r="F163" s="26"/>
      <c r="G163" s="26"/>
      <c r="H163" s="27"/>
      <c r="I163" s="27"/>
      <c r="J163" s="27"/>
      <c r="K163" s="27"/>
      <c r="L163" s="28"/>
      <c r="M163" s="29"/>
      <c r="N163" s="29"/>
      <c r="O163" s="28"/>
      <c r="P163" s="25"/>
    </row>
    <row r="164" spans="2:16" ht="15" customHeight="1">
      <c r="B164" s="25">
        <v>156</v>
      </c>
      <c r="C164" s="26"/>
      <c r="D164" s="30"/>
      <c r="E164" s="26"/>
      <c r="F164" s="26"/>
      <c r="G164" s="26"/>
      <c r="H164" s="27"/>
      <c r="I164" s="27"/>
      <c r="J164" s="27"/>
      <c r="K164" s="27"/>
      <c r="L164" s="28"/>
      <c r="M164" s="29"/>
      <c r="N164" s="29"/>
      <c r="O164" s="28"/>
      <c r="P164" s="25"/>
    </row>
    <row r="165" spans="2:16" ht="15" customHeight="1">
      <c r="B165" s="25">
        <v>157</v>
      </c>
      <c r="C165" s="26"/>
      <c r="D165" s="30"/>
      <c r="E165" s="26"/>
      <c r="F165" s="26"/>
      <c r="G165" s="26"/>
      <c r="H165" s="27"/>
      <c r="I165" s="27"/>
      <c r="J165" s="27"/>
      <c r="K165" s="27"/>
      <c r="L165" s="28"/>
      <c r="M165" s="29"/>
      <c r="N165" s="29"/>
      <c r="O165" s="28"/>
      <c r="P165" s="25"/>
    </row>
    <row r="166" spans="2:16" ht="15" customHeight="1">
      <c r="B166" s="25">
        <v>158</v>
      </c>
      <c r="C166" s="26"/>
      <c r="D166" s="30"/>
      <c r="E166" s="26"/>
      <c r="F166" s="26"/>
      <c r="G166" s="26"/>
      <c r="H166" s="27"/>
      <c r="I166" s="27"/>
      <c r="J166" s="27"/>
      <c r="K166" s="27"/>
      <c r="L166" s="28"/>
      <c r="M166" s="29"/>
      <c r="N166" s="29"/>
      <c r="O166" s="28"/>
      <c r="P166" s="25"/>
    </row>
    <row r="167" spans="2:16" ht="15" customHeight="1">
      <c r="B167" s="25">
        <v>159</v>
      </c>
      <c r="C167" s="26"/>
      <c r="D167" s="30"/>
      <c r="E167" s="26"/>
      <c r="F167" s="26"/>
      <c r="G167" s="26"/>
      <c r="H167" s="27"/>
      <c r="I167" s="27"/>
      <c r="J167" s="27"/>
      <c r="K167" s="27"/>
      <c r="L167" s="28"/>
      <c r="M167" s="29"/>
      <c r="N167" s="29"/>
      <c r="O167" s="28"/>
      <c r="P167" s="25"/>
    </row>
    <row r="168" spans="2:16" ht="15" customHeight="1">
      <c r="B168" s="25">
        <v>160</v>
      </c>
      <c r="C168" s="26"/>
      <c r="D168" s="30"/>
      <c r="E168" s="26"/>
      <c r="F168" s="26"/>
      <c r="G168" s="26"/>
      <c r="H168" s="27"/>
      <c r="I168" s="27"/>
      <c r="J168" s="27"/>
      <c r="K168" s="27"/>
      <c r="L168" s="28"/>
      <c r="M168" s="29"/>
      <c r="N168" s="29"/>
      <c r="O168" s="28"/>
      <c r="P168" s="25"/>
    </row>
    <row r="169" spans="2:16" ht="15" customHeight="1">
      <c r="B169" s="25">
        <v>161</v>
      </c>
      <c r="C169" s="26"/>
      <c r="D169" s="30"/>
      <c r="E169" s="26"/>
      <c r="F169" s="26"/>
      <c r="G169" s="26"/>
      <c r="H169" s="27"/>
      <c r="I169" s="27"/>
      <c r="J169" s="27"/>
      <c r="K169" s="27"/>
      <c r="L169" s="28"/>
      <c r="M169" s="29"/>
      <c r="N169" s="29"/>
      <c r="O169" s="28"/>
      <c r="P169" s="25"/>
    </row>
    <row r="170" spans="2:16" ht="15" customHeight="1">
      <c r="B170" s="25">
        <v>162</v>
      </c>
      <c r="C170" s="26"/>
      <c r="D170" s="30"/>
      <c r="E170" s="26"/>
      <c r="F170" s="26"/>
      <c r="G170" s="26"/>
      <c r="H170" s="27"/>
      <c r="I170" s="27"/>
      <c r="J170" s="27"/>
      <c r="K170" s="27"/>
      <c r="L170" s="28"/>
      <c r="M170" s="29"/>
      <c r="N170" s="29"/>
      <c r="O170" s="28"/>
      <c r="P170" s="25"/>
    </row>
    <row r="171" spans="2:16" ht="15" customHeight="1">
      <c r="B171" s="25">
        <v>163</v>
      </c>
      <c r="C171" s="26"/>
      <c r="D171" s="30"/>
      <c r="E171" s="26"/>
      <c r="F171" s="26"/>
      <c r="G171" s="26"/>
      <c r="H171" s="27"/>
      <c r="I171" s="27"/>
      <c r="J171" s="27"/>
      <c r="K171" s="27"/>
      <c r="L171" s="28"/>
      <c r="M171" s="29"/>
      <c r="N171" s="29"/>
      <c r="O171" s="28"/>
      <c r="P171" s="25"/>
    </row>
    <row r="172" spans="2:16" ht="15" customHeight="1">
      <c r="B172" s="25">
        <v>164</v>
      </c>
      <c r="C172" s="26"/>
      <c r="D172" s="30"/>
      <c r="E172" s="26"/>
      <c r="F172" s="26"/>
      <c r="G172" s="26"/>
      <c r="H172" s="27"/>
      <c r="I172" s="27"/>
      <c r="J172" s="27"/>
      <c r="K172" s="27"/>
      <c r="L172" s="28"/>
      <c r="M172" s="29"/>
      <c r="N172" s="29"/>
      <c r="O172" s="28"/>
      <c r="P172" s="25"/>
    </row>
    <row r="173" spans="2:16" ht="15" customHeight="1">
      <c r="B173" s="25">
        <v>165</v>
      </c>
      <c r="C173" s="26"/>
      <c r="D173" s="30"/>
      <c r="E173" s="26"/>
      <c r="F173" s="26"/>
      <c r="G173" s="26"/>
      <c r="H173" s="27"/>
      <c r="I173" s="27"/>
      <c r="J173" s="27"/>
      <c r="K173" s="27"/>
      <c r="L173" s="28"/>
      <c r="M173" s="29"/>
      <c r="N173" s="29"/>
      <c r="O173" s="28"/>
      <c r="P173" s="25"/>
    </row>
    <row r="174" spans="2:16" ht="15" customHeight="1">
      <c r="B174" s="25">
        <v>166</v>
      </c>
      <c r="C174" s="26"/>
      <c r="D174" s="30"/>
      <c r="E174" s="26"/>
      <c r="F174" s="26"/>
      <c r="G174" s="26"/>
      <c r="H174" s="27"/>
      <c r="I174" s="27"/>
      <c r="J174" s="27"/>
      <c r="K174" s="27"/>
      <c r="L174" s="28"/>
      <c r="M174" s="29"/>
      <c r="N174" s="29"/>
      <c r="O174" s="28"/>
      <c r="P174" s="25"/>
    </row>
    <row r="175" spans="2:16" ht="15" customHeight="1">
      <c r="B175" s="25">
        <v>167</v>
      </c>
      <c r="C175" s="26"/>
      <c r="D175" s="30"/>
      <c r="E175" s="26"/>
      <c r="F175" s="26"/>
      <c r="G175" s="26"/>
      <c r="H175" s="27"/>
      <c r="I175" s="27"/>
      <c r="J175" s="27"/>
      <c r="K175" s="27"/>
      <c r="L175" s="28"/>
      <c r="M175" s="29"/>
      <c r="N175" s="29"/>
      <c r="O175" s="28"/>
      <c r="P175" s="25"/>
    </row>
    <row r="176" spans="2:16" ht="15" customHeight="1">
      <c r="B176" s="25">
        <v>168</v>
      </c>
      <c r="C176" s="26"/>
      <c r="D176" s="30"/>
      <c r="E176" s="26"/>
      <c r="F176" s="26"/>
      <c r="G176" s="26"/>
      <c r="H176" s="27"/>
      <c r="I176" s="27"/>
      <c r="J176" s="27"/>
      <c r="K176" s="27"/>
      <c r="L176" s="28"/>
      <c r="M176" s="29"/>
      <c r="N176" s="29"/>
      <c r="O176" s="28"/>
      <c r="P176" s="25"/>
    </row>
    <row r="177" spans="2:16" ht="15" customHeight="1">
      <c r="B177" s="25">
        <v>169</v>
      </c>
      <c r="C177" s="26"/>
      <c r="D177" s="30"/>
      <c r="E177" s="26"/>
      <c r="F177" s="26"/>
      <c r="G177" s="26"/>
      <c r="H177" s="27"/>
      <c r="I177" s="27"/>
      <c r="J177" s="27"/>
      <c r="K177" s="27"/>
      <c r="L177" s="28"/>
      <c r="M177" s="29"/>
      <c r="N177" s="29"/>
      <c r="O177" s="28"/>
      <c r="P177" s="25"/>
    </row>
    <row r="178" spans="2:16" ht="15" customHeight="1">
      <c r="B178" s="25">
        <v>170</v>
      </c>
      <c r="C178" s="26"/>
      <c r="D178" s="30"/>
      <c r="E178" s="26"/>
      <c r="F178" s="26"/>
      <c r="G178" s="26"/>
      <c r="H178" s="27"/>
      <c r="I178" s="27"/>
      <c r="J178" s="27"/>
      <c r="K178" s="27"/>
      <c r="L178" s="28"/>
      <c r="M178" s="29"/>
      <c r="N178" s="29"/>
      <c r="O178" s="28"/>
      <c r="P178" s="25"/>
    </row>
    <row r="179" spans="2:16" ht="15" customHeight="1">
      <c r="B179" s="25">
        <v>171</v>
      </c>
      <c r="C179" s="26"/>
      <c r="D179" s="30"/>
      <c r="E179" s="26"/>
      <c r="F179" s="26"/>
      <c r="G179" s="26"/>
      <c r="H179" s="27"/>
      <c r="I179" s="27"/>
      <c r="J179" s="27"/>
      <c r="K179" s="27"/>
      <c r="L179" s="28"/>
      <c r="M179" s="29"/>
      <c r="N179" s="29"/>
      <c r="O179" s="28"/>
      <c r="P179" s="25"/>
    </row>
    <row r="180" spans="2:16" ht="15" customHeight="1">
      <c r="B180" s="25">
        <v>172</v>
      </c>
      <c r="C180" s="26"/>
      <c r="D180" s="30"/>
      <c r="E180" s="26"/>
      <c r="F180" s="26"/>
      <c r="G180" s="26"/>
      <c r="H180" s="27"/>
      <c r="I180" s="27"/>
      <c r="J180" s="27"/>
      <c r="K180" s="27"/>
      <c r="L180" s="28"/>
      <c r="M180" s="29"/>
      <c r="N180" s="29"/>
      <c r="O180" s="28"/>
      <c r="P180" s="25"/>
    </row>
    <row r="181" spans="2:16" ht="15" customHeight="1">
      <c r="B181" s="25">
        <v>173</v>
      </c>
      <c r="C181" s="26"/>
      <c r="D181" s="30"/>
      <c r="E181" s="26"/>
      <c r="F181" s="26"/>
      <c r="G181" s="26"/>
      <c r="H181" s="27"/>
      <c r="I181" s="27"/>
      <c r="J181" s="27"/>
      <c r="K181" s="27"/>
      <c r="L181" s="28"/>
      <c r="M181" s="29"/>
      <c r="N181" s="29"/>
      <c r="O181" s="28"/>
      <c r="P181" s="25"/>
    </row>
    <row r="182" spans="2:16" ht="15" customHeight="1">
      <c r="B182" s="25">
        <v>174</v>
      </c>
      <c r="C182" s="26"/>
      <c r="D182" s="30"/>
      <c r="E182" s="26"/>
      <c r="F182" s="26"/>
      <c r="G182" s="26"/>
      <c r="H182" s="27"/>
      <c r="I182" s="27"/>
      <c r="J182" s="27"/>
      <c r="K182" s="27"/>
      <c r="L182" s="28"/>
      <c r="M182" s="29"/>
      <c r="N182" s="29"/>
      <c r="O182" s="28"/>
      <c r="P182" s="25"/>
    </row>
    <row r="183" spans="2:16" ht="15" customHeight="1">
      <c r="B183" s="25">
        <v>175</v>
      </c>
      <c r="C183" s="26"/>
      <c r="D183" s="30"/>
      <c r="E183" s="26"/>
      <c r="F183" s="26"/>
      <c r="G183" s="26"/>
      <c r="H183" s="27"/>
      <c r="I183" s="27"/>
      <c r="J183" s="27"/>
      <c r="K183" s="27"/>
      <c r="L183" s="28"/>
      <c r="M183" s="29"/>
      <c r="N183" s="29"/>
      <c r="O183" s="28"/>
      <c r="P183" s="25"/>
    </row>
    <row r="184" spans="2:16" ht="15" customHeight="1">
      <c r="B184" s="25">
        <v>176</v>
      </c>
      <c r="C184" s="26"/>
      <c r="D184" s="30"/>
      <c r="E184" s="26"/>
      <c r="F184" s="26"/>
      <c r="G184" s="26"/>
      <c r="H184" s="27"/>
      <c r="I184" s="27"/>
      <c r="J184" s="27"/>
      <c r="K184" s="27"/>
      <c r="L184" s="28"/>
      <c r="M184" s="29"/>
      <c r="N184" s="29"/>
      <c r="O184" s="28"/>
      <c r="P184" s="25"/>
    </row>
    <row r="185" spans="2:16" ht="15" customHeight="1">
      <c r="B185" s="25">
        <v>177</v>
      </c>
      <c r="C185" s="26"/>
      <c r="D185" s="30"/>
      <c r="E185" s="26"/>
      <c r="F185" s="26"/>
      <c r="G185" s="26"/>
      <c r="H185" s="27"/>
      <c r="I185" s="27"/>
      <c r="J185" s="27"/>
      <c r="K185" s="27"/>
      <c r="L185" s="28"/>
      <c r="M185" s="29"/>
      <c r="N185" s="29"/>
      <c r="O185" s="28"/>
      <c r="P185" s="25"/>
    </row>
    <row r="186" spans="2:16" ht="15" customHeight="1">
      <c r="B186" s="25">
        <v>178</v>
      </c>
      <c r="C186" s="26"/>
      <c r="D186" s="30"/>
      <c r="E186" s="26"/>
      <c r="F186" s="26"/>
      <c r="G186" s="26"/>
      <c r="H186" s="27"/>
      <c r="I186" s="27"/>
      <c r="J186" s="27"/>
      <c r="K186" s="27"/>
      <c r="L186" s="28"/>
      <c r="M186" s="29"/>
      <c r="N186" s="29"/>
      <c r="O186" s="28"/>
      <c r="P186" s="25"/>
    </row>
    <row r="187" spans="2:16" ht="15" customHeight="1">
      <c r="B187" s="25">
        <v>179</v>
      </c>
      <c r="C187" s="26"/>
      <c r="D187" s="30"/>
      <c r="E187" s="26"/>
      <c r="F187" s="26"/>
      <c r="G187" s="26"/>
      <c r="H187" s="27"/>
      <c r="I187" s="27"/>
      <c r="J187" s="27"/>
      <c r="K187" s="27"/>
      <c r="L187" s="28"/>
      <c r="M187" s="29"/>
      <c r="N187" s="29"/>
      <c r="O187" s="28"/>
      <c r="P187" s="25"/>
    </row>
    <row r="188" spans="2:16" ht="15" customHeight="1">
      <c r="B188" s="25">
        <v>180</v>
      </c>
      <c r="C188" s="26"/>
      <c r="D188" s="30"/>
      <c r="E188" s="26"/>
      <c r="F188" s="26"/>
      <c r="G188" s="26"/>
      <c r="H188" s="27"/>
      <c r="I188" s="27"/>
      <c r="J188" s="27"/>
      <c r="K188" s="27"/>
      <c r="L188" s="28"/>
      <c r="M188" s="29"/>
      <c r="N188" s="29"/>
      <c r="O188" s="28"/>
      <c r="P188" s="25"/>
    </row>
    <row r="189" spans="2:16" ht="15" customHeight="1">
      <c r="B189" s="25">
        <v>181</v>
      </c>
      <c r="C189" s="26"/>
      <c r="D189" s="30"/>
      <c r="E189" s="26"/>
      <c r="F189" s="26"/>
      <c r="G189" s="26"/>
      <c r="H189" s="27"/>
      <c r="I189" s="27"/>
      <c r="J189" s="27"/>
      <c r="K189" s="27"/>
      <c r="L189" s="28"/>
      <c r="M189" s="29"/>
      <c r="N189" s="29"/>
      <c r="O189" s="28"/>
      <c r="P189" s="25"/>
    </row>
    <row r="190" spans="2:16" ht="15" customHeight="1">
      <c r="B190" s="25">
        <v>182</v>
      </c>
      <c r="C190" s="26"/>
      <c r="D190" s="30"/>
      <c r="E190" s="26"/>
      <c r="F190" s="26"/>
      <c r="G190" s="26"/>
      <c r="H190" s="27"/>
      <c r="I190" s="27"/>
      <c r="J190" s="27"/>
      <c r="K190" s="27"/>
      <c r="L190" s="28"/>
      <c r="M190" s="29"/>
      <c r="N190" s="29"/>
      <c r="O190" s="28"/>
      <c r="P190" s="25"/>
    </row>
    <row r="191" spans="2:16" ht="15" customHeight="1">
      <c r="B191" s="25">
        <v>183</v>
      </c>
      <c r="C191" s="26"/>
      <c r="D191" s="30"/>
      <c r="E191" s="26"/>
      <c r="F191" s="26"/>
      <c r="G191" s="26"/>
      <c r="H191" s="27"/>
      <c r="I191" s="27"/>
      <c r="J191" s="27"/>
      <c r="K191" s="27"/>
      <c r="L191" s="28"/>
      <c r="M191" s="29"/>
      <c r="N191" s="29"/>
      <c r="O191" s="28"/>
      <c r="P191" s="25"/>
    </row>
    <row r="192" spans="2:16" ht="15" customHeight="1">
      <c r="B192" s="25">
        <v>184</v>
      </c>
      <c r="C192" s="26"/>
      <c r="D192" s="30"/>
      <c r="E192" s="26"/>
      <c r="F192" s="26"/>
      <c r="G192" s="26"/>
      <c r="H192" s="27"/>
      <c r="I192" s="27"/>
      <c r="J192" s="27"/>
      <c r="K192" s="27"/>
      <c r="L192" s="28"/>
      <c r="M192" s="29"/>
      <c r="N192" s="29"/>
      <c r="O192" s="28"/>
      <c r="P192" s="25"/>
    </row>
    <row r="193" spans="2:16" ht="15" customHeight="1">
      <c r="B193" s="25">
        <v>185</v>
      </c>
      <c r="C193" s="26"/>
      <c r="D193" s="30"/>
      <c r="E193" s="26"/>
      <c r="F193" s="26"/>
      <c r="G193" s="26"/>
      <c r="H193" s="27"/>
      <c r="I193" s="27"/>
      <c r="J193" s="27"/>
      <c r="K193" s="27"/>
      <c r="L193" s="28"/>
      <c r="M193" s="29"/>
      <c r="N193" s="29"/>
      <c r="O193" s="28"/>
      <c r="P193" s="25"/>
    </row>
    <row r="194" spans="2:16" ht="15" customHeight="1">
      <c r="B194" s="25">
        <v>186</v>
      </c>
      <c r="C194" s="26"/>
      <c r="D194" s="30"/>
      <c r="E194" s="26"/>
      <c r="F194" s="26"/>
      <c r="G194" s="26"/>
      <c r="H194" s="27"/>
      <c r="I194" s="27"/>
      <c r="J194" s="27"/>
      <c r="K194" s="27"/>
      <c r="L194" s="28"/>
      <c r="M194" s="29"/>
      <c r="N194" s="29"/>
      <c r="O194" s="28"/>
      <c r="P194" s="25"/>
    </row>
    <row r="195" spans="2:16" ht="15" customHeight="1">
      <c r="B195" s="25">
        <v>187</v>
      </c>
      <c r="C195" s="26"/>
      <c r="D195" s="30"/>
      <c r="E195" s="26"/>
      <c r="F195" s="26"/>
      <c r="G195" s="26"/>
      <c r="H195" s="27"/>
      <c r="I195" s="27"/>
      <c r="J195" s="27"/>
      <c r="K195" s="27"/>
      <c r="L195" s="28"/>
      <c r="M195" s="29"/>
      <c r="N195" s="29"/>
      <c r="O195" s="28"/>
      <c r="P195" s="25"/>
    </row>
    <row r="196" spans="2:16" ht="15" customHeight="1">
      <c r="B196" s="25">
        <v>188</v>
      </c>
      <c r="C196" s="26"/>
      <c r="D196" s="30"/>
      <c r="E196" s="26"/>
      <c r="F196" s="26"/>
      <c r="G196" s="26"/>
      <c r="H196" s="27"/>
      <c r="I196" s="27"/>
      <c r="J196" s="27"/>
      <c r="K196" s="27"/>
      <c r="L196" s="28"/>
      <c r="M196" s="29"/>
      <c r="N196" s="29"/>
      <c r="O196" s="28"/>
      <c r="P196" s="25"/>
    </row>
    <row r="197" spans="2:16" ht="15" customHeight="1">
      <c r="B197" s="25">
        <v>189</v>
      </c>
      <c r="C197" s="26"/>
      <c r="D197" s="30"/>
      <c r="E197" s="26"/>
      <c r="F197" s="26"/>
      <c r="G197" s="26"/>
      <c r="H197" s="27"/>
      <c r="I197" s="27"/>
      <c r="J197" s="27"/>
      <c r="K197" s="27"/>
      <c r="L197" s="28"/>
      <c r="M197" s="29"/>
      <c r="N197" s="29"/>
      <c r="O197" s="28"/>
      <c r="P197" s="25"/>
    </row>
    <row r="198" spans="2:16" ht="15" customHeight="1">
      <c r="B198" s="25">
        <v>190</v>
      </c>
      <c r="C198" s="26"/>
      <c r="D198" s="30"/>
      <c r="E198" s="26"/>
      <c r="F198" s="26"/>
      <c r="G198" s="26"/>
      <c r="H198" s="27"/>
      <c r="I198" s="27"/>
      <c r="J198" s="27"/>
      <c r="K198" s="27"/>
      <c r="L198" s="28"/>
      <c r="M198" s="29"/>
      <c r="N198" s="29"/>
      <c r="O198" s="28"/>
      <c r="P198" s="25"/>
    </row>
    <row r="199" spans="2:16" ht="15" customHeight="1">
      <c r="B199" s="25">
        <v>191</v>
      </c>
      <c r="C199" s="26"/>
      <c r="D199" s="30"/>
      <c r="E199" s="26"/>
      <c r="F199" s="26"/>
      <c r="G199" s="26"/>
      <c r="H199" s="27"/>
      <c r="I199" s="27"/>
      <c r="J199" s="27"/>
      <c r="K199" s="27"/>
      <c r="L199" s="28"/>
      <c r="M199" s="29"/>
      <c r="N199" s="29"/>
      <c r="O199" s="28"/>
      <c r="P199" s="25"/>
    </row>
    <row r="200" spans="2:16" ht="15" customHeight="1">
      <c r="B200" s="25">
        <v>192</v>
      </c>
      <c r="C200" s="26"/>
      <c r="D200" s="30"/>
      <c r="E200" s="26"/>
      <c r="F200" s="26"/>
      <c r="G200" s="26"/>
      <c r="H200" s="27"/>
      <c r="I200" s="27"/>
      <c r="J200" s="27"/>
      <c r="K200" s="27"/>
      <c r="L200" s="28"/>
      <c r="M200" s="29"/>
      <c r="N200" s="29"/>
      <c r="O200" s="28"/>
      <c r="P200" s="25"/>
    </row>
  </sheetData>
  <sheetProtection algorithmName="SHA-512" hashValue="O0g57021hUHdoSj96eZ4OrRhWT8BzdCUf20DXWFRPlNtGU7+PliMS0pjDe2uXNMJkZodXwDwgNZT8GDNXpdP4w==" saltValue="hhe19nD7nmrnKvWWGraWYA==" spinCount="100000" sheet="1" objects="1" scenarios="1" formatCells="0" formatColumns="0" formatRows="0" insertRows="0" insertHyperlinks="0" deleteRows="0" sort="0" autoFilter="0" pivotTables="0"/>
  <protectedRanges>
    <protectedRange sqref="A9:XFD1048576" name="Range3"/>
  </protectedRanges>
  <mergeCells count="10">
    <mergeCell ref="B2:D2"/>
    <mergeCell ref="J5:K6"/>
    <mergeCell ref="E2:P2"/>
    <mergeCell ref="J3:K4"/>
    <mergeCell ref="E3:E4"/>
    <mergeCell ref="E5:E6"/>
    <mergeCell ref="B3:D4"/>
    <mergeCell ref="B5:D6"/>
    <mergeCell ref="F3:F4"/>
    <mergeCell ref="H3:H4"/>
  </mergeCells>
  <conditionalFormatting sqref="H9:I200">
    <cfRule type="cellIs" dxfId="9" priority="6" operator="equal">
      <formula>"Completa/Concluído"</formula>
    </cfRule>
  </conditionalFormatting>
  <conditionalFormatting sqref="H9:I200">
    <cfRule type="cellIs" dxfId="8" priority="7" operator="equal">
      <formula>"Planeada/Planejada"</formula>
    </cfRule>
  </conditionalFormatting>
  <conditionalFormatting sqref="H9:I200">
    <cfRule type="cellIs" dxfId="7" priority="8" operator="equal">
      <formula>"En Curso/Andamento"</formula>
    </cfRule>
  </conditionalFormatting>
  <conditionalFormatting sqref="H9:I200">
    <cfRule type="cellIs" dxfId="6" priority="9" operator="equal">
      <formula>"Retardo/Atrasada"</formula>
    </cfRule>
  </conditionalFormatting>
  <conditionalFormatting sqref="H9:I200">
    <cfRule type="cellIs" dxfId="5" priority="10" operator="equal">
      <formula>"Cancelada"</formula>
    </cfRule>
  </conditionalFormatting>
  <conditionalFormatting sqref="J9:J200">
    <cfRule type="cellIs" dxfId="4" priority="1" operator="equal">
      <formula>"Completa/Concluído"</formula>
    </cfRule>
  </conditionalFormatting>
  <conditionalFormatting sqref="J9:J200">
    <cfRule type="cellIs" dxfId="3" priority="2" operator="equal">
      <formula>"Planeada/Planejada"</formula>
    </cfRule>
  </conditionalFormatting>
  <conditionalFormatting sqref="J9:J200">
    <cfRule type="cellIs" dxfId="2" priority="3" operator="equal">
      <formula>"En Curso/Andamento"</formula>
    </cfRule>
  </conditionalFormatting>
  <conditionalFormatting sqref="J9:J200">
    <cfRule type="cellIs" dxfId="1" priority="4" operator="equal">
      <formula>"Retardo/Atrasada"</formula>
    </cfRule>
  </conditionalFormatting>
  <conditionalFormatting sqref="J9:J200">
    <cfRule type="cellIs" dxfId="0" priority="5" operator="equal">
      <formula>"Cancelada"</formula>
    </cfRule>
  </conditionalFormatting>
  <dataValidations count="6">
    <dataValidation type="list" allowBlank="1" showErrorMessage="1" sqref="P9:P200" xr:uid="{00000000-0002-0000-0100-000001000000}">
      <formula1>"Eficaz,Não Eficaz,Parcialmente Eficaz"</formula1>
    </dataValidation>
    <dataValidation type="list" allowBlank="1" showErrorMessage="1" sqref="H9:H200" xr:uid="{00000000-0002-0000-0100-000002000000}">
      <formula1>"Preventiva,Corretiva"</formula1>
    </dataValidation>
    <dataValidation type="list" allowBlank="1" showErrorMessage="1" sqref="K9:K200" xr:uid="{00000000-0002-0000-0100-000003000000}">
      <formula1>"Y,N"</formula1>
    </dataValidation>
    <dataValidation type="list" allowBlank="1" showErrorMessage="1" sqref="I9:I200" xr:uid="{F3071473-32BA-4E19-9CB2-B94918D5D91A}">
      <formula1>"Antes da Mudança,Depois da Mudança"</formula1>
    </dataValidation>
    <dataValidation type="list" allowBlank="1" showErrorMessage="1" sqref="J9:J200" xr:uid="{DA686B58-1D57-4100-99A1-393B9A961972}">
      <formula1>"Planeada/Planejada,En Curso/Andamento,Retardo/Atrasada,Completa/Concluído,Cancelada"</formula1>
    </dataValidation>
    <dataValidation type="list" allowBlank="1" showErrorMessage="1" sqref="C9:C200" xr:uid="{801619D8-1A83-45FD-B180-90FA566CEC26}">
      <formula1>"H &amp; S,Chemical,Eletrical,Organizational,Ergonomics,Environment,Equipament,Facilities,Emergency &amp; Fire,Compliance,outros,N/A"</formula1>
    </dataValidation>
  </dataValidations>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603C2-AF34-447B-A7DB-8249614774D2}">
  <sheetPr>
    <tabColor rgb="FFE645C8"/>
  </sheetPr>
  <dimension ref="A1:I44"/>
  <sheetViews>
    <sheetView showGridLines="0" workbookViewId="0">
      <pane ySplit="3" topLeftCell="A6" activePane="bottomLeft" state="frozen"/>
      <selection pane="bottomLeft" activeCell="F7" sqref="F7"/>
    </sheetView>
  </sheetViews>
  <sheetFormatPr defaultColWidth="0" defaultRowHeight="15.75" customHeight="1"/>
  <cols>
    <col min="1" max="1" width="2" style="38" customWidth="1"/>
    <col min="2" max="2" width="19.7109375" style="66" customWidth="1"/>
    <col min="3" max="3" width="54.7109375" style="38" customWidth="1"/>
    <col min="4" max="4" width="48.28515625" style="38" customWidth="1"/>
    <col min="5" max="7" width="5.42578125" style="66" customWidth="1"/>
    <col min="8" max="8" width="58.42578125" style="38" customWidth="1"/>
    <col min="9" max="11" width="12.5703125" style="38" customWidth="1"/>
    <col min="12" max="16384" width="0" style="38" hidden="1"/>
  </cols>
  <sheetData>
    <row r="1" spans="1:9" ht="9.75" customHeight="1">
      <c r="B1" s="65"/>
      <c r="C1" s="51"/>
      <c r="D1" s="51"/>
      <c r="E1" s="65"/>
      <c r="F1" s="65"/>
      <c r="G1" s="65"/>
      <c r="H1" s="51"/>
    </row>
    <row r="2" spans="1:9" ht="24.75" customHeight="1">
      <c r="A2" s="51"/>
      <c r="B2" s="237" t="s">
        <v>102</v>
      </c>
      <c r="C2" s="237"/>
      <c r="D2" s="237"/>
      <c r="E2" s="237"/>
      <c r="F2" s="237"/>
      <c r="G2" s="237"/>
      <c r="H2" s="237"/>
      <c r="I2" s="51"/>
    </row>
    <row r="3" spans="1:9" ht="51.75" customHeight="1">
      <c r="A3" s="51"/>
      <c r="B3" s="57" t="s">
        <v>103</v>
      </c>
      <c r="C3" s="57" t="s">
        <v>104</v>
      </c>
      <c r="D3" s="57" t="s">
        <v>105</v>
      </c>
      <c r="E3" s="57" t="s">
        <v>106</v>
      </c>
      <c r="F3" s="58" t="s">
        <v>107</v>
      </c>
      <c r="G3" s="58" t="s">
        <v>108</v>
      </c>
      <c r="H3" s="59" t="s">
        <v>109</v>
      </c>
      <c r="I3" s="51"/>
    </row>
    <row r="4" spans="1:9" ht="17.25" customHeight="1">
      <c r="A4" s="51"/>
      <c r="B4" s="105" t="s">
        <v>110</v>
      </c>
      <c r="C4" s="106"/>
      <c r="D4" s="106"/>
      <c r="E4" s="109"/>
      <c r="F4" s="109"/>
      <c r="G4" s="109"/>
      <c r="H4" s="107"/>
      <c r="I4" s="51"/>
    </row>
    <row r="5" spans="1:9" s="69" customFormat="1" ht="84">
      <c r="A5" s="67"/>
      <c r="B5" s="64">
        <v>1</v>
      </c>
      <c r="C5" s="62" t="s">
        <v>111</v>
      </c>
      <c r="D5" s="60" t="s">
        <v>112</v>
      </c>
      <c r="E5" s="68"/>
      <c r="F5" s="68"/>
      <c r="G5" s="68"/>
      <c r="H5" s="61"/>
    </row>
    <row r="6" spans="1:9" s="69" customFormat="1" ht="24">
      <c r="A6" s="67"/>
      <c r="B6" s="64">
        <v>2</v>
      </c>
      <c r="C6" s="63" t="s">
        <v>113</v>
      </c>
      <c r="D6" s="53"/>
      <c r="E6" s="64"/>
      <c r="F6" s="64"/>
      <c r="G6" s="64"/>
      <c r="H6" s="53"/>
    </row>
    <row r="7" spans="1:9" s="69" customFormat="1" ht="71.25" customHeight="1">
      <c r="A7" s="67"/>
      <c r="B7" s="73">
        <v>3</v>
      </c>
      <c r="C7" s="74" t="s">
        <v>114</v>
      </c>
      <c r="D7" s="75"/>
      <c r="E7" s="73"/>
      <c r="F7" s="73"/>
      <c r="G7" s="73"/>
      <c r="H7" s="76"/>
    </row>
    <row r="8" spans="1:9" s="69" customFormat="1" ht="48">
      <c r="A8" s="67"/>
      <c r="B8" s="64">
        <v>4</v>
      </c>
      <c r="C8" s="52" t="s">
        <v>115</v>
      </c>
      <c r="D8" s="52" t="s">
        <v>116</v>
      </c>
      <c r="E8" s="64"/>
      <c r="F8" s="64"/>
      <c r="G8" s="64"/>
      <c r="H8" s="52"/>
      <c r="I8" s="67"/>
    </row>
    <row r="9" spans="1:9" s="69" customFormat="1" ht="17.25" customHeight="1">
      <c r="A9" s="67"/>
      <c r="B9" s="105" t="s">
        <v>117</v>
      </c>
      <c r="C9" s="106"/>
      <c r="D9" s="106"/>
      <c r="E9" s="109"/>
      <c r="F9" s="109"/>
      <c r="G9" s="109"/>
      <c r="H9" s="107"/>
      <c r="I9" s="67"/>
    </row>
    <row r="10" spans="1:9" s="69" customFormat="1" ht="107.25">
      <c r="A10" s="67"/>
      <c r="B10" s="64">
        <v>5</v>
      </c>
      <c r="C10" s="52" t="s">
        <v>118</v>
      </c>
      <c r="D10" s="52" t="s">
        <v>119</v>
      </c>
      <c r="E10" s="70"/>
      <c r="F10" s="64"/>
      <c r="G10" s="64"/>
      <c r="H10" s="54"/>
      <c r="I10" s="67"/>
    </row>
    <row r="11" spans="1:9" s="69" customFormat="1" ht="72">
      <c r="A11" s="67"/>
      <c r="B11" s="73">
        <v>6</v>
      </c>
      <c r="C11" s="76" t="s">
        <v>120</v>
      </c>
      <c r="D11" s="75"/>
      <c r="E11" s="102"/>
      <c r="F11" s="73"/>
      <c r="G11" s="73"/>
      <c r="H11" s="76"/>
      <c r="I11" s="67"/>
    </row>
    <row r="12" spans="1:9" s="69" customFormat="1" ht="20.25" customHeight="1">
      <c r="A12" s="67"/>
      <c r="B12" s="105" t="s">
        <v>121</v>
      </c>
      <c r="C12" s="106"/>
      <c r="D12" s="106"/>
      <c r="E12" s="109"/>
      <c r="F12" s="109"/>
      <c r="G12" s="109"/>
      <c r="H12" s="107"/>
      <c r="I12" s="67"/>
    </row>
    <row r="13" spans="1:9" s="69" customFormat="1" ht="159" customHeight="1">
      <c r="A13" s="67"/>
      <c r="B13" s="68">
        <v>7</v>
      </c>
      <c r="C13" s="60" t="s">
        <v>122</v>
      </c>
      <c r="D13" s="60" t="s">
        <v>123</v>
      </c>
      <c r="E13" s="103"/>
      <c r="F13" s="68"/>
      <c r="G13" s="68"/>
      <c r="H13" s="104"/>
      <c r="I13" s="67"/>
    </row>
    <row r="14" spans="1:9" s="69" customFormat="1" ht="117" customHeight="1">
      <c r="A14" s="67"/>
      <c r="B14" s="64">
        <v>8</v>
      </c>
      <c r="C14" s="52" t="s">
        <v>124</v>
      </c>
      <c r="D14" s="52" t="s">
        <v>125</v>
      </c>
      <c r="E14" s="70"/>
      <c r="F14" s="64"/>
      <c r="G14" s="64"/>
      <c r="H14" s="53"/>
      <c r="I14" s="67"/>
    </row>
    <row r="15" spans="1:9" s="69" customFormat="1" ht="98.25" customHeight="1">
      <c r="A15" s="67"/>
      <c r="B15" s="64">
        <v>9</v>
      </c>
      <c r="C15" s="52" t="s">
        <v>126</v>
      </c>
      <c r="D15" s="52" t="s">
        <v>127</v>
      </c>
      <c r="E15" s="70"/>
      <c r="F15" s="64"/>
      <c r="G15" s="64"/>
      <c r="H15" s="52"/>
      <c r="I15" s="67"/>
    </row>
    <row r="16" spans="1:9" s="69" customFormat="1" ht="36">
      <c r="A16" s="67"/>
      <c r="B16" s="64">
        <v>10</v>
      </c>
      <c r="C16" s="52" t="s">
        <v>128</v>
      </c>
      <c r="D16" s="53"/>
      <c r="E16" s="70"/>
      <c r="F16" s="64"/>
      <c r="G16" s="64"/>
      <c r="H16" s="52"/>
      <c r="I16" s="67"/>
    </row>
    <row r="17" spans="1:9" s="69" customFormat="1" ht="48">
      <c r="A17" s="67"/>
      <c r="B17" s="64">
        <v>11</v>
      </c>
      <c r="C17" s="52" t="s">
        <v>129</v>
      </c>
      <c r="D17" s="53"/>
      <c r="E17" s="70"/>
      <c r="F17" s="64"/>
      <c r="G17" s="64"/>
      <c r="H17" s="52"/>
      <c r="I17" s="67"/>
    </row>
    <row r="18" spans="1:9" s="69" customFormat="1" ht="60">
      <c r="A18" s="67"/>
      <c r="B18" s="64">
        <v>12</v>
      </c>
      <c r="C18" s="52" t="s">
        <v>130</v>
      </c>
      <c r="D18" s="53"/>
      <c r="E18" s="70"/>
      <c r="F18" s="64"/>
      <c r="G18" s="64"/>
      <c r="H18" s="53"/>
      <c r="I18" s="67"/>
    </row>
    <row r="19" spans="1:9" s="69" customFormat="1" ht="48">
      <c r="A19" s="67"/>
      <c r="B19" s="64">
        <v>13</v>
      </c>
      <c r="C19" s="52" t="s">
        <v>131</v>
      </c>
      <c r="D19" s="53"/>
      <c r="E19" s="70"/>
      <c r="F19" s="64"/>
      <c r="G19" s="64"/>
      <c r="H19" s="53"/>
      <c r="I19" s="67"/>
    </row>
    <row r="20" spans="1:9" s="69" customFormat="1" ht="20.25" customHeight="1">
      <c r="A20" s="67"/>
      <c r="B20" s="105" t="s">
        <v>132</v>
      </c>
      <c r="C20" s="106"/>
      <c r="D20" s="106"/>
      <c r="E20" s="109"/>
      <c r="F20" s="109"/>
      <c r="G20" s="109"/>
      <c r="H20" s="107"/>
      <c r="I20" s="67"/>
    </row>
    <row r="21" spans="1:9" s="69" customFormat="1" ht="96">
      <c r="A21" s="67"/>
      <c r="B21" s="64">
        <v>14</v>
      </c>
      <c r="C21" s="52" t="s">
        <v>133</v>
      </c>
      <c r="D21" s="52" t="s">
        <v>134</v>
      </c>
      <c r="E21" s="64"/>
      <c r="F21" s="64"/>
      <c r="G21" s="70"/>
      <c r="H21" s="53"/>
      <c r="I21" s="67"/>
    </row>
    <row r="22" spans="1:9" s="69" customFormat="1" ht="24">
      <c r="A22" s="67"/>
      <c r="B22" s="64">
        <v>15</v>
      </c>
      <c r="C22" s="52" t="s">
        <v>135</v>
      </c>
      <c r="D22" s="53"/>
      <c r="E22" s="64"/>
      <c r="F22" s="64"/>
      <c r="G22" s="70"/>
      <c r="H22" s="53"/>
      <c r="I22" s="67"/>
    </row>
    <row r="23" spans="1:9" s="69" customFormat="1" ht="48">
      <c r="A23" s="67"/>
      <c r="B23" s="64">
        <v>16</v>
      </c>
      <c r="C23" s="52" t="s">
        <v>136</v>
      </c>
      <c r="D23" s="53"/>
      <c r="E23" s="64"/>
      <c r="F23" s="64"/>
      <c r="G23" s="70"/>
      <c r="H23" s="53"/>
      <c r="I23" s="67"/>
    </row>
    <row r="24" spans="1:9" s="69" customFormat="1" ht="48">
      <c r="A24" s="67"/>
      <c r="B24" s="64">
        <v>17</v>
      </c>
      <c r="C24" s="52" t="s">
        <v>137</v>
      </c>
      <c r="D24" s="53"/>
      <c r="E24" s="64"/>
      <c r="F24" s="64"/>
      <c r="G24" s="70"/>
      <c r="H24" s="53"/>
      <c r="I24" s="67"/>
    </row>
    <row r="25" spans="1:9" s="69" customFormat="1" ht="48">
      <c r="A25" s="67"/>
      <c r="B25" s="64">
        <v>18</v>
      </c>
      <c r="C25" s="52" t="s">
        <v>138</v>
      </c>
      <c r="D25" s="53"/>
      <c r="E25" s="64"/>
      <c r="F25" s="64"/>
      <c r="G25" s="70"/>
      <c r="H25" s="53"/>
      <c r="I25" s="67"/>
    </row>
    <row r="26" spans="1:9" s="69" customFormat="1" ht="60">
      <c r="A26" s="67"/>
      <c r="B26" s="64">
        <v>19</v>
      </c>
      <c r="C26" s="52" t="s">
        <v>139</v>
      </c>
      <c r="D26" s="53"/>
      <c r="E26" s="64"/>
      <c r="F26" s="64"/>
      <c r="G26" s="70"/>
      <c r="H26" s="53"/>
      <c r="I26" s="67"/>
    </row>
    <row r="27" spans="1:9" s="69" customFormat="1" ht="18.75" customHeight="1">
      <c r="A27" s="67"/>
      <c r="B27" s="105" t="s">
        <v>140</v>
      </c>
      <c r="C27" s="106"/>
      <c r="D27" s="106"/>
      <c r="E27" s="109"/>
      <c r="F27" s="109"/>
      <c r="G27" s="109"/>
      <c r="H27" s="107"/>
      <c r="I27" s="67"/>
    </row>
    <row r="28" spans="1:9" s="69" customFormat="1" ht="24">
      <c r="A28" s="67"/>
      <c r="B28" s="64">
        <v>20</v>
      </c>
      <c r="C28" s="52" t="s">
        <v>141</v>
      </c>
      <c r="D28" s="53"/>
      <c r="E28" s="70"/>
      <c r="F28" s="64"/>
      <c r="G28" s="64"/>
      <c r="H28" s="52"/>
      <c r="I28" s="67"/>
    </row>
    <row r="29" spans="1:9" s="69" customFormat="1" ht="48">
      <c r="A29" s="67"/>
      <c r="B29" s="64">
        <v>21</v>
      </c>
      <c r="C29" s="52" t="s">
        <v>142</v>
      </c>
      <c r="D29" s="52" t="s">
        <v>143</v>
      </c>
      <c r="E29" s="70"/>
      <c r="F29" s="64"/>
      <c r="G29" s="70"/>
      <c r="H29" s="55"/>
      <c r="I29" s="67"/>
    </row>
    <row r="30" spans="1:9" s="69" customFormat="1" ht="24">
      <c r="A30" s="67"/>
      <c r="B30" s="72">
        <v>22</v>
      </c>
      <c r="C30" s="56" t="s">
        <v>144</v>
      </c>
      <c r="D30" s="53"/>
      <c r="E30" s="64"/>
      <c r="F30" s="70"/>
      <c r="G30" s="64"/>
      <c r="H30" s="52"/>
      <c r="I30" s="67"/>
    </row>
    <row r="31" spans="1:9" s="69" customFormat="1" ht="60">
      <c r="A31" s="67"/>
      <c r="B31" s="64">
        <v>23</v>
      </c>
      <c r="C31" s="52" t="s">
        <v>145</v>
      </c>
      <c r="D31" s="52" t="s">
        <v>146</v>
      </c>
      <c r="E31" s="70"/>
      <c r="F31" s="64"/>
      <c r="G31" s="64"/>
      <c r="H31" s="52"/>
      <c r="I31" s="67"/>
    </row>
    <row r="32" spans="1:9" s="69" customFormat="1" ht="48">
      <c r="A32" s="67"/>
      <c r="B32" s="64">
        <v>24</v>
      </c>
      <c r="C32" s="52" t="s">
        <v>147</v>
      </c>
      <c r="D32" s="53"/>
      <c r="E32" s="64"/>
      <c r="F32" s="64"/>
      <c r="G32" s="70"/>
      <c r="H32" s="53"/>
      <c r="I32" s="67"/>
    </row>
    <row r="33" spans="1:9" s="69" customFormat="1" ht="36">
      <c r="A33" s="67"/>
      <c r="B33" s="72">
        <v>25</v>
      </c>
      <c r="C33" s="56" t="s">
        <v>148</v>
      </c>
      <c r="D33" s="52" t="s">
        <v>149</v>
      </c>
      <c r="E33" s="70"/>
      <c r="F33" s="70"/>
      <c r="G33" s="64"/>
      <c r="H33" s="52"/>
      <c r="I33" s="67"/>
    </row>
    <row r="34" spans="1:9" s="69" customFormat="1" ht="36">
      <c r="A34" s="67"/>
      <c r="B34" s="72">
        <v>26</v>
      </c>
      <c r="C34" s="56" t="s">
        <v>150</v>
      </c>
      <c r="D34" s="53"/>
      <c r="E34" s="64"/>
      <c r="F34" s="70"/>
      <c r="G34" s="64"/>
      <c r="H34" s="52"/>
      <c r="I34" s="67"/>
    </row>
    <row r="35" spans="1:9" s="69" customFormat="1" ht="84">
      <c r="A35" s="67"/>
      <c r="B35" s="64">
        <v>27</v>
      </c>
      <c r="C35" s="52" t="s">
        <v>151</v>
      </c>
      <c r="D35" s="53"/>
      <c r="E35" s="64"/>
      <c r="F35" s="64"/>
      <c r="G35" s="64"/>
      <c r="H35" s="53"/>
      <c r="I35" s="67"/>
    </row>
    <row r="36" spans="1:9" s="69" customFormat="1" ht="15.75" customHeight="1">
      <c r="B36" s="77"/>
      <c r="C36" s="67"/>
      <c r="D36" s="67"/>
      <c r="E36" s="77"/>
      <c r="F36" s="77"/>
      <c r="G36" s="77"/>
      <c r="H36" s="67"/>
    </row>
    <row r="37" spans="1:9" s="69" customFormat="1" ht="15.75" customHeight="1">
      <c r="B37" s="71"/>
      <c r="D37" s="108" t="s">
        <v>152</v>
      </c>
      <c r="E37" s="71">
        <f>COUNTA(E4:E35)</f>
        <v>0</v>
      </c>
      <c r="F37" s="71">
        <f t="shared" ref="F37:G37" si="0">COUNTA(F4:F35)</f>
        <v>0</v>
      </c>
      <c r="G37" s="71">
        <f t="shared" si="0"/>
        <v>0</v>
      </c>
      <c r="H37" s="111">
        <f>SUM(E37:G37)</f>
        <v>0</v>
      </c>
    </row>
    <row r="38" spans="1:9" s="69" customFormat="1" ht="15.75" customHeight="1">
      <c r="B38" s="71"/>
      <c r="D38" s="108" t="s">
        <v>152</v>
      </c>
      <c r="E38" s="110" t="str">
        <f>IFERROR(E37/$H$37,"-")</f>
        <v>-</v>
      </c>
      <c r="F38" s="110" t="str">
        <f>IFERROR(F37/$H$37,"-")</f>
        <v>-</v>
      </c>
      <c r="G38" s="110" t="str">
        <f>IFERROR(G37/$H$37,"-")</f>
        <v>-</v>
      </c>
    </row>
    <row r="39" spans="1:9" s="69" customFormat="1" ht="15.75" customHeight="1">
      <c r="B39" s="71"/>
      <c r="E39" s="71"/>
      <c r="F39" s="71"/>
      <c r="G39" s="71"/>
    </row>
    <row r="40" spans="1:9" s="69" customFormat="1" ht="15.75" customHeight="1">
      <c r="B40" s="71"/>
      <c r="E40" s="71"/>
      <c r="F40" s="71"/>
      <c r="G40" s="71"/>
    </row>
    <row r="41" spans="1:9" s="69" customFormat="1" ht="15.75" customHeight="1">
      <c r="B41" s="71"/>
      <c r="E41" s="71"/>
      <c r="F41" s="71"/>
      <c r="G41" s="71"/>
    </row>
    <row r="42" spans="1:9" s="69" customFormat="1" ht="15.75" customHeight="1">
      <c r="B42" s="71"/>
      <c r="E42" s="71"/>
      <c r="F42" s="71"/>
      <c r="G42" s="71"/>
    </row>
    <row r="43" spans="1:9" s="69" customFormat="1" ht="15.75" customHeight="1">
      <c r="B43" s="71"/>
      <c r="E43" s="71"/>
      <c r="F43" s="71"/>
      <c r="G43" s="71"/>
    </row>
    <row r="44" spans="1:9" s="69" customFormat="1" ht="15.75" customHeight="1">
      <c r="B44" s="71"/>
      <c r="E44" s="71"/>
      <c r="F44" s="71"/>
      <c r="G44" s="71"/>
    </row>
  </sheetData>
  <sheetProtection algorithmName="SHA-512" hashValue="HWmkLyqKicGdg5PLowjtEBPpQ27/hSZ0e9iwn6OmB9Ddza3604mgcoYL1nk+Ughe2gvr9ToIjvhcD0ty9Ol6/Q==" saltValue="68hElvJr/Zk4Y++JTrMKkg==" spinCount="100000" sheet="1" objects="1" scenarios="1"/>
  <protectedRanges>
    <protectedRange sqref="E5:H36" name="Range1"/>
  </protectedRanges>
  <mergeCells count="1">
    <mergeCell ref="B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BD2A3-F199-432E-B467-2D88F6EBBF9A}">
  <sheetPr>
    <tabColor rgb="FFE645C8"/>
  </sheetPr>
  <dimension ref="A1:I29"/>
  <sheetViews>
    <sheetView showGridLines="0" workbookViewId="0">
      <pane ySplit="3" topLeftCell="A4" activePane="bottomLeft" state="frozen"/>
      <selection pane="bottomLeft" activeCell="G28" sqref="G28"/>
    </sheetView>
  </sheetViews>
  <sheetFormatPr defaultColWidth="0" defaultRowHeight="15.75" customHeight="1"/>
  <cols>
    <col min="1" max="1" width="2" style="38" customWidth="1"/>
    <col min="2" max="2" width="19.7109375" style="66" customWidth="1"/>
    <col min="3" max="3" width="54.7109375" style="38" customWidth="1"/>
    <col min="4" max="4" width="48.28515625" style="38" customWidth="1"/>
    <col min="5" max="7" width="5.5703125" style="38" customWidth="1"/>
    <col min="8" max="8" width="58.42578125" style="38" customWidth="1"/>
    <col min="9" max="11" width="12.5703125" style="38" customWidth="1"/>
    <col min="12" max="16384" width="0" style="38" hidden="1"/>
  </cols>
  <sheetData>
    <row r="1" spans="1:9" s="69" customFormat="1" ht="9.75" customHeight="1">
      <c r="B1" s="77"/>
      <c r="C1" s="67"/>
      <c r="D1" s="67"/>
      <c r="E1" s="67"/>
      <c r="F1" s="67"/>
      <c r="G1" s="67"/>
      <c r="H1" s="67"/>
    </row>
    <row r="2" spans="1:9" s="69" customFormat="1" ht="24.75" customHeight="1">
      <c r="A2" s="67"/>
      <c r="B2" s="238" t="s">
        <v>153</v>
      </c>
      <c r="C2" s="238"/>
      <c r="D2" s="238"/>
      <c r="E2" s="238"/>
      <c r="F2" s="238"/>
      <c r="G2" s="238"/>
      <c r="H2" s="238"/>
      <c r="I2" s="67"/>
    </row>
    <row r="3" spans="1:9" s="69" customFormat="1" ht="51.75" customHeight="1">
      <c r="A3" s="67"/>
      <c r="B3" s="80" t="s">
        <v>103</v>
      </c>
      <c r="C3" s="80" t="s">
        <v>104</v>
      </c>
      <c r="D3" s="80" t="s">
        <v>105</v>
      </c>
      <c r="E3" s="80" t="s">
        <v>106</v>
      </c>
      <c r="F3" s="81" t="s">
        <v>107</v>
      </c>
      <c r="G3" s="81" t="s">
        <v>108</v>
      </c>
      <c r="H3" s="59" t="s">
        <v>109</v>
      </c>
      <c r="I3" s="67"/>
    </row>
    <row r="4" spans="1:9" s="69" customFormat="1" ht="17.25" customHeight="1">
      <c r="A4" s="67"/>
      <c r="B4" s="105"/>
      <c r="C4" s="106"/>
      <c r="D4" s="106"/>
      <c r="E4" s="109"/>
      <c r="F4" s="109"/>
      <c r="G4" s="109"/>
      <c r="H4" s="107"/>
      <c r="I4" s="67"/>
    </row>
    <row r="5" spans="1:9" s="69" customFormat="1" ht="84">
      <c r="A5" s="67"/>
      <c r="B5" s="64">
        <v>1</v>
      </c>
      <c r="C5" s="42" t="s">
        <v>154</v>
      </c>
      <c r="D5" s="42" t="s">
        <v>155</v>
      </c>
      <c r="E5" s="46"/>
      <c r="F5" s="43"/>
      <c r="G5" s="43"/>
      <c r="H5" s="44"/>
    </row>
    <row r="6" spans="1:9" s="69" customFormat="1" ht="60">
      <c r="A6" s="67"/>
      <c r="B6" s="73">
        <v>2</v>
      </c>
      <c r="C6" s="42" t="s">
        <v>156</v>
      </c>
      <c r="D6" s="44"/>
      <c r="E6" s="43"/>
      <c r="F6" s="43"/>
      <c r="G6" s="43"/>
      <c r="H6" s="45"/>
    </row>
    <row r="7" spans="1:9" s="69" customFormat="1" ht="79.5" customHeight="1">
      <c r="A7" s="67"/>
      <c r="B7" s="64">
        <v>3</v>
      </c>
      <c r="C7" s="42" t="s">
        <v>157</v>
      </c>
      <c r="D7" s="42" t="s">
        <v>158</v>
      </c>
      <c r="E7" s="43"/>
      <c r="F7" s="43"/>
      <c r="G7" s="43"/>
      <c r="H7" s="48"/>
      <c r="I7" s="67"/>
    </row>
    <row r="8" spans="1:9" s="69" customFormat="1" ht="130.5">
      <c r="A8" s="67"/>
      <c r="B8" s="73">
        <v>4</v>
      </c>
      <c r="C8" s="42" t="s">
        <v>159</v>
      </c>
      <c r="D8" s="42" t="s">
        <v>160</v>
      </c>
      <c r="E8" s="43"/>
      <c r="F8" s="43"/>
      <c r="G8" s="43"/>
      <c r="H8" s="48"/>
      <c r="I8" s="67"/>
    </row>
    <row r="9" spans="1:9" s="69" customFormat="1" ht="80.25" customHeight="1">
      <c r="A9" s="67"/>
      <c r="B9" s="64">
        <v>5</v>
      </c>
      <c r="C9" s="42" t="s">
        <v>161</v>
      </c>
      <c r="D9" s="42" t="s">
        <v>162</v>
      </c>
      <c r="E9" s="46"/>
      <c r="F9" s="43"/>
      <c r="G9" s="43"/>
      <c r="H9" s="48"/>
      <c r="I9" s="67"/>
    </row>
    <row r="10" spans="1:9" s="69" customFormat="1" ht="84">
      <c r="A10" s="67"/>
      <c r="B10" s="73">
        <v>6</v>
      </c>
      <c r="C10" s="50" t="s">
        <v>163</v>
      </c>
      <c r="D10" s="44"/>
      <c r="E10" s="43"/>
      <c r="F10" s="43"/>
      <c r="G10" s="43"/>
      <c r="H10" s="44"/>
      <c r="I10" s="67"/>
    </row>
    <row r="11" spans="1:9" s="69" customFormat="1" ht="48">
      <c r="A11" s="67"/>
      <c r="B11" s="64">
        <v>7</v>
      </c>
      <c r="C11" s="42" t="s">
        <v>164</v>
      </c>
      <c r="D11" s="42" t="s">
        <v>165</v>
      </c>
      <c r="E11" s="43"/>
      <c r="F11" s="43"/>
      <c r="G11" s="43"/>
      <c r="H11" s="48"/>
      <c r="I11" s="67"/>
    </row>
    <row r="12" spans="1:9" s="69" customFormat="1" ht="60">
      <c r="A12" s="67"/>
      <c r="B12" s="73">
        <v>8</v>
      </c>
      <c r="C12" s="42" t="s">
        <v>166</v>
      </c>
      <c r="D12" s="44"/>
      <c r="E12" s="43"/>
      <c r="F12" s="43"/>
      <c r="G12" s="43"/>
      <c r="H12" s="44"/>
      <c r="I12" s="67"/>
    </row>
    <row r="13" spans="1:9" s="69" customFormat="1" ht="60">
      <c r="A13" s="67"/>
      <c r="B13" s="64">
        <v>9</v>
      </c>
      <c r="C13" s="50" t="s">
        <v>167</v>
      </c>
      <c r="D13" s="44"/>
      <c r="E13" s="43"/>
      <c r="F13" s="43"/>
      <c r="G13" s="43"/>
      <c r="H13" s="48"/>
      <c r="I13" s="67"/>
    </row>
    <row r="14" spans="1:9" s="69" customFormat="1" ht="48">
      <c r="A14" s="67"/>
      <c r="B14" s="73">
        <v>10</v>
      </c>
      <c r="C14" s="42" t="s">
        <v>168</v>
      </c>
      <c r="D14" s="44"/>
      <c r="E14" s="43"/>
      <c r="F14" s="43"/>
      <c r="G14" s="43"/>
      <c r="H14" s="48"/>
      <c r="I14" s="67"/>
    </row>
    <row r="15" spans="1:9" s="69" customFormat="1" ht="48">
      <c r="A15" s="67"/>
      <c r="B15" s="64">
        <v>11</v>
      </c>
      <c r="C15" s="50" t="s">
        <v>169</v>
      </c>
      <c r="D15" s="42" t="s">
        <v>170</v>
      </c>
      <c r="E15" s="43"/>
      <c r="F15" s="43"/>
      <c r="G15" s="43"/>
      <c r="H15" s="44"/>
      <c r="I15" s="67"/>
    </row>
    <row r="16" spans="1:9" s="69" customFormat="1" ht="36">
      <c r="A16" s="67"/>
      <c r="B16" s="73">
        <v>12</v>
      </c>
      <c r="C16" s="42" t="s">
        <v>171</v>
      </c>
      <c r="D16" s="44"/>
      <c r="E16" s="43"/>
      <c r="F16" s="43"/>
      <c r="G16" s="43"/>
      <c r="H16" s="44"/>
      <c r="I16" s="67"/>
    </row>
    <row r="17" spans="1:9" s="69" customFormat="1" ht="48">
      <c r="A17" s="67"/>
      <c r="B17" s="64">
        <v>13</v>
      </c>
      <c r="C17" s="42" t="s">
        <v>172</v>
      </c>
      <c r="D17" s="44"/>
      <c r="E17" s="43"/>
      <c r="F17" s="43"/>
      <c r="G17" s="43"/>
      <c r="H17" s="48"/>
      <c r="I17" s="67"/>
    </row>
    <row r="18" spans="1:9" s="69" customFormat="1" ht="36">
      <c r="A18" s="67"/>
      <c r="B18" s="73">
        <v>14</v>
      </c>
      <c r="C18" s="42" t="s">
        <v>173</v>
      </c>
      <c r="D18" s="48"/>
      <c r="E18" s="43"/>
      <c r="F18" s="43"/>
      <c r="G18" s="43"/>
      <c r="H18" s="48"/>
      <c r="I18" s="67"/>
    </row>
    <row r="19" spans="1:9" s="69" customFormat="1" ht="60">
      <c r="A19" s="67"/>
      <c r="B19" s="64">
        <v>15</v>
      </c>
      <c r="C19" s="42" t="s">
        <v>174</v>
      </c>
      <c r="D19" s="48"/>
      <c r="E19" s="43"/>
      <c r="F19" s="43"/>
      <c r="G19" s="43"/>
      <c r="H19" s="47"/>
      <c r="I19" s="67"/>
    </row>
    <row r="20" spans="1:9" s="69" customFormat="1" ht="72">
      <c r="A20" s="67"/>
      <c r="B20" s="73">
        <v>16</v>
      </c>
      <c r="C20" s="42" t="s">
        <v>175</v>
      </c>
      <c r="D20" s="48"/>
      <c r="E20" s="43"/>
      <c r="F20" s="43"/>
      <c r="G20" s="43"/>
      <c r="H20" s="48"/>
      <c r="I20" s="67"/>
    </row>
    <row r="21" spans="1:9" s="69" customFormat="1" ht="72">
      <c r="A21" s="67"/>
      <c r="B21" s="64">
        <v>17</v>
      </c>
      <c r="C21" s="42" t="s">
        <v>176</v>
      </c>
      <c r="D21" s="48"/>
      <c r="E21" s="43"/>
      <c r="F21" s="43"/>
      <c r="G21" s="43"/>
      <c r="H21" s="44"/>
      <c r="I21" s="67"/>
    </row>
    <row r="22" spans="1:9" s="69" customFormat="1" ht="60">
      <c r="A22" s="67"/>
      <c r="B22" s="73">
        <v>18</v>
      </c>
      <c r="C22" s="42" t="s">
        <v>177</v>
      </c>
      <c r="D22" s="48"/>
      <c r="E22" s="43"/>
      <c r="F22" s="43"/>
      <c r="G22" s="43"/>
      <c r="H22" s="44"/>
      <c r="I22" s="67"/>
    </row>
    <row r="23" spans="1:9" s="69" customFormat="1" ht="79.5" customHeight="1">
      <c r="A23" s="67"/>
      <c r="B23" s="64">
        <v>19</v>
      </c>
      <c r="C23" s="42" t="s">
        <v>178</v>
      </c>
      <c r="D23" s="48"/>
      <c r="E23" s="43"/>
      <c r="F23" s="43"/>
      <c r="G23" s="43"/>
      <c r="H23" s="44"/>
      <c r="I23" s="67"/>
    </row>
    <row r="24" spans="1:9" ht="23.25" customHeight="1">
      <c r="A24" s="51"/>
      <c r="B24" s="105" t="s">
        <v>179</v>
      </c>
      <c r="C24" s="106"/>
      <c r="D24" s="106"/>
      <c r="E24" s="109"/>
      <c r="F24" s="109"/>
      <c r="G24" s="109"/>
      <c r="H24" s="107"/>
      <c r="I24" s="51"/>
    </row>
    <row r="25" spans="1:9" s="69" customFormat="1" ht="98.25" customHeight="1">
      <c r="A25" s="67"/>
      <c r="B25" s="83">
        <v>20</v>
      </c>
      <c r="C25" s="42" t="s">
        <v>180</v>
      </c>
      <c r="D25" s="42" t="s">
        <v>181</v>
      </c>
      <c r="E25" s="43"/>
      <c r="F25" s="43"/>
      <c r="G25" s="43"/>
      <c r="H25" s="48"/>
      <c r="I25" s="67"/>
    </row>
    <row r="26" spans="1:9" s="69" customFormat="1" ht="118.5" customHeight="1">
      <c r="A26" s="67"/>
      <c r="B26" s="83">
        <v>21</v>
      </c>
      <c r="C26" s="42" t="s">
        <v>182</v>
      </c>
      <c r="D26" s="42" t="s">
        <v>183</v>
      </c>
      <c r="E26" s="43"/>
      <c r="F26" s="43"/>
      <c r="G26" s="43"/>
      <c r="H26" s="48"/>
      <c r="I26" s="67"/>
    </row>
    <row r="27" spans="1:9" ht="15.75" customHeight="1">
      <c r="B27" s="65"/>
      <c r="C27" s="51"/>
      <c r="D27" s="67"/>
      <c r="E27" s="77"/>
      <c r="F27" s="77"/>
      <c r="G27" s="77"/>
      <c r="H27" s="67"/>
    </row>
    <row r="28" spans="1:9" ht="15.75" customHeight="1">
      <c r="D28" s="108" t="s">
        <v>152</v>
      </c>
      <c r="E28" s="71">
        <f>COUNTA(E4:E26)</f>
        <v>0</v>
      </c>
      <c r="F28" s="71">
        <f>COUNTA(F4:F26)</f>
        <v>0</v>
      </c>
      <c r="G28" s="71">
        <f>COUNTA(G4:G26)</f>
        <v>0</v>
      </c>
      <c r="H28" s="111">
        <f>SUM(E28:G28)</f>
        <v>0</v>
      </c>
    </row>
    <row r="29" spans="1:9" ht="15.75" customHeight="1">
      <c r="D29" s="108" t="s">
        <v>152</v>
      </c>
      <c r="E29" s="110" t="str">
        <f>IFERROR(E28/$H$28,"-")</f>
        <v>-</v>
      </c>
      <c r="F29" s="110" t="str">
        <f t="shared" ref="F29:G29" si="0">IFERROR(F28/$H$28,"-")</f>
        <v>-</v>
      </c>
      <c r="G29" s="110" t="str">
        <f t="shared" si="0"/>
        <v>-</v>
      </c>
      <c r="H29" s="69"/>
    </row>
  </sheetData>
  <sheetProtection algorithmName="SHA-512" hashValue="cBAC2uOe/WfLkl2zGzU2wa2cHjT2rBWg024rSFg0+plJh5Uo0zGcjZP4Pmai+v335/9swHy1D+bUa1U6dxAFNA==" saltValue="TxxWxdgsqvGZAs7mSEJwkw==" spinCount="100000" sheet="1" objects="1" scenarios="1"/>
  <protectedRanges>
    <protectedRange sqref="E5:H26" name="Range1"/>
  </protectedRanges>
  <mergeCells count="1">
    <mergeCell ref="B2: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0E3CD-1D12-4C5F-A31E-83D2322CA9F0}">
  <sheetPr>
    <tabColor rgb="FFE645C8"/>
  </sheetPr>
  <dimension ref="A1:I30"/>
  <sheetViews>
    <sheetView showGridLines="0" workbookViewId="0">
      <pane ySplit="3" topLeftCell="C22" activePane="bottomLeft" state="frozen"/>
      <selection pane="bottomLeft" activeCell="E26" sqref="E26"/>
    </sheetView>
  </sheetViews>
  <sheetFormatPr defaultColWidth="0" defaultRowHeight="15.75" customHeight="1"/>
  <cols>
    <col min="1" max="1" width="2" style="38" customWidth="1"/>
    <col min="2" max="2" width="19.7109375" style="66" customWidth="1"/>
    <col min="3" max="3" width="54.7109375" style="38" customWidth="1"/>
    <col min="4" max="4" width="48.28515625" style="38" customWidth="1"/>
    <col min="5" max="7" width="5" style="38" customWidth="1"/>
    <col min="8" max="8" width="58.42578125" style="38" customWidth="1"/>
    <col min="9" max="11" width="12.5703125" style="38" customWidth="1"/>
    <col min="12" max="16384" width="0" style="38" hidden="1"/>
  </cols>
  <sheetData>
    <row r="1" spans="1:9" ht="9.75" customHeight="1">
      <c r="B1" s="65"/>
      <c r="C1" s="51"/>
      <c r="D1" s="51"/>
      <c r="E1" s="51"/>
      <c r="F1" s="51"/>
      <c r="G1" s="51"/>
      <c r="H1" s="51"/>
    </row>
    <row r="2" spans="1:9" ht="24.75" customHeight="1">
      <c r="A2" s="51"/>
      <c r="B2" s="237" t="s">
        <v>184</v>
      </c>
      <c r="C2" s="237"/>
      <c r="D2" s="237"/>
      <c r="E2" s="237"/>
      <c r="F2" s="237"/>
      <c r="G2" s="237"/>
      <c r="H2" s="237"/>
      <c r="I2" s="51"/>
    </row>
    <row r="3" spans="1:9" ht="51.75" customHeight="1">
      <c r="A3" s="51"/>
      <c r="B3" s="57" t="s">
        <v>103</v>
      </c>
      <c r="C3" s="57" t="s">
        <v>104</v>
      </c>
      <c r="D3" s="57" t="s">
        <v>105</v>
      </c>
      <c r="E3" s="57" t="s">
        <v>106</v>
      </c>
      <c r="F3" s="58" t="s">
        <v>107</v>
      </c>
      <c r="G3" s="58" t="s">
        <v>108</v>
      </c>
      <c r="H3" s="59" t="s">
        <v>109</v>
      </c>
      <c r="I3" s="51"/>
    </row>
    <row r="4" spans="1:9" ht="17.25" customHeight="1">
      <c r="A4" s="51"/>
      <c r="B4" s="105"/>
      <c r="C4" s="106"/>
      <c r="D4" s="106"/>
      <c r="E4" s="109"/>
      <c r="F4" s="109"/>
      <c r="G4" s="109"/>
      <c r="H4" s="107"/>
      <c r="I4" s="51"/>
    </row>
    <row r="5" spans="1:9" s="69" customFormat="1" ht="154.5">
      <c r="A5" s="67"/>
      <c r="B5" s="64">
        <v>1</v>
      </c>
      <c r="C5" s="42" t="s">
        <v>185</v>
      </c>
      <c r="D5" s="42" t="s">
        <v>186</v>
      </c>
      <c r="E5" s="43"/>
      <c r="F5" s="46"/>
      <c r="G5" s="43"/>
      <c r="H5" s="84"/>
    </row>
    <row r="6" spans="1:9" s="69" customFormat="1" ht="72">
      <c r="A6" s="67"/>
      <c r="B6" s="64">
        <v>2</v>
      </c>
      <c r="C6" s="42" t="s">
        <v>187</v>
      </c>
      <c r="D6" s="44"/>
      <c r="E6" s="43"/>
      <c r="F6" s="46"/>
      <c r="G6" s="85"/>
      <c r="H6" s="86"/>
    </row>
    <row r="7" spans="1:9" s="69" customFormat="1" ht="88.5" customHeight="1">
      <c r="A7" s="67"/>
      <c r="B7" s="73">
        <v>3</v>
      </c>
      <c r="C7" s="87" t="s">
        <v>188</v>
      </c>
      <c r="D7" s="88"/>
      <c r="E7" s="82"/>
      <c r="F7" s="89"/>
      <c r="G7" s="90"/>
      <c r="H7" s="86"/>
    </row>
    <row r="8" spans="1:9" s="69" customFormat="1" ht="36">
      <c r="A8" s="67"/>
      <c r="B8" s="64">
        <v>4</v>
      </c>
      <c r="C8" s="42" t="s">
        <v>189</v>
      </c>
      <c r="D8" s="42" t="s">
        <v>190</v>
      </c>
      <c r="E8" s="43"/>
      <c r="F8" s="46"/>
      <c r="G8" s="43"/>
      <c r="H8" s="42"/>
      <c r="I8" s="67"/>
    </row>
    <row r="9" spans="1:9" ht="44.25" customHeight="1">
      <c r="A9" s="51"/>
      <c r="B9" s="78">
        <v>5</v>
      </c>
      <c r="C9" s="42" t="s">
        <v>191</v>
      </c>
      <c r="D9" s="44"/>
      <c r="E9" s="43"/>
      <c r="F9" s="46"/>
      <c r="G9" s="43"/>
      <c r="H9" s="42"/>
      <c r="I9" s="51"/>
    </row>
    <row r="10" spans="1:9" ht="49.5" customHeight="1">
      <c r="A10" s="51"/>
      <c r="B10" s="78">
        <v>6</v>
      </c>
      <c r="C10" s="42" t="s">
        <v>192</v>
      </c>
      <c r="D10" s="44"/>
      <c r="E10" s="43"/>
      <c r="F10" s="46"/>
      <c r="G10" s="43"/>
      <c r="H10" s="52"/>
      <c r="I10" s="51"/>
    </row>
    <row r="11" spans="1:9" ht="51.75" customHeight="1">
      <c r="A11" s="51"/>
      <c r="B11" s="78">
        <v>7</v>
      </c>
      <c r="C11" s="42" t="s">
        <v>193</v>
      </c>
      <c r="D11" s="44"/>
      <c r="E11" s="43"/>
      <c r="F11" s="46"/>
      <c r="G11" s="43"/>
      <c r="H11" s="52"/>
      <c r="I11" s="51"/>
    </row>
    <row r="12" spans="1:9" ht="64.5" customHeight="1">
      <c r="A12" s="51"/>
      <c r="B12" s="78">
        <v>8</v>
      </c>
      <c r="C12" s="42" t="s">
        <v>194</v>
      </c>
      <c r="D12" s="44"/>
      <c r="E12" s="43"/>
      <c r="F12" s="43"/>
      <c r="G12" s="43"/>
      <c r="H12" s="52"/>
      <c r="I12" s="51"/>
    </row>
    <row r="13" spans="1:9" ht="42" customHeight="1">
      <c r="A13" s="51"/>
      <c r="B13" s="78">
        <v>9</v>
      </c>
      <c r="C13" s="42" t="s">
        <v>195</v>
      </c>
      <c r="D13" s="44"/>
      <c r="E13" s="43"/>
      <c r="F13" s="43"/>
      <c r="G13" s="43"/>
      <c r="H13" s="52"/>
      <c r="I13" s="51"/>
    </row>
    <row r="14" spans="1:9" ht="39" customHeight="1">
      <c r="A14" s="51"/>
      <c r="B14" s="78">
        <v>10</v>
      </c>
      <c r="C14" s="42" t="s">
        <v>196</v>
      </c>
      <c r="D14" s="44"/>
      <c r="E14" s="43"/>
      <c r="F14" s="43"/>
      <c r="G14" s="43"/>
      <c r="H14" s="52"/>
      <c r="I14" s="51"/>
    </row>
    <row r="15" spans="1:9" ht="72.75" customHeight="1">
      <c r="A15" s="51"/>
      <c r="B15" s="78">
        <v>11</v>
      </c>
      <c r="C15" s="42" t="s">
        <v>197</v>
      </c>
      <c r="D15" s="44"/>
      <c r="E15" s="43"/>
      <c r="F15" s="43"/>
      <c r="G15" s="43"/>
      <c r="H15" s="52"/>
      <c r="I15" s="51"/>
    </row>
    <row r="16" spans="1:9" ht="52.5" customHeight="1">
      <c r="A16" s="51"/>
      <c r="B16" s="78">
        <v>12</v>
      </c>
      <c r="C16" s="42" t="s">
        <v>198</v>
      </c>
      <c r="D16" s="44"/>
      <c r="E16" s="43"/>
      <c r="F16" s="43"/>
      <c r="G16" s="43"/>
      <c r="H16" s="52"/>
      <c r="I16" s="51"/>
    </row>
    <row r="17" spans="1:9" ht="46.5" customHeight="1">
      <c r="A17" s="51"/>
      <c r="B17" s="78">
        <v>13</v>
      </c>
      <c r="C17" s="42" t="s">
        <v>199</v>
      </c>
      <c r="D17" s="44"/>
      <c r="E17" s="43"/>
      <c r="F17" s="43"/>
      <c r="G17" s="43"/>
      <c r="H17" s="52"/>
      <c r="I17" s="51"/>
    </row>
    <row r="18" spans="1:9" ht="46.5" customHeight="1">
      <c r="A18" s="51"/>
      <c r="B18" s="78">
        <v>14</v>
      </c>
      <c r="C18" s="42" t="s">
        <v>200</v>
      </c>
      <c r="D18" s="44"/>
      <c r="E18" s="43"/>
      <c r="F18" s="43"/>
      <c r="G18" s="43"/>
      <c r="H18" s="52"/>
      <c r="I18" s="51"/>
    </row>
    <row r="19" spans="1:9" ht="52.5" customHeight="1">
      <c r="A19" s="51"/>
      <c r="B19" s="78">
        <v>15</v>
      </c>
      <c r="C19" s="42" t="s">
        <v>201</v>
      </c>
      <c r="D19" s="44"/>
      <c r="E19" s="43"/>
      <c r="F19" s="43"/>
      <c r="G19" s="43"/>
      <c r="H19" s="52"/>
      <c r="I19" s="51"/>
    </row>
    <row r="20" spans="1:9" ht="24" customHeight="1">
      <c r="A20" s="51"/>
      <c r="B20" s="105" t="s">
        <v>202</v>
      </c>
      <c r="C20" s="106"/>
      <c r="D20" s="106"/>
      <c r="E20" s="109"/>
      <c r="F20" s="109"/>
      <c r="G20" s="109"/>
      <c r="H20" s="107"/>
      <c r="I20" s="51"/>
    </row>
    <row r="21" spans="1:9" ht="89.25" customHeight="1">
      <c r="A21" s="51"/>
      <c r="B21" s="78">
        <v>16</v>
      </c>
      <c r="C21" s="42" t="s">
        <v>203</v>
      </c>
      <c r="D21" s="42" t="s">
        <v>204</v>
      </c>
      <c r="E21" s="43"/>
      <c r="F21" s="43"/>
      <c r="G21" s="43"/>
      <c r="H21" s="48"/>
      <c r="I21" s="51"/>
    </row>
    <row r="22" spans="1:9" ht="89.25" customHeight="1">
      <c r="A22" s="51"/>
      <c r="B22" s="78">
        <v>17</v>
      </c>
      <c r="C22" s="42" t="s">
        <v>205</v>
      </c>
      <c r="D22" s="48"/>
      <c r="E22" s="43"/>
      <c r="F22" s="43"/>
      <c r="G22" s="43"/>
      <c r="H22" s="48"/>
      <c r="I22" s="51"/>
    </row>
    <row r="23" spans="1:9" ht="51" customHeight="1">
      <c r="A23" s="51"/>
      <c r="B23" s="78">
        <v>18</v>
      </c>
      <c r="C23" s="42" t="s">
        <v>206</v>
      </c>
      <c r="D23" s="48"/>
      <c r="E23" s="43"/>
      <c r="F23" s="43"/>
      <c r="G23" s="43"/>
      <c r="H23" s="48"/>
      <c r="I23" s="51"/>
    </row>
    <row r="24" spans="1:9" ht="51" customHeight="1">
      <c r="A24" s="51"/>
      <c r="B24" s="78">
        <v>19</v>
      </c>
      <c r="C24" s="42" t="s">
        <v>207</v>
      </c>
      <c r="D24" s="48"/>
      <c r="E24" s="43"/>
      <c r="F24" s="43"/>
      <c r="G24" s="43"/>
      <c r="H24" s="42"/>
      <c r="I24" s="51"/>
    </row>
    <row r="25" spans="1:9" ht="30" customHeight="1">
      <c r="A25" s="51"/>
      <c r="B25" s="105" t="s">
        <v>208</v>
      </c>
      <c r="C25" s="106"/>
      <c r="D25" s="106"/>
      <c r="E25" s="109"/>
      <c r="F25" s="109"/>
      <c r="G25" s="109"/>
      <c r="H25" s="107"/>
      <c r="I25" s="51"/>
    </row>
    <row r="26" spans="1:9" ht="36.75" customHeight="1">
      <c r="A26" s="51"/>
      <c r="B26" s="78">
        <v>20</v>
      </c>
      <c r="C26" s="42" t="s">
        <v>209</v>
      </c>
      <c r="D26" s="44"/>
      <c r="E26" s="43"/>
      <c r="F26" s="43"/>
      <c r="G26" s="43"/>
      <c r="H26" s="42"/>
      <c r="I26" s="51"/>
    </row>
    <row r="27" spans="1:9" ht="36.75" customHeight="1">
      <c r="A27" s="51"/>
      <c r="B27" s="78">
        <v>21</v>
      </c>
      <c r="C27" s="42" t="s">
        <v>210</v>
      </c>
      <c r="D27" s="42" t="s">
        <v>211</v>
      </c>
      <c r="E27" s="43"/>
      <c r="F27" s="43"/>
      <c r="G27" s="43"/>
      <c r="H27" s="42"/>
      <c r="I27" s="51"/>
    </row>
    <row r="28" spans="1:9" ht="15.75" customHeight="1">
      <c r="B28" s="65"/>
      <c r="C28" s="51"/>
      <c r="D28" s="67"/>
      <c r="E28" s="77"/>
      <c r="F28" s="77"/>
      <c r="G28" s="77"/>
      <c r="H28" s="67"/>
    </row>
    <row r="29" spans="1:9" ht="15.75" customHeight="1">
      <c r="D29" s="108" t="s">
        <v>152</v>
      </c>
      <c r="E29" s="71">
        <f>COUNTA(E4:E27)</f>
        <v>0</v>
      </c>
      <c r="F29" s="71">
        <f t="shared" ref="F29:G29" si="0">COUNTA(F4:F27)</f>
        <v>0</v>
      </c>
      <c r="G29" s="71">
        <f t="shared" si="0"/>
        <v>0</v>
      </c>
      <c r="H29" s="111">
        <f>SUM(E29:G29)</f>
        <v>0</v>
      </c>
    </row>
    <row r="30" spans="1:9" ht="15.75" customHeight="1">
      <c r="D30" s="108" t="s">
        <v>152</v>
      </c>
      <c r="E30" s="110" t="str">
        <f>IFERROR(E29/$H$29,"-")</f>
        <v>-</v>
      </c>
      <c r="F30" s="110" t="str">
        <f t="shared" ref="F30:G30" si="1">IFERROR(F29/$H$29,"-")</f>
        <v>-</v>
      </c>
      <c r="G30" s="110" t="str">
        <f t="shared" si="1"/>
        <v>-</v>
      </c>
      <c r="H30" s="69"/>
    </row>
  </sheetData>
  <sheetProtection algorithmName="SHA-512" hashValue="L1Er/GrZzH3eQbQ0phyUUNKS5g5/tNf8X3FbpKONEm1aB6EQbOuQtlBQFoJTCZrtyUsibWfw+V4sCgyw8egluQ==" saltValue="QrMg294RchDgsG180lmaQQ==" spinCount="100000" sheet="1" objects="1" scenarios="1"/>
  <protectedRanges>
    <protectedRange sqref="E5:H27" name="Range1"/>
  </protectedRanges>
  <mergeCells count="1">
    <mergeCell ref="B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759A6-6580-4938-8217-FB1372689758}">
  <sheetPr>
    <tabColor rgb="FFE645C8"/>
  </sheetPr>
  <dimension ref="A1:O30"/>
  <sheetViews>
    <sheetView showGridLines="0" workbookViewId="0">
      <pane ySplit="3" topLeftCell="C25" activePane="bottomLeft" state="frozen"/>
      <selection pane="bottomLeft" activeCell="H32" sqref="H32"/>
    </sheetView>
  </sheetViews>
  <sheetFormatPr defaultColWidth="0" defaultRowHeight="15.75" customHeight="1"/>
  <cols>
    <col min="1" max="1" width="2" style="38" customWidth="1"/>
    <col min="2" max="2" width="19.7109375" style="66" customWidth="1"/>
    <col min="3" max="3" width="54.7109375" style="38" customWidth="1"/>
    <col min="4" max="4" width="48.28515625" style="38" customWidth="1"/>
    <col min="5" max="7" width="6.140625" style="38" customWidth="1"/>
    <col min="8" max="8" width="58.42578125" style="38" customWidth="1"/>
    <col min="9" max="11" width="12.5703125" style="38" customWidth="1"/>
    <col min="12" max="16384" width="0" style="38" hidden="1"/>
  </cols>
  <sheetData>
    <row r="1" spans="1:15" ht="9.75" customHeight="1">
      <c r="B1" s="65"/>
      <c r="C1" s="51"/>
      <c r="D1" s="51"/>
      <c r="E1" s="51"/>
      <c r="F1" s="51"/>
      <c r="G1" s="51"/>
      <c r="H1" s="51"/>
    </row>
    <row r="2" spans="1:15" ht="24.75" customHeight="1">
      <c r="A2" s="51"/>
      <c r="B2" s="237" t="s">
        <v>212</v>
      </c>
      <c r="C2" s="237"/>
      <c r="D2" s="237"/>
      <c r="E2" s="237"/>
      <c r="F2" s="237"/>
      <c r="G2" s="237"/>
      <c r="H2" s="237"/>
      <c r="I2" s="51"/>
    </row>
    <row r="3" spans="1:15" ht="51.75" customHeight="1">
      <c r="A3" s="51"/>
      <c r="B3" s="57" t="s">
        <v>103</v>
      </c>
      <c r="C3" s="57" t="s">
        <v>104</v>
      </c>
      <c r="D3" s="57" t="s">
        <v>105</v>
      </c>
      <c r="E3" s="57" t="s">
        <v>106</v>
      </c>
      <c r="F3" s="58" t="s">
        <v>107</v>
      </c>
      <c r="G3" s="58" t="s">
        <v>108</v>
      </c>
      <c r="H3" s="59" t="s">
        <v>109</v>
      </c>
      <c r="I3" s="51"/>
    </row>
    <row r="4" spans="1:15" ht="17.25" customHeight="1">
      <c r="A4" s="51"/>
      <c r="B4" s="105" t="s">
        <v>213</v>
      </c>
      <c r="C4" s="106"/>
      <c r="D4" s="106"/>
      <c r="E4" s="109"/>
      <c r="F4" s="109"/>
      <c r="G4" s="109"/>
      <c r="H4" s="107"/>
      <c r="I4" s="51"/>
    </row>
    <row r="5" spans="1:15" s="69" customFormat="1" ht="48">
      <c r="A5" s="67"/>
      <c r="B5" s="64">
        <v>1</v>
      </c>
      <c r="C5" s="42" t="s">
        <v>214</v>
      </c>
      <c r="D5" s="42" t="s">
        <v>215</v>
      </c>
      <c r="E5" s="43"/>
      <c r="F5" s="46"/>
      <c r="G5" s="43"/>
      <c r="H5" s="84"/>
    </row>
    <row r="6" spans="1:15" s="69" customFormat="1" ht="84">
      <c r="A6" s="67"/>
      <c r="B6" s="64">
        <v>2</v>
      </c>
      <c r="C6" s="42" t="s">
        <v>216</v>
      </c>
      <c r="D6" s="42" t="s">
        <v>217</v>
      </c>
      <c r="E6" s="43"/>
      <c r="F6" s="46"/>
      <c r="G6" s="85"/>
      <c r="H6" s="86"/>
    </row>
    <row r="7" spans="1:15" s="69" customFormat="1" ht="22.5" customHeight="1">
      <c r="A7" s="51"/>
      <c r="B7" s="105" t="s">
        <v>218</v>
      </c>
      <c r="C7" s="106"/>
      <c r="D7" s="106"/>
      <c r="E7" s="109"/>
      <c r="F7" s="109"/>
      <c r="G7" s="109"/>
      <c r="H7" s="107"/>
      <c r="I7" s="51"/>
      <c r="J7" s="38"/>
      <c r="K7" s="38"/>
      <c r="L7" s="38"/>
      <c r="M7" s="38"/>
      <c r="N7" s="38"/>
      <c r="O7" s="38"/>
    </row>
    <row r="8" spans="1:15" s="69" customFormat="1" ht="48">
      <c r="A8" s="67"/>
      <c r="B8" s="64">
        <v>3</v>
      </c>
      <c r="C8" s="42" t="s">
        <v>219</v>
      </c>
      <c r="D8" s="44"/>
      <c r="E8" s="43"/>
      <c r="F8" s="46"/>
      <c r="G8" s="43"/>
      <c r="H8" s="42"/>
      <c r="I8" s="67"/>
    </row>
    <row r="9" spans="1:15" ht="81.75" customHeight="1">
      <c r="A9" s="51"/>
      <c r="B9" s="78">
        <v>4</v>
      </c>
      <c r="C9" s="42" t="s">
        <v>220</v>
      </c>
      <c r="D9" s="42" t="s">
        <v>221</v>
      </c>
      <c r="E9" s="43"/>
      <c r="F9" s="46"/>
      <c r="G9" s="43"/>
      <c r="H9" s="42"/>
      <c r="I9" s="51"/>
    </row>
    <row r="10" spans="1:15" ht="81.75" customHeight="1">
      <c r="A10" s="51"/>
      <c r="B10" s="78">
        <v>5</v>
      </c>
      <c r="C10" s="42" t="s">
        <v>222</v>
      </c>
      <c r="D10" s="42" t="s">
        <v>221</v>
      </c>
      <c r="E10" s="43"/>
      <c r="F10" s="46"/>
      <c r="G10" s="43"/>
      <c r="H10" s="52"/>
      <c r="I10" s="51"/>
    </row>
    <row r="11" spans="1:15" ht="51.75" customHeight="1">
      <c r="A11" s="51"/>
      <c r="B11" s="78">
        <v>6</v>
      </c>
      <c r="C11" s="42" t="s">
        <v>223</v>
      </c>
      <c r="D11" s="42" t="s">
        <v>221</v>
      </c>
      <c r="E11" s="43"/>
      <c r="F11" s="46"/>
      <c r="G11" s="43"/>
      <c r="H11" s="52"/>
      <c r="I11" s="51"/>
    </row>
    <row r="12" spans="1:15" ht="64.5" customHeight="1">
      <c r="A12" s="51"/>
      <c r="B12" s="78">
        <v>7</v>
      </c>
      <c r="C12" s="42" t="s">
        <v>224</v>
      </c>
      <c r="D12" s="42" t="s">
        <v>221</v>
      </c>
      <c r="E12" s="43"/>
      <c r="F12" s="43"/>
      <c r="G12" s="43"/>
      <c r="H12" s="52"/>
      <c r="I12" s="51"/>
    </row>
    <row r="13" spans="1:15" ht="65.25" customHeight="1">
      <c r="A13" s="51"/>
      <c r="B13" s="78">
        <v>8</v>
      </c>
      <c r="C13" s="42" t="s">
        <v>225</v>
      </c>
      <c r="D13" s="42" t="s">
        <v>221</v>
      </c>
      <c r="E13" s="43"/>
      <c r="F13" s="43"/>
      <c r="G13" s="43"/>
      <c r="H13" s="52"/>
      <c r="I13" s="51"/>
    </row>
    <row r="14" spans="1:15" ht="21" customHeight="1">
      <c r="A14" s="51"/>
      <c r="B14" s="105" t="s">
        <v>226</v>
      </c>
      <c r="C14" s="106"/>
      <c r="D14" s="106"/>
      <c r="E14" s="109"/>
      <c r="F14" s="109"/>
      <c r="G14" s="109"/>
      <c r="H14" s="107"/>
      <c r="I14" s="51"/>
    </row>
    <row r="15" spans="1:15" ht="84.75" customHeight="1">
      <c r="A15" s="51"/>
      <c r="B15" s="78">
        <v>9</v>
      </c>
      <c r="C15" s="42" t="s">
        <v>227</v>
      </c>
      <c r="D15" s="42" t="s">
        <v>221</v>
      </c>
      <c r="E15" s="43"/>
      <c r="F15" s="43"/>
      <c r="G15" s="43"/>
      <c r="H15" s="52"/>
      <c r="I15" s="51"/>
    </row>
    <row r="16" spans="1:15" ht="72.75" customHeight="1">
      <c r="A16" s="51"/>
      <c r="B16" s="78">
        <v>10</v>
      </c>
      <c r="C16" s="42" t="s">
        <v>228</v>
      </c>
      <c r="D16" s="42" t="s">
        <v>221</v>
      </c>
      <c r="E16" s="43"/>
      <c r="F16" s="43"/>
      <c r="G16" s="43"/>
      <c r="H16" s="52"/>
      <c r="I16" s="51"/>
    </row>
    <row r="17" spans="1:9" ht="72.75" customHeight="1">
      <c r="A17" s="51"/>
      <c r="B17" s="78">
        <v>11</v>
      </c>
      <c r="C17" s="42" t="s">
        <v>229</v>
      </c>
      <c r="D17" s="42" t="s">
        <v>221</v>
      </c>
      <c r="E17" s="43"/>
      <c r="F17" s="43"/>
      <c r="G17" s="43"/>
      <c r="H17" s="52"/>
      <c r="I17" s="51"/>
    </row>
    <row r="18" spans="1:9" ht="24" customHeight="1">
      <c r="A18" s="51"/>
      <c r="B18" s="105" t="s">
        <v>230</v>
      </c>
      <c r="C18" s="106"/>
      <c r="D18" s="106"/>
      <c r="E18" s="109"/>
      <c r="F18" s="109"/>
      <c r="G18" s="109"/>
      <c r="H18" s="107"/>
      <c r="I18" s="51"/>
    </row>
    <row r="19" spans="1:9" ht="63" customHeight="1">
      <c r="A19" s="51"/>
      <c r="B19" s="78">
        <v>12</v>
      </c>
      <c r="C19" s="42" t="s">
        <v>231</v>
      </c>
      <c r="D19" s="42" t="s">
        <v>221</v>
      </c>
      <c r="E19" s="43"/>
      <c r="F19" s="43"/>
      <c r="G19" s="43"/>
      <c r="H19" s="48"/>
      <c r="I19" s="51"/>
    </row>
    <row r="20" spans="1:9" ht="51" customHeight="1">
      <c r="A20" s="51"/>
      <c r="B20" s="78">
        <v>13</v>
      </c>
      <c r="C20" s="42" t="s">
        <v>232</v>
      </c>
      <c r="D20" s="42" t="s">
        <v>221</v>
      </c>
      <c r="E20" s="43"/>
      <c r="F20" s="43"/>
      <c r="G20" s="43"/>
      <c r="H20" s="48"/>
      <c r="I20" s="51"/>
    </row>
    <row r="21" spans="1:9" ht="51" customHeight="1">
      <c r="A21" s="51"/>
      <c r="B21" s="78">
        <v>14</v>
      </c>
      <c r="C21" s="42" t="s">
        <v>233</v>
      </c>
      <c r="D21" s="42" t="s">
        <v>221</v>
      </c>
      <c r="E21" s="43"/>
      <c r="F21" s="43"/>
      <c r="G21" s="43"/>
      <c r="H21" s="48"/>
      <c r="I21" s="51"/>
    </row>
    <row r="22" spans="1:9" ht="23.25" customHeight="1">
      <c r="A22" s="51"/>
      <c r="B22" s="105" t="s">
        <v>234</v>
      </c>
      <c r="C22" s="106"/>
      <c r="D22" s="106"/>
      <c r="E22" s="109"/>
      <c r="F22" s="109"/>
      <c r="G22" s="109"/>
      <c r="H22" s="107"/>
      <c r="I22" s="51"/>
    </row>
    <row r="23" spans="1:9" ht="81.75" customHeight="1">
      <c r="A23" s="51"/>
      <c r="B23" s="78">
        <v>15</v>
      </c>
      <c r="C23" s="42" t="s">
        <v>235</v>
      </c>
      <c r="D23" s="42" t="s">
        <v>221</v>
      </c>
      <c r="E23" s="43"/>
      <c r="F23" s="43"/>
      <c r="G23" s="43"/>
      <c r="H23" s="42"/>
      <c r="I23" s="51"/>
    </row>
    <row r="24" spans="1:9" ht="60" customHeight="1">
      <c r="A24" s="51"/>
      <c r="B24" s="78">
        <v>16</v>
      </c>
      <c r="C24" s="42" t="s">
        <v>236</v>
      </c>
      <c r="D24" s="42" t="s">
        <v>221</v>
      </c>
      <c r="E24" s="43"/>
      <c r="F24" s="43"/>
      <c r="G24" s="43"/>
      <c r="H24" s="42"/>
      <c r="I24" s="51"/>
    </row>
    <row r="25" spans="1:9" ht="15.75" customHeight="1">
      <c r="A25" s="51"/>
      <c r="B25" s="105" t="s">
        <v>237</v>
      </c>
      <c r="C25" s="106"/>
      <c r="D25" s="106"/>
      <c r="E25" s="109"/>
      <c r="F25" s="109"/>
      <c r="G25" s="109"/>
      <c r="H25" s="107"/>
      <c r="I25" s="51"/>
    </row>
    <row r="26" spans="1:9" ht="58.5" customHeight="1">
      <c r="A26" s="51"/>
      <c r="B26" s="78">
        <v>17</v>
      </c>
      <c r="C26" s="42" t="s">
        <v>238</v>
      </c>
      <c r="D26" s="79"/>
      <c r="E26" s="79"/>
      <c r="F26" s="79"/>
      <c r="G26" s="79"/>
      <c r="H26" s="79"/>
      <c r="I26" s="51"/>
    </row>
    <row r="27" spans="1:9" ht="58.5" customHeight="1">
      <c r="A27" s="51"/>
      <c r="B27" s="78">
        <v>18</v>
      </c>
      <c r="C27" s="42" t="s">
        <v>239</v>
      </c>
      <c r="D27" s="79"/>
      <c r="E27" s="79"/>
      <c r="F27" s="79"/>
      <c r="G27" s="79"/>
      <c r="H27" s="79"/>
      <c r="I27" s="51"/>
    </row>
    <row r="28" spans="1:9" ht="15.75" customHeight="1">
      <c r="B28" s="65"/>
      <c r="C28" s="51"/>
      <c r="D28" s="67"/>
      <c r="E28" s="77"/>
      <c r="F28" s="77"/>
      <c r="G28" s="77"/>
      <c r="H28" s="67"/>
    </row>
    <row r="29" spans="1:9" ht="15.75" customHeight="1">
      <c r="D29" s="108" t="s">
        <v>152</v>
      </c>
      <c r="E29" s="71">
        <f>COUNTA(E4:E27)</f>
        <v>0</v>
      </c>
      <c r="F29" s="71">
        <f t="shared" ref="F29:G29" si="0">COUNTA(F4:F27)</f>
        <v>0</v>
      </c>
      <c r="G29" s="71">
        <f t="shared" si="0"/>
        <v>0</v>
      </c>
      <c r="H29" s="111">
        <f>SUM(E29:G29)</f>
        <v>0</v>
      </c>
    </row>
    <row r="30" spans="1:9" ht="15.75" customHeight="1">
      <c r="D30" s="108" t="s">
        <v>152</v>
      </c>
      <c r="E30" s="110" t="str">
        <f>IFERROR(E29/$H$29,"-")</f>
        <v>-</v>
      </c>
      <c r="F30" s="110" t="str">
        <f t="shared" ref="F30:G30" si="1">IFERROR(F29/$H$29,"-")</f>
        <v>-</v>
      </c>
      <c r="G30" s="110" t="str">
        <f t="shared" si="1"/>
        <v>-</v>
      </c>
      <c r="H30" s="69"/>
    </row>
  </sheetData>
  <sheetProtection algorithmName="SHA-512" hashValue="0RBBs/lQObN7Oemz5mi7VIiMg3fO2c6vx1P4DVf5rKh/6ng6fuQfTK++yTp3LBeB6ZtAQwQODBnaerMZ2setgg==" saltValue="Ahz3DZO4Tdz1HW1gaCPNPg==" spinCount="100000" sheet="1" objects="1" scenarios="1"/>
  <protectedRanges>
    <protectedRange sqref="E5:H27" name="Range1"/>
  </protectedRanges>
  <mergeCells count="1">
    <mergeCell ref="B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480EC-7DCE-4671-AEFF-15EBE598B1C7}">
  <sheetPr>
    <tabColor rgb="FFE645C8"/>
  </sheetPr>
  <dimension ref="A1:O71"/>
  <sheetViews>
    <sheetView showGridLines="0" workbookViewId="0">
      <pane ySplit="3" topLeftCell="A4" activePane="bottomLeft" state="frozen"/>
      <selection pane="bottomLeft" activeCell="E5" sqref="E5"/>
    </sheetView>
  </sheetViews>
  <sheetFormatPr defaultColWidth="0" defaultRowHeight="15.75" customHeight="1"/>
  <cols>
    <col min="1" max="1" width="2" style="38" customWidth="1"/>
    <col min="2" max="2" width="19.7109375" style="66" customWidth="1"/>
    <col min="3" max="3" width="54.7109375" style="38" customWidth="1"/>
    <col min="4" max="4" width="48.28515625" style="38" customWidth="1"/>
    <col min="5" max="7" width="5.85546875" style="38" customWidth="1"/>
    <col min="8" max="8" width="58.42578125" style="38" customWidth="1"/>
    <col min="9" max="11" width="12.5703125" style="38" customWidth="1"/>
    <col min="12" max="16384" width="0" style="38" hidden="1"/>
  </cols>
  <sheetData>
    <row r="1" spans="1:15" ht="9.75" customHeight="1">
      <c r="B1" s="65"/>
      <c r="C1" s="51"/>
      <c r="D1" s="51"/>
      <c r="E1" s="51"/>
      <c r="F1" s="51"/>
      <c r="G1" s="51"/>
      <c r="H1" s="51"/>
    </row>
    <row r="2" spans="1:15" ht="24.75" customHeight="1">
      <c r="A2" s="51"/>
      <c r="B2" s="237" t="s">
        <v>240</v>
      </c>
      <c r="C2" s="237"/>
      <c r="D2" s="237"/>
      <c r="E2" s="237"/>
      <c r="F2" s="237"/>
      <c r="G2" s="237"/>
      <c r="H2" s="237"/>
      <c r="I2" s="51"/>
    </row>
    <row r="3" spans="1:15" ht="51.75" customHeight="1">
      <c r="A3" s="51"/>
      <c r="B3" s="57" t="s">
        <v>103</v>
      </c>
      <c r="C3" s="57" t="s">
        <v>104</v>
      </c>
      <c r="D3" s="57" t="s">
        <v>105</v>
      </c>
      <c r="E3" s="57" t="s">
        <v>106</v>
      </c>
      <c r="F3" s="58" t="s">
        <v>107</v>
      </c>
      <c r="G3" s="58" t="s">
        <v>108</v>
      </c>
      <c r="H3" s="59" t="s">
        <v>109</v>
      </c>
      <c r="I3" s="51"/>
    </row>
    <row r="4" spans="1:15" ht="17.25" customHeight="1">
      <c r="A4" s="51"/>
      <c r="B4" s="105" t="s">
        <v>241</v>
      </c>
      <c r="C4" s="106"/>
      <c r="D4" s="106"/>
      <c r="E4" s="109"/>
      <c r="F4" s="109"/>
      <c r="G4" s="109"/>
      <c r="H4" s="107"/>
      <c r="I4" s="51"/>
    </row>
    <row r="5" spans="1:15" s="69" customFormat="1" ht="107.25">
      <c r="A5" s="67"/>
      <c r="B5" s="64">
        <v>1</v>
      </c>
      <c r="C5" s="42" t="s">
        <v>242</v>
      </c>
      <c r="D5" s="42" t="s">
        <v>243</v>
      </c>
      <c r="E5" s="43"/>
      <c r="F5" s="46"/>
      <c r="G5" s="43"/>
      <c r="H5" s="84"/>
    </row>
    <row r="6" spans="1:15" s="69" customFormat="1" ht="34.5" customHeight="1">
      <c r="A6" s="67"/>
      <c r="B6" s="64">
        <v>2</v>
      </c>
      <c r="C6" s="42" t="s">
        <v>244</v>
      </c>
      <c r="D6" s="42" t="s">
        <v>245</v>
      </c>
      <c r="E6" s="43"/>
      <c r="F6" s="46"/>
      <c r="G6" s="85"/>
      <c r="H6" s="86"/>
    </row>
    <row r="7" spans="1:15" s="69" customFormat="1" ht="22.5" customHeight="1">
      <c r="A7" s="51"/>
      <c r="B7" s="105" t="s">
        <v>246</v>
      </c>
      <c r="C7" s="106"/>
      <c r="D7" s="106"/>
      <c r="E7" s="109"/>
      <c r="F7" s="109"/>
      <c r="G7" s="109"/>
      <c r="H7" s="107"/>
      <c r="I7" s="51"/>
      <c r="J7" s="38"/>
      <c r="K7" s="38"/>
      <c r="L7" s="38"/>
      <c r="M7" s="38"/>
      <c r="N7" s="38"/>
      <c r="O7" s="38"/>
    </row>
    <row r="8" spans="1:15" s="69" customFormat="1" ht="12.75">
      <c r="A8" s="67"/>
      <c r="B8" s="117" t="s">
        <v>247</v>
      </c>
      <c r="C8" s="118"/>
      <c r="D8" s="118"/>
      <c r="E8" s="118"/>
      <c r="F8" s="118"/>
      <c r="G8" s="118"/>
      <c r="H8" s="119"/>
      <c r="I8" s="67"/>
    </row>
    <row r="9" spans="1:15" ht="99" customHeight="1">
      <c r="A9" s="51"/>
      <c r="B9" s="78">
        <v>3</v>
      </c>
      <c r="C9" s="42" t="s">
        <v>248</v>
      </c>
      <c r="D9" s="42" t="s">
        <v>249</v>
      </c>
      <c r="E9" s="43"/>
      <c r="F9" s="46"/>
      <c r="G9" s="43"/>
      <c r="H9" s="42"/>
      <c r="I9" s="51"/>
    </row>
    <row r="10" spans="1:15" ht="81.75" customHeight="1">
      <c r="A10" s="51"/>
      <c r="B10" s="78">
        <v>4</v>
      </c>
      <c r="C10" s="42" t="s">
        <v>250</v>
      </c>
      <c r="D10" s="42" t="s">
        <v>251</v>
      </c>
      <c r="E10" s="43"/>
      <c r="F10" s="46"/>
      <c r="G10" s="43"/>
      <c r="H10" s="52"/>
      <c r="I10" s="51"/>
    </row>
    <row r="11" spans="1:15" ht="51.75" customHeight="1">
      <c r="A11" s="51"/>
      <c r="B11" s="78">
        <v>5</v>
      </c>
      <c r="C11" s="42" t="s">
        <v>252</v>
      </c>
      <c r="D11" s="42" t="s">
        <v>253</v>
      </c>
      <c r="E11" s="43"/>
      <c r="F11" s="46"/>
      <c r="G11" s="43"/>
      <c r="H11" s="52"/>
      <c r="I11" s="51"/>
    </row>
    <row r="12" spans="1:15" ht="126" customHeight="1">
      <c r="A12" s="51"/>
      <c r="B12" s="78">
        <v>6</v>
      </c>
      <c r="C12" s="42" t="s">
        <v>254</v>
      </c>
      <c r="D12" s="42" t="s">
        <v>255</v>
      </c>
      <c r="E12" s="43"/>
      <c r="F12" s="43"/>
      <c r="G12" s="43"/>
      <c r="H12" s="52"/>
      <c r="I12" s="51"/>
    </row>
    <row r="13" spans="1:15" ht="65.25" customHeight="1">
      <c r="A13" s="51"/>
      <c r="B13" s="78">
        <v>7</v>
      </c>
      <c r="C13" s="42" t="s">
        <v>256</v>
      </c>
      <c r="D13" s="42" t="s">
        <v>257</v>
      </c>
      <c r="E13" s="43"/>
      <c r="F13" s="43"/>
      <c r="G13" s="43"/>
      <c r="H13" s="52"/>
      <c r="I13" s="51"/>
    </row>
    <row r="14" spans="1:15" ht="18" customHeight="1">
      <c r="A14" s="51"/>
      <c r="B14" s="117" t="s">
        <v>258</v>
      </c>
      <c r="C14" s="118"/>
      <c r="D14" s="118"/>
      <c r="E14" s="118"/>
      <c r="F14" s="118"/>
      <c r="G14" s="118"/>
      <c r="H14" s="119"/>
      <c r="I14" s="51"/>
    </row>
    <row r="15" spans="1:15" ht="93" customHeight="1">
      <c r="A15" s="51"/>
      <c r="B15" s="78">
        <v>8</v>
      </c>
      <c r="C15" s="42" t="s">
        <v>259</v>
      </c>
      <c r="D15" s="42" t="s">
        <v>260</v>
      </c>
      <c r="E15" s="43"/>
      <c r="F15" s="43"/>
      <c r="G15" s="43"/>
      <c r="H15" s="52"/>
      <c r="I15" s="51"/>
    </row>
    <row r="16" spans="1:15" ht="113.25" customHeight="1">
      <c r="A16" s="51"/>
      <c r="B16" s="78">
        <v>9</v>
      </c>
      <c r="C16" s="42" t="s">
        <v>261</v>
      </c>
      <c r="D16" s="44"/>
      <c r="E16" s="43"/>
      <c r="F16" s="43"/>
      <c r="G16" s="43"/>
      <c r="H16" s="52"/>
      <c r="I16" s="51"/>
    </row>
    <row r="17" spans="1:15" ht="54.75" customHeight="1">
      <c r="A17" s="51"/>
      <c r="B17" s="78">
        <v>10</v>
      </c>
      <c r="C17" s="42" t="s">
        <v>262</v>
      </c>
      <c r="D17" s="42" t="s">
        <v>263</v>
      </c>
      <c r="E17" s="43"/>
      <c r="F17" s="43"/>
      <c r="G17" s="43"/>
      <c r="H17" s="52"/>
      <c r="I17" s="51"/>
    </row>
    <row r="18" spans="1:15" ht="19.5" customHeight="1">
      <c r="A18" s="51"/>
      <c r="B18" s="120" t="s">
        <v>264</v>
      </c>
      <c r="C18" s="121"/>
      <c r="D18" s="121"/>
      <c r="E18" s="121"/>
      <c r="F18" s="121"/>
      <c r="G18" s="121"/>
      <c r="H18" s="122"/>
      <c r="I18" s="51"/>
    </row>
    <row r="19" spans="1:15" ht="96" customHeight="1">
      <c r="A19" s="51"/>
      <c r="B19" s="78">
        <v>11</v>
      </c>
      <c r="C19" s="42" t="s">
        <v>265</v>
      </c>
      <c r="D19" s="42" t="s">
        <v>266</v>
      </c>
      <c r="E19" s="43"/>
      <c r="F19" s="43"/>
      <c r="G19" s="43"/>
      <c r="H19" s="48"/>
      <c r="I19" s="51"/>
    </row>
    <row r="20" spans="1:15" ht="87" customHeight="1">
      <c r="A20" s="51"/>
      <c r="B20" s="78">
        <v>12</v>
      </c>
      <c r="C20" s="42" t="s">
        <v>267</v>
      </c>
      <c r="D20" s="42" t="s">
        <v>268</v>
      </c>
      <c r="E20" s="43"/>
      <c r="F20" s="43"/>
      <c r="G20" s="43"/>
      <c r="H20" s="48"/>
      <c r="I20" s="51"/>
    </row>
    <row r="21" spans="1:15" ht="99.75" customHeight="1">
      <c r="A21" s="51"/>
      <c r="B21" s="78">
        <v>13</v>
      </c>
      <c r="C21" s="42" t="s">
        <v>269</v>
      </c>
      <c r="D21" s="42" t="s">
        <v>270</v>
      </c>
      <c r="E21" s="43"/>
      <c r="F21" s="43"/>
      <c r="G21" s="43"/>
      <c r="H21" s="48"/>
      <c r="I21" s="51"/>
    </row>
    <row r="22" spans="1:15" ht="154.5" customHeight="1">
      <c r="A22" s="51"/>
      <c r="B22" s="78">
        <v>14</v>
      </c>
      <c r="C22" s="42" t="s">
        <v>271</v>
      </c>
      <c r="D22" s="42" t="s">
        <v>272</v>
      </c>
      <c r="E22" s="43"/>
      <c r="F22" s="43"/>
      <c r="G22" s="43"/>
      <c r="H22" s="42"/>
      <c r="I22" s="51"/>
    </row>
    <row r="23" spans="1:15" ht="108" customHeight="1">
      <c r="A23" s="51"/>
      <c r="B23" s="78">
        <v>15</v>
      </c>
      <c r="C23" s="42" t="s">
        <v>273</v>
      </c>
      <c r="D23" s="42" t="s">
        <v>274</v>
      </c>
      <c r="E23" s="43"/>
      <c r="F23" s="43"/>
      <c r="G23" s="43"/>
      <c r="H23" s="42"/>
      <c r="I23" s="51"/>
    </row>
    <row r="24" spans="1:15" ht="82.5" customHeight="1">
      <c r="A24" s="51"/>
      <c r="B24" s="78">
        <v>16</v>
      </c>
      <c r="C24" s="42" t="s">
        <v>275</v>
      </c>
      <c r="D24" s="42" t="s">
        <v>276</v>
      </c>
      <c r="E24" s="43"/>
      <c r="F24" s="43"/>
      <c r="G24" s="43"/>
      <c r="H24" s="42"/>
      <c r="I24" s="51"/>
    </row>
    <row r="25" spans="1:15" ht="95.25" customHeight="1">
      <c r="A25" s="51"/>
      <c r="B25" s="78">
        <v>17</v>
      </c>
      <c r="C25" s="42" t="s">
        <v>277</v>
      </c>
      <c r="D25" s="42" t="s">
        <v>278</v>
      </c>
      <c r="E25" s="43"/>
      <c r="F25" s="43"/>
      <c r="G25" s="43"/>
      <c r="H25" s="42"/>
      <c r="I25" s="51"/>
    </row>
    <row r="26" spans="1:15" ht="22.5" customHeight="1">
      <c r="A26" s="51"/>
      <c r="B26" s="120" t="s">
        <v>279</v>
      </c>
      <c r="C26" s="121"/>
      <c r="D26" s="121"/>
      <c r="E26" s="121"/>
      <c r="F26" s="121"/>
      <c r="G26" s="121"/>
      <c r="H26" s="122"/>
      <c r="I26" s="51"/>
    </row>
    <row r="27" spans="1:15" ht="48">
      <c r="A27" s="51"/>
      <c r="B27" s="78">
        <v>18</v>
      </c>
      <c r="C27" s="42" t="s">
        <v>280</v>
      </c>
      <c r="D27" s="42" t="s">
        <v>281</v>
      </c>
      <c r="E27" s="64"/>
      <c r="F27" s="64"/>
      <c r="G27" s="64"/>
      <c r="H27" s="42"/>
      <c r="I27" s="51"/>
    </row>
    <row r="28" spans="1:15" ht="46.5" customHeight="1">
      <c r="A28" s="51"/>
      <c r="B28" s="78">
        <v>19</v>
      </c>
      <c r="C28" s="42" t="s">
        <v>282</v>
      </c>
      <c r="D28" s="44"/>
      <c r="E28" s="64"/>
      <c r="F28" s="64"/>
      <c r="G28" s="64"/>
      <c r="H28" s="42"/>
      <c r="I28" s="51"/>
    </row>
    <row r="29" spans="1:15" ht="46.5" customHeight="1">
      <c r="B29" s="78">
        <v>20</v>
      </c>
      <c r="C29" s="42" t="s">
        <v>283</v>
      </c>
      <c r="D29" s="44"/>
      <c r="E29" s="64"/>
      <c r="F29" s="64"/>
      <c r="G29" s="64"/>
      <c r="H29" s="42"/>
    </row>
    <row r="30" spans="1:15" ht="60">
      <c r="B30" s="78">
        <v>21</v>
      </c>
      <c r="C30" s="42" t="s">
        <v>284</v>
      </c>
      <c r="D30" s="44" t="s">
        <v>285</v>
      </c>
      <c r="E30" s="64"/>
      <c r="F30" s="64"/>
      <c r="G30" s="64"/>
      <c r="H30" s="42"/>
    </row>
    <row r="31" spans="1:15" ht="15.75" customHeight="1">
      <c r="A31" s="51"/>
      <c r="B31" s="105" t="s">
        <v>286</v>
      </c>
      <c r="C31" s="106"/>
      <c r="D31" s="106"/>
      <c r="E31" s="109"/>
      <c r="F31" s="109"/>
      <c r="G31" s="109"/>
      <c r="H31" s="107"/>
      <c r="I31" s="51"/>
    </row>
    <row r="32" spans="1:15" ht="15.75" customHeight="1">
      <c r="A32" s="67"/>
      <c r="B32" s="120" t="s">
        <v>287</v>
      </c>
      <c r="C32" s="121"/>
      <c r="D32" s="121"/>
      <c r="E32" s="121"/>
      <c r="F32" s="121"/>
      <c r="G32" s="121"/>
      <c r="H32" s="122"/>
      <c r="I32" s="67"/>
      <c r="J32" s="69"/>
      <c r="K32" s="69"/>
      <c r="L32" s="69"/>
      <c r="M32" s="69"/>
      <c r="N32" s="69"/>
      <c r="O32" s="69"/>
    </row>
    <row r="33" spans="1:15" ht="85.5" customHeight="1">
      <c r="B33" s="78">
        <v>22</v>
      </c>
      <c r="C33" s="42" t="s">
        <v>288</v>
      </c>
      <c r="D33" s="42" t="s">
        <v>289</v>
      </c>
      <c r="E33" s="64"/>
      <c r="F33" s="64"/>
      <c r="G33" s="64"/>
      <c r="H33" s="42"/>
    </row>
    <row r="34" spans="1:15" ht="15.75" customHeight="1">
      <c r="A34" s="67"/>
      <c r="B34" s="120" t="s">
        <v>290</v>
      </c>
      <c r="C34" s="121"/>
      <c r="D34" s="121"/>
      <c r="E34" s="121"/>
      <c r="F34" s="121"/>
      <c r="G34" s="121"/>
      <c r="H34" s="122"/>
      <c r="I34" s="67"/>
      <c r="J34" s="69"/>
      <c r="K34" s="69"/>
      <c r="L34" s="69"/>
      <c r="M34" s="69"/>
      <c r="N34" s="69"/>
      <c r="O34" s="69"/>
    </row>
    <row r="35" spans="1:15" ht="105.75" customHeight="1">
      <c r="B35" s="78">
        <v>23</v>
      </c>
      <c r="C35" s="42" t="s">
        <v>291</v>
      </c>
      <c r="D35" s="42" t="s">
        <v>292</v>
      </c>
      <c r="E35" s="64"/>
      <c r="F35" s="64"/>
      <c r="G35" s="64"/>
      <c r="H35" s="42"/>
    </row>
    <row r="36" spans="1:15" ht="15.75" customHeight="1">
      <c r="A36" s="67"/>
      <c r="B36" s="120" t="s">
        <v>293</v>
      </c>
      <c r="C36" s="121"/>
      <c r="D36" s="121"/>
      <c r="E36" s="121"/>
      <c r="F36" s="121"/>
      <c r="G36" s="121"/>
      <c r="H36" s="122"/>
      <c r="I36" s="67"/>
      <c r="J36" s="69"/>
      <c r="K36" s="69"/>
      <c r="L36" s="69"/>
      <c r="M36" s="69"/>
      <c r="N36" s="69"/>
      <c r="O36" s="69"/>
    </row>
    <row r="37" spans="1:15" ht="73.5" customHeight="1">
      <c r="B37" s="78">
        <v>24</v>
      </c>
      <c r="C37" s="42" t="s">
        <v>294</v>
      </c>
      <c r="D37" s="42" t="s">
        <v>295</v>
      </c>
      <c r="E37" s="64"/>
      <c r="F37" s="64"/>
      <c r="G37" s="64"/>
      <c r="H37" s="42"/>
    </row>
    <row r="38" spans="1:15" ht="57" customHeight="1">
      <c r="B38" s="78">
        <v>25</v>
      </c>
      <c r="C38" s="42" t="s">
        <v>296</v>
      </c>
      <c r="D38" s="42" t="s">
        <v>297</v>
      </c>
      <c r="E38" s="64"/>
      <c r="F38" s="64"/>
      <c r="G38" s="64"/>
      <c r="H38" s="42"/>
    </row>
    <row r="39" spans="1:15" ht="44.25" customHeight="1">
      <c r="B39" s="78">
        <v>26</v>
      </c>
      <c r="C39" s="42" t="s">
        <v>298</v>
      </c>
      <c r="D39" s="44"/>
      <c r="E39" s="64"/>
      <c r="F39" s="64"/>
      <c r="G39" s="64"/>
      <c r="H39" s="42"/>
    </row>
    <row r="40" spans="1:15" ht="44.25" customHeight="1">
      <c r="B40" s="78">
        <v>27</v>
      </c>
      <c r="C40" s="42" t="s">
        <v>299</v>
      </c>
      <c r="D40" s="42" t="s">
        <v>300</v>
      </c>
      <c r="E40" s="64"/>
      <c r="F40" s="64"/>
      <c r="G40" s="64"/>
      <c r="H40" s="42"/>
    </row>
    <row r="41" spans="1:15" ht="72" customHeight="1">
      <c r="B41" s="78">
        <v>28</v>
      </c>
      <c r="C41" s="42" t="s">
        <v>301</v>
      </c>
      <c r="D41" s="42" t="s">
        <v>302</v>
      </c>
      <c r="E41" s="64"/>
      <c r="F41" s="64"/>
      <c r="G41" s="64"/>
      <c r="H41" s="42"/>
    </row>
    <row r="42" spans="1:15" ht="44.25" customHeight="1">
      <c r="B42" s="78">
        <v>29</v>
      </c>
      <c r="C42" s="42" t="s">
        <v>303</v>
      </c>
      <c r="D42" s="44"/>
      <c r="E42" s="64"/>
      <c r="F42" s="64"/>
      <c r="G42" s="64"/>
      <c r="H42" s="42"/>
    </row>
    <row r="43" spans="1:15" ht="15.75" customHeight="1">
      <c r="A43" s="51"/>
      <c r="B43" s="105" t="s">
        <v>304</v>
      </c>
      <c r="C43" s="106"/>
      <c r="D43" s="106"/>
      <c r="E43" s="109"/>
      <c r="F43" s="109"/>
      <c r="G43" s="109"/>
      <c r="H43" s="107"/>
      <c r="I43" s="51"/>
    </row>
    <row r="44" spans="1:15" ht="15.75" customHeight="1">
      <c r="A44" s="67"/>
      <c r="B44" s="120" t="s">
        <v>305</v>
      </c>
      <c r="C44" s="121"/>
      <c r="D44" s="121"/>
      <c r="E44" s="121"/>
      <c r="F44" s="121"/>
      <c r="G44" s="121"/>
      <c r="H44" s="122"/>
      <c r="I44" s="67"/>
      <c r="J44" s="69"/>
      <c r="K44" s="69"/>
      <c r="L44" s="69"/>
      <c r="M44" s="69"/>
      <c r="N44" s="69"/>
      <c r="O44" s="69"/>
    </row>
    <row r="45" spans="1:15" ht="108.75" customHeight="1">
      <c r="B45" s="78">
        <v>30</v>
      </c>
      <c r="C45" s="42" t="s">
        <v>306</v>
      </c>
      <c r="D45" s="42" t="s">
        <v>307</v>
      </c>
      <c r="E45" s="64"/>
      <c r="F45" s="64"/>
      <c r="G45" s="64"/>
      <c r="H45" s="42"/>
    </row>
    <row r="46" spans="1:15" ht="75.75" customHeight="1">
      <c r="B46" s="78">
        <v>31</v>
      </c>
      <c r="C46" s="42" t="s">
        <v>308</v>
      </c>
      <c r="D46" s="44" t="s">
        <v>309</v>
      </c>
      <c r="E46" s="64"/>
      <c r="F46" s="64"/>
      <c r="G46" s="64"/>
      <c r="H46" s="42"/>
    </row>
    <row r="47" spans="1:15" ht="15.75" customHeight="1">
      <c r="B47" s="120" t="s">
        <v>310</v>
      </c>
      <c r="C47" s="121"/>
      <c r="D47" s="121"/>
      <c r="E47" s="121"/>
      <c r="F47" s="121"/>
      <c r="G47" s="121"/>
      <c r="H47" s="122"/>
    </row>
    <row r="48" spans="1:15" ht="70.5" customHeight="1">
      <c r="B48" s="78">
        <v>32</v>
      </c>
      <c r="C48" s="42" t="s">
        <v>311</v>
      </c>
      <c r="D48" s="42" t="s">
        <v>312</v>
      </c>
      <c r="E48" s="64"/>
      <c r="F48" s="64"/>
      <c r="G48" s="64"/>
      <c r="H48" s="42"/>
    </row>
    <row r="49" spans="1:15" ht="152.25" customHeight="1">
      <c r="B49" s="78">
        <v>33</v>
      </c>
      <c r="C49" s="42" t="s">
        <v>313</v>
      </c>
      <c r="D49" s="42" t="s">
        <v>314</v>
      </c>
      <c r="E49" s="64"/>
      <c r="F49" s="64"/>
      <c r="G49" s="64"/>
      <c r="H49" s="42"/>
    </row>
    <row r="50" spans="1:15" ht="70.5" customHeight="1">
      <c r="B50" s="78">
        <v>34</v>
      </c>
      <c r="C50" s="42" t="s">
        <v>315</v>
      </c>
      <c r="D50" s="42" t="s">
        <v>316</v>
      </c>
      <c r="E50" s="64"/>
      <c r="F50" s="64"/>
      <c r="G50" s="64"/>
      <c r="H50" s="42"/>
    </row>
    <row r="51" spans="1:15" ht="53.25" customHeight="1">
      <c r="B51" s="78">
        <v>35</v>
      </c>
      <c r="C51" s="42" t="s">
        <v>317</v>
      </c>
      <c r="D51" s="44"/>
      <c r="E51" s="64"/>
      <c r="F51" s="64"/>
      <c r="G51" s="64"/>
      <c r="H51" s="42"/>
    </row>
    <row r="52" spans="1:15" ht="15.75" customHeight="1">
      <c r="B52" s="120" t="s">
        <v>318</v>
      </c>
      <c r="C52" s="121"/>
      <c r="D52" s="121"/>
      <c r="E52" s="121"/>
      <c r="F52" s="121"/>
      <c r="G52" s="121"/>
      <c r="H52" s="122"/>
    </row>
    <row r="53" spans="1:15" ht="104.25" customHeight="1">
      <c r="B53" s="78">
        <v>36</v>
      </c>
      <c r="C53" s="42" t="s">
        <v>319</v>
      </c>
      <c r="D53" s="42" t="s">
        <v>320</v>
      </c>
      <c r="E53" s="64"/>
      <c r="F53" s="64"/>
      <c r="G53" s="64"/>
      <c r="H53" s="42"/>
    </row>
    <row r="54" spans="1:15" ht="140.25" customHeight="1">
      <c r="B54" s="78">
        <v>37</v>
      </c>
      <c r="C54" s="42" t="s">
        <v>321</v>
      </c>
      <c r="D54" s="44"/>
      <c r="E54" s="64"/>
      <c r="F54" s="64"/>
      <c r="G54" s="64"/>
      <c r="H54" s="42"/>
    </row>
    <row r="55" spans="1:15" ht="15.75" customHeight="1">
      <c r="A55" s="51"/>
      <c r="B55" s="105" t="s">
        <v>322</v>
      </c>
      <c r="C55" s="106"/>
      <c r="D55" s="106"/>
      <c r="E55" s="109"/>
      <c r="F55" s="109"/>
      <c r="G55" s="109"/>
      <c r="H55" s="107"/>
      <c r="I55" s="51"/>
    </row>
    <row r="56" spans="1:15" ht="15.75" customHeight="1">
      <c r="A56" s="67"/>
      <c r="B56" s="120" t="s">
        <v>323</v>
      </c>
      <c r="C56" s="121"/>
      <c r="D56" s="121"/>
      <c r="E56" s="121"/>
      <c r="F56" s="121"/>
      <c r="G56" s="121"/>
      <c r="H56" s="122"/>
      <c r="I56" s="67"/>
      <c r="J56" s="69"/>
      <c r="K56" s="69"/>
      <c r="L56" s="69"/>
      <c r="M56" s="69"/>
      <c r="N56" s="69"/>
      <c r="O56" s="69"/>
    </row>
    <row r="57" spans="1:15" ht="81" customHeight="1">
      <c r="B57" s="78">
        <v>38</v>
      </c>
      <c r="C57" s="42" t="s">
        <v>324</v>
      </c>
      <c r="D57" s="42" t="s">
        <v>325</v>
      </c>
      <c r="E57" s="64"/>
      <c r="F57" s="64"/>
      <c r="G57" s="64"/>
      <c r="H57" s="42"/>
    </row>
    <row r="58" spans="1:15" ht="112.5" customHeight="1">
      <c r="B58" s="78">
        <v>39</v>
      </c>
      <c r="C58" s="42" t="s">
        <v>326</v>
      </c>
      <c r="D58" s="42" t="s">
        <v>327</v>
      </c>
      <c r="E58" s="64"/>
      <c r="F58" s="64"/>
      <c r="G58" s="64"/>
      <c r="H58" s="42"/>
    </row>
    <row r="59" spans="1:15" ht="15.75" customHeight="1">
      <c r="A59" s="67"/>
      <c r="B59" s="120" t="s">
        <v>328</v>
      </c>
      <c r="C59" s="121"/>
      <c r="D59" s="121"/>
      <c r="E59" s="121"/>
      <c r="F59" s="121"/>
      <c r="G59" s="121"/>
      <c r="H59" s="122"/>
      <c r="I59" s="67"/>
      <c r="J59" s="69"/>
      <c r="K59" s="69"/>
      <c r="L59" s="69"/>
      <c r="M59" s="69"/>
      <c r="N59" s="69"/>
      <c r="O59" s="69"/>
    </row>
    <row r="60" spans="1:15" ht="45" customHeight="1">
      <c r="B60" s="78">
        <v>40</v>
      </c>
      <c r="C60" s="42" t="s">
        <v>329</v>
      </c>
      <c r="D60" s="42"/>
      <c r="E60" s="64"/>
      <c r="F60" s="64"/>
      <c r="G60" s="64"/>
      <c r="H60" s="42"/>
    </row>
    <row r="61" spans="1:15" ht="15.75" customHeight="1">
      <c r="A61" s="67"/>
      <c r="B61" s="120" t="s">
        <v>330</v>
      </c>
      <c r="C61" s="121"/>
      <c r="D61" s="121"/>
      <c r="E61" s="121"/>
      <c r="F61" s="121"/>
      <c r="G61" s="121"/>
      <c r="H61" s="122"/>
      <c r="I61" s="67"/>
      <c r="J61" s="69"/>
      <c r="K61" s="69"/>
      <c r="L61" s="69"/>
      <c r="M61" s="69"/>
      <c r="N61" s="69"/>
      <c r="O61" s="69"/>
    </row>
    <row r="62" spans="1:15" ht="85.5" customHeight="1">
      <c r="B62" s="78">
        <v>41</v>
      </c>
      <c r="C62" s="42" t="s">
        <v>331</v>
      </c>
      <c r="D62" s="42"/>
      <c r="E62" s="64"/>
      <c r="F62" s="64"/>
      <c r="G62" s="64"/>
      <c r="H62" s="42"/>
    </row>
    <row r="63" spans="1:15" ht="15.75" customHeight="1">
      <c r="A63" s="67"/>
      <c r="B63" s="120" t="s">
        <v>332</v>
      </c>
      <c r="C63" s="121"/>
      <c r="D63" s="121"/>
      <c r="E63" s="121"/>
      <c r="F63" s="121"/>
      <c r="G63" s="121"/>
      <c r="H63" s="122"/>
      <c r="I63" s="67"/>
      <c r="J63" s="69"/>
      <c r="K63" s="69"/>
      <c r="L63" s="69"/>
      <c r="M63" s="69"/>
      <c r="N63" s="69"/>
      <c r="O63" s="69"/>
    </row>
    <row r="64" spans="1:15" ht="54.75" customHeight="1">
      <c r="B64" s="78">
        <v>42</v>
      </c>
      <c r="C64" s="42" t="s">
        <v>333</v>
      </c>
      <c r="D64" s="42" t="s">
        <v>334</v>
      </c>
      <c r="E64" s="64"/>
      <c r="F64" s="64"/>
      <c r="G64" s="64"/>
      <c r="H64" s="42"/>
    </row>
    <row r="65" spans="1:15" ht="54.75" customHeight="1">
      <c r="B65" s="78">
        <v>43</v>
      </c>
      <c r="C65" s="42" t="s">
        <v>335</v>
      </c>
      <c r="D65" s="44"/>
      <c r="E65" s="64"/>
      <c r="F65" s="64"/>
      <c r="G65" s="64"/>
      <c r="H65" s="42"/>
    </row>
    <row r="66" spans="1:15" ht="54.75" customHeight="1">
      <c r="B66" s="78">
        <v>44</v>
      </c>
      <c r="C66" s="42" t="s">
        <v>336</v>
      </c>
      <c r="D66" s="42" t="s">
        <v>337</v>
      </c>
      <c r="E66" s="64"/>
      <c r="F66" s="64"/>
      <c r="G66" s="64"/>
      <c r="H66" s="42"/>
    </row>
    <row r="67" spans="1:15" ht="15.75" customHeight="1">
      <c r="A67" s="67"/>
      <c r="B67" s="120" t="s">
        <v>338</v>
      </c>
      <c r="C67" s="121"/>
      <c r="D67" s="121"/>
      <c r="E67" s="121"/>
      <c r="F67" s="121"/>
      <c r="G67" s="121"/>
      <c r="H67" s="122"/>
      <c r="I67" s="67"/>
      <c r="J67" s="69"/>
      <c r="K67" s="69"/>
      <c r="L67" s="69"/>
      <c r="M67" s="69"/>
      <c r="N67" s="69"/>
      <c r="O67" s="69"/>
    </row>
    <row r="68" spans="1:15" ht="72">
      <c r="B68" s="78">
        <v>42</v>
      </c>
      <c r="C68" s="42" t="s">
        <v>339</v>
      </c>
      <c r="D68" s="42" t="s">
        <v>340</v>
      </c>
      <c r="E68" s="64"/>
      <c r="F68" s="64"/>
      <c r="G68" s="64"/>
      <c r="H68" s="42"/>
    </row>
    <row r="69" spans="1:15" ht="15.75" customHeight="1">
      <c r="D69" s="67"/>
      <c r="E69" s="77"/>
      <c r="F69" s="77"/>
      <c r="G69" s="77"/>
      <c r="H69" s="67"/>
    </row>
    <row r="70" spans="1:15" ht="15.75" customHeight="1">
      <c r="D70" s="108" t="s">
        <v>152</v>
      </c>
      <c r="E70" s="71">
        <f>COUNTA(E4:E68)</f>
        <v>0</v>
      </c>
      <c r="F70" s="71">
        <f t="shared" ref="F70:G70" si="0">COUNTA(F4:F68)</f>
        <v>0</v>
      </c>
      <c r="G70" s="71">
        <f t="shared" si="0"/>
        <v>0</v>
      </c>
      <c r="H70" s="111">
        <f>SUM(E70:G70)</f>
        <v>0</v>
      </c>
    </row>
    <row r="71" spans="1:15" ht="15.75" customHeight="1">
      <c r="D71" s="108" t="s">
        <v>152</v>
      </c>
      <c r="E71" s="110" t="str">
        <f>IFERROR(E70/$H$70,"-")</f>
        <v>-</v>
      </c>
      <c r="F71" s="110" t="str">
        <f t="shared" ref="F71:G71" si="1">IFERROR(F70/$H$70,"-")</f>
        <v>-</v>
      </c>
      <c r="G71" s="110" t="str">
        <f t="shared" si="1"/>
        <v>-</v>
      </c>
      <c r="H71" s="69"/>
    </row>
  </sheetData>
  <sheetProtection algorithmName="SHA-512" hashValue="Rn50cOyuS9Tu/qzkV/Y8Afpzo+jDD6dOWTpjplW7gLw5nDJnPu+pI17Cp4qf+COMPKQETff+VAlBrqof4JywjQ==" saltValue="pSfxhPV972pLs0LPbJ1LtA==" spinCount="100000" sheet="1" objects="1" scenarios="1"/>
  <protectedRanges>
    <protectedRange sqref="E5:H68" name="Range1"/>
  </protectedRanges>
  <mergeCells count="1">
    <mergeCell ref="B2: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8C75-6D79-4EEE-B408-A0F5754F6FF6}">
  <sheetPr>
    <tabColor theme="7" tint="-0.249977111117893"/>
  </sheetPr>
  <dimension ref="A1:O28"/>
  <sheetViews>
    <sheetView showGridLines="0" workbookViewId="0">
      <pane ySplit="3" topLeftCell="A4" activePane="bottomLeft" state="frozen"/>
      <selection pane="bottomLeft" activeCell="H4" sqref="H4"/>
    </sheetView>
  </sheetViews>
  <sheetFormatPr defaultColWidth="0" defaultRowHeight="15.75" customHeight="1"/>
  <cols>
    <col min="1" max="1" width="2" style="38" customWidth="1"/>
    <col min="2" max="2" width="19.7109375" style="66" customWidth="1"/>
    <col min="3" max="3" width="54.7109375" style="38" customWidth="1"/>
    <col min="4" max="4" width="48.28515625" style="38" customWidth="1"/>
    <col min="5" max="7" width="6.28515625" style="38" customWidth="1"/>
    <col min="8" max="8" width="58.42578125" style="38" customWidth="1"/>
    <col min="9" max="11" width="12.5703125" style="38" customWidth="1"/>
    <col min="12" max="16384" width="0" style="38" hidden="1"/>
  </cols>
  <sheetData>
    <row r="1" spans="1:15" ht="9.75" customHeight="1">
      <c r="B1" s="65"/>
      <c r="C1" s="51"/>
      <c r="D1" s="51"/>
      <c r="E1" s="51"/>
      <c r="F1" s="51"/>
      <c r="G1" s="51"/>
      <c r="H1" s="51"/>
    </row>
    <row r="2" spans="1:15" ht="24.75" customHeight="1">
      <c r="A2" s="51"/>
      <c r="B2" s="239" t="s">
        <v>341</v>
      </c>
      <c r="C2" s="239"/>
      <c r="D2" s="239"/>
      <c r="E2" s="239"/>
      <c r="F2" s="239"/>
      <c r="G2" s="239"/>
      <c r="H2" s="239"/>
      <c r="I2" s="51"/>
    </row>
    <row r="3" spans="1:15" ht="51.75" customHeight="1">
      <c r="A3" s="51"/>
      <c r="B3" s="123" t="s">
        <v>103</v>
      </c>
      <c r="C3" s="123" t="s">
        <v>104</v>
      </c>
      <c r="D3" s="123" t="s">
        <v>105</v>
      </c>
      <c r="E3" s="123" t="s">
        <v>106</v>
      </c>
      <c r="F3" s="124" t="s">
        <v>107</v>
      </c>
      <c r="G3" s="124" t="s">
        <v>108</v>
      </c>
      <c r="H3" s="125" t="s">
        <v>109</v>
      </c>
      <c r="I3" s="51"/>
    </row>
    <row r="4" spans="1:15" ht="17.25" customHeight="1">
      <c r="A4" s="51"/>
      <c r="B4" s="105" t="s">
        <v>342</v>
      </c>
      <c r="C4" s="106"/>
      <c r="D4" s="106"/>
      <c r="E4" s="109"/>
      <c r="F4" s="109"/>
      <c r="G4" s="109"/>
      <c r="H4" s="107"/>
      <c r="I4" s="51"/>
    </row>
    <row r="5" spans="1:15" s="69" customFormat="1" ht="84">
      <c r="A5" s="67"/>
      <c r="B5" s="64">
        <v>1</v>
      </c>
      <c r="C5" s="42" t="s">
        <v>343</v>
      </c>
      <c r="D5" s="42" t="s">
        <v>344</v>
      </c>
      <c r="E5" s="43"/>
      <c r="F5" s="46"/>
      <c r="G5" s="43"/>
      <c r="H5" s="84"/>
    </row>
    <row r="6" spans="1:15" s="69" customFormat="1" ht="60">
      <c r="A6" s="67"/>
      <c r="B6" s="64">
        <v>2</v>
      </c>
      <c r="C6" s="42" t="s">
        <v>345</v>
      </c>
      <c r="D6" s="42" t="s">
        <v>346</v>
      </c>
      <c r="E6" s="43"/>
      <c r="F6" s="46"/>
      <c r="G6" s="85"/>
      <c r="H6" s="86"/>
    </row>
    <row r="7" spans="1:15" s="69" customFormat="1" ht="177.75" customHeight="1">
      <c r="A7" s="67"/>
      <c r="B7" s="73">
        <v>3</v>
      </c>
      <c r="C7" s="42" t="s">
        <v>347</v>
      </c>
      <c r="D7" s="42" t="s">
        <v>348</v>
      </c>
      <c r="E7" s="82"/>
      <c r="F7" s="89"/>
      <c r="G7" s="90"/>
      <c r="H7" s="86"/>
    </row>
    <row r="8" spans="1:15" s="69" customFormat="1" ht="21.75" customHeight="1">
      <c r="A8" s="51"/>
      <c r="B8" s="105" t="s">
        <v>349</v>
      </c>
      <c r="C8" s="106"/>
      <c r="D8" s="106"/>
      <c r="E8" s="109"/>
      <c r="F8" s="109"/>
      <c r="G8" s="109"/>
      <c r="H8" s="107"/>
      <c r="I8" s="51"/>
      <c r="J8" s="38"/>
      <c r="K8" s="38"/>
      <c r="L8" s="38"/>
      <c r="M8" s="38"/>
      <c r="N8" s="38"/>
      <c r="O8" s="38"/>
    </row>
    <row r="9" spans="1:15" s="69" customFormat="1" ht="60">
      <c r="A9" s="67"/>
      <c r="B9" s="64">
        <v>4</v>
      </c>
      <c r="C9" s="42" t="s">
        <v>350</v>
      </c>
      <c r="D9" s="42" t="s">
        <v>351</v>
      </c>
      <c r="E9" s="43"/>
      <c r="F9" s="46"/>
      <c r="G9" s="43"/>
      <c r="H9" s="42"/>
      <c r="I9" s="67"/>
    </row>
    <row r="10" spans="1:15" s="69" customFormat="1" ht="17.25" customHeight="1">
      <c r="A10" s="51"/>
      <c r="B10" s="105" t="s">
        <v>352</v>
      </c>
      <c r="C10" s="106"/>
      <c r="D10" s="106"/>
      <c r="E10" s="109"/>
      <c r="F10" s="109"/>
      <c r="G10" s="109"/>
      <c r="H10" s="107"/>
      <c r="I10" s="51"/>
      <c r="J10" s="38"/>
      <c r="K10" s="38"/>
      <c r="L10" s="38"/>
      <c r="M10" s="38"/>
      <c r="N10" s="38"/>
      <c r="O10" s="38"/>
    </row>
    <row r="11" spans="1:15" ht="44.25" customHeight="1">
      <c r="A11" s="51"/>
      <c r="B11" s="78">
        <v>5</v>
      </c>
      <c r="C11" s="49" t="s">
        <v>353</v>
      </c>
      <c r="D11" s="42" t="s">
        <v>354</v>
      </c>
      <c r="E11" s="43"/>
      <c r="F11" s="46"/>
      <c r="G11" s="43"/>
      <c r="H11" s="42"/>
      <c r="I11" s="51"/>
    </row>
    <row r="12" spans="1:15" ht="49.5" customHeight="1">
      <c r="A12" s="51"/>
      <c r="B12" s="78">
        <v>6</v>
      </c>
      <c r="C12" s="42" t="s">
        <v>355</v>
      </c>
      <c r="D12" s="42" t="s">
        <v>356</v>
      </c>
      <c r="E12" s="43"/>
      <c r="F12" s="46"/>
      <c r="G12" s="43"/>
      <c r="H12" s="52"/>
      <c r="I12" s="51"/>
    </row>
    <row r="13" spans="1:15" ht="17.25" customHeight="1">
      <c r="A13" s="51"/>
      <c r="B13" s="105" t="s">
        <v>357</v>
      </c>
      <c r="C13" s="106"/>
      <c r="D13" s="106"/>
      <c r="E13" s="109"/>
      <c r="F13" s="109"/>
      <c r="G13" s="109"/>
      <c r="H13" s="107"/>
      <c r="I13" s="51"/>
    </row>
    <row r="14" spans="1:15" ht="114.75" customHeight="1">
      <c r="A14" s="51"/>
      <c r="B14" s="78">
        <v>7</v>
      </c>
      <c r="C14" s="42" t="s">
        <v>358</v>
      </c>
      <c r="D14" s="42" t="s">
        <v>359</v>
      </c>
      <c r="E14" s="43"/>
      <c r="F14" s="46"/>
      <c r="G14" s="43"/>
      <c r="H14" s="52"/>
      <c r="I14" s="51"/>
    </row>
    <row r="15" spans="1:15" ht="21.75" customHeight="1">
      <c r="A15" s="51"/>
      <c r="B15" s="105" t="s">
        <v>360</v>
      </c>
      <c r="C15" s="106"/>
      <c r="D15" s="106"/>
      <c r="E15" s="109"/>
      <c r="F15" s="109"/>
      <c r="G15" s="109"/>
      <c r="H15" s="107"/>
      <c r="I15" s="51"/>
    </row>
    <row r="16" spans="1:15" ht="64.5" customHeight="1">
      <c r="A16" s="51"/>
      <c r="B16" s="78">
        <v>8</v>
      </c>
      <c r="C16" s="42" t="s">
        <v>361</v>
      </c>
      <c r="D16" s="42" t="s">
        <v>362</v>
      </c>
      <c r="E16" s="43"/>
      <c r="F16" s="43"/>
      <c r="G16" s="43"/>
      <c r="H16" s="52"/>
      <c r="I16" s="51"/>
    </row>
    <row r="17" spans="1:9" ht="59.25" customHeight="1">
      <c r="A17" s="51"/>
      <c r="B17" s="78">
        <v>9</v>
      </c>
      <c r="C17" s="42" t="s">
        <v>363</v>
      </c>
      <c r="D17" s="42" t="s">
        <v>364</v>
      </c>
      <c r="E17" s="43"/>
      <c r="F17" s="43"/>
      <c r="G17" s="43"/>
      <c r="H17" s="52"/>
      <c r="I17" s="51"/>
    </row>
    <row r="18" spans="1:9" ht="24.75" customHeight="1">
      <c r="A18" s="51"/>
      <c r="B18" s="105" t="s">
        <v>365</v>
      </c>
      <c r="C18" s="106"/>
      <c r="D18" s="106"/>
      <c r="E18" s="109"/>
      <c r="F18" s="109"/>
      <c r="G18" s="109"/>
      <c r="H18" s="107"/>
      <c r="I18" s="51"/>
    </row>
    <row r="19" spans="1:9" ht="39" customHeight="1">
      <c r="A19" s="51"/>
      <c r="B19" s="78">
        <v>10</v>
      </c>
      <c r="C19" s="42" t="s">
        <v>366</v>
      </c>
      <c r="D19" s="42" t="s">
        <v>367</v>
      </c>
      <c r="E19" s="43"/>
      <c r="F19" s="43"/>
      <c r="G19" s="43"/>
      <c r="H19" s="52"/>
      <c r="I19" s="51"/>
    </row>
    <row r="20" spans="1:9" ht="72.75" customHeight="1">
      <c r="A20" s="51"/>
      <c r="B20" s="78">
        <v>11</v>
      </c>
      <c r="C20" s="42" t="s">
        <v>368</v>
      </c>
      <c r="D20" s="42" t="s">
        <v>369</v>
      </c>
      <c r="E20" s="43"/>
      <c r="F20" s="43"/>
      <c r="G20" s="43"/>
      <c r="H20" s="52"/>
      <c r="I20" s="51"/>
    </row>
    <row r="21" spans="1:9" ht="24" customHeight="1">
      <c r="A21" s="51"/>
      <c r="B21" s="105" t="s">
        <v>370</v>
      </c>
      <c r="C21" s="106"/>
      <c r="D21" s="106"/>
      <c r="E21" s="109"/>
      <c r="F21" s="109"/>
      <c r="G21" s="109"/>
      <c r="H21" s="107"/>
      <c r="I21" s="51"/>
    </row>
    <row r="22" spans="1:9" ht="139.5" customHeight="1">
      <c r="A22" s="51"/>
      <c r="B22" s="78">
        <v>12</v>
      </c>
      <c r="C22" s="42" t="s">
        <v>371</v>
      </c>
      <c r="D22" s="42" t="s">
        <v>372</v>
      </c>
      <c r="E22" s="43"/>
      <c r="F22" s="43"/>
      <c r="G22" s="43"/>
      <c r="H22" s="52"/>
      <c r="I22" s="51"/>
    </row>
    <row r="23" spans="1:9" ht="69.75" customHeight="1">
      <c r="A23" s="51"/>
      <c r="B23" s="78">
        <v>13</v>
      </c>
      <c r="C23" s="42" t="s">
        <v>373</v>
      </c>
      <c r="D23" s="42" t="s">
        <v>374</v>
      </c>
      <c r="E23" s="43"/>
      <c r="F23" s="43"/>
      <c r="G23" s="43"/>
      <c r="H23" s="52"/>
      <c r="I23" s="51"/>
    </row>
    <row r="24" spans="1:9" ht="159.75" customHeight="1">
      <c r="A24" s="51"/>
      <c r="B24" s="78">
        <v>14</v>
      </c>
      <c r="C24" s="42" t="s">
        <v>375</v>
      </c>
      <c r="D24" s="42" t="s">
        <v>376</v>
      </c>
      <c r="E24" s="43"/>
      <c r="F24" s="43"/>
      <c r="G24" s="43"/>
      <c r="H24" s="52"/>
      <c r="I24" s="51"/>
    </row>
    <row r="25" spans="1:9" ht="52.5" customHeight="1">
      <c r="A25" s="51"/>
      <c r="B25" s="78">
        <v>15</v>
      </c>
      <c r="C25" s="42" t="s">
        <v>377</v>
      </c>
      <c r="D25" s="42" t="s">
        <v>378</v>
      </c>
      <c r="E25" s="43"/>
      <c r="F25" s="43"/>
      <c r="G25" s="43"/>
      <c r="H25" s="52"/>
      <c r="I25" s="51"/>
    </row>
    <row r="26" spans="1:9" ht="15.75" customHeight="1">
      <c r="D26" s="67"/>
      <c r="E26" s="77"/>
      <c r="F26" s="77"/>
      <c r="G26" s="77"/>
      <c r="H26" s="67"/>
    </row>
    <row r="27" spans="1:9" ht="15.75" customHeight="1">
      <c r="D27" s="108" t="s">
        <v>152</v>
      </c>
      <c r="E27" s="71">
        <f>COUNTA(E4:E25)</f>
        <v>0</v>
      </c>
      <c r="F27" s="71">
        <f t="shared" ref="F27:G27" si="0">COUNTA(F4:F25)</f>
        <v>0</v>
      </c>
      <c r="G27" s="71">
        <f t="shared" si="0"/>
        <v>0</v>
      </c>
      <c r="H27" s="111">
        <f>SUM(E27:G27)</f>
        <v>0</v>
      </c>
    </row>
    <row r="28" spans="1:9" ht="15.75" customHeight="1">
      <c r="D28" s="108" t="s">
        <v>152</v>
      </c>
      <c r="E28" s="110" t="str">
        <f>IFERROR(E27/$H$27,"-")</f>
        <v>-</v>
      </c>
      <c r="F28" s="110" t="str">
        <f t="shared" ref="F28:G28" si="1">IFERROR(F27/$H$27,"-")</f>
        <v>-</v>
      </c>
      <c r="G28" s="110" t="str">
        <f t="shared" si="1"/>
        <v>-</v>
      </c>
      <c r="H28" s="69"/>
    </row>
  </sheetData>
  <sheetProtection algorithmName="SHA-512" hashValue="VzqM8hFS12ZNV9hlBi3gxRVGgf+rH88Tm5GzgpGoZxwopWQTXo8ro8lMPGr1cy7SDs57sB78/vmhoCkgSIk5+Q==" saltValue="lzKpqVBhz1II/aeZS+KLmQ==" spinCount="100000" sheet="1" objects="1" scenarios="1"/>
  <protectedRanges>
    <protectedRange sqref="E5:H26" name="Range1"/>
  </protectedRanges>
  <mergeCells count="1">
    <mergeCell ref="B2:H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770B-CF65-4A87-9D9B-EA7536BC5780}">
  <sheetPr>
    <tabColor rgb="FFFFFF00"/>
  </sheetPr>
  <dimension ref="A1:I38"/>
  <sheetViews>
    <sheetView showGridLines="0" workbookViewId="0">
      <pane ySplit="3" topLeftCell="A4" activePane="bottomLeft" state="frozen"/>
      <selection pane="bottomLeft" activeCell="A4" sqref="A4"/>
    </sheetView>
  </sheetViews>
  <sheetFormatPr defaultColWidth="0" defaultRowHeight="15.75" customHeight="1"/>
  <cols>
    <col min="1" max="1" width="2" style="38" customWidth="1"/>
    <col min="2" max="2" width="19.7109375" style="66" customWidth="1"/>
    <col min="3" max="3" width="54.7109375" style="38" customWidth="1"/>
    <col min="4" max="4" width="48.28515625" style="38" customWidth="1"/>
    <col min="5" max="7" width="5.85546875" style="38" customWidth="1"/>
    <col min="8" max="8" width="58.42578125" style="38" customWidth="1"/>
    <col min="9" max="11" width="12.5703125" style="38" customWidth="1"/>
    <col min="12" max="16384" width="0" style="38" hidden="1"/>
  </cols>
  <sheetData>
    <row r="1" spans="1:9" ht="9.75" customHeight="1">
      <c r="B1" s="65"/>
      <c r="C1" s="51"/>
      <c r="D1" s="51"/>
      <c r="E1" s="51"/>
      <c r="F1" s="51"/>
      <c r="G1" s="51"/>
      <c r="H1" s="51"/>
    </row>
    <row r="2" spans="1:9" ht="24.75" customHeight="1">
      <c r="A2" s="51"/>
      <c r="B2" s="240" t="s">
        <v>379</v>
      </c>
      <c r="C2" s="240"/>
      <c r="D2" s="240"/>
      <c r="E2" s="240"/>
      <c r="F2" s="240"/>
      <c r="G2" s="240"/>
      <c r="H2" s="240"/>
      <c r="I2" s="51"/>
    </row>
    <row r="3" spans="1:9" ht="51.75" customHeight="1">
      <c r="A3" s="51"/>
      <c r="B3" s="91" t="s">
        <v>103</v>
      </c>
      <c r="C3" s="91" t="s">
        <v>104</v>
      </c>
      <c r="D3" s="91" t="s">
        <v>105</v>
      </c>
      <c r="E3" s="91" t="s">
        <v>106</v>
      </c>
      <c r="F3" s="92" t="s">
        <v>107</v>
      </c>
      <c r="G3" s="92" t="s">
        <v>108</v>
      </c>
      <c r="H3" s="93" t="s">
        <v>109</v>
      </c>
      <c r="I3" s="51"/>
    </row>
    <row r="4" spans="1:9" ht="17.25" customHeight="1">
      <c r="A4" s="51"/>
      <c r="B4" s="105" t="s">
        <v>380</v>
      </c>
      <c r="C4" s="106"/>
      <c r="D4" s="106"/>
      <c r="E4" s="109"/>
      <c r="F4" s="109"/>
      <c r="G4" s="109"/>
      <c r="H4" s="107"/>
      <c r="I4" s="51"/>
    </row>
    <row r="5" spans="1:9" s="69" customFormat="1" ht="72">
      <c r="A5" s="67"/>
      <c r="B5" s="64">
        <v>1</v>
      </c>
      <c r="C5" s="42" t="s">
        <v>381</v>
      </c>
      <c r="D5" s="42" t="s">
        <v>382</v>
      </c>
      <c r="E5" s="68"/>
      <c r="F5" s="68"/>
      <c r="G5" s="68"/>
      <c r="H5" s="61"/>
    </row>
    <row r="6" spans="1:9" s="69" customFormat="1" ht="36">
      <c r="A6" s="67"/>
      <c r="B6" s="64">
        <v>2</v>
      </c>
      <c r="C6" s="42" t="s">
        <v>383</v>
      </c>
      <c r="D6" s="42" t="s">
        <v>384</v>
      </c>
      <c r="E6" s="64"/>
      <c r="F6" s="64"/>
      <c r="G6" s="64"/>
      <c r="H6" s="53"/>
    </row>
    <row r="7" spans="1:9" s="69" customFormat="1" ht="71.25" customHeight="1">
      <c r="A7" s="67"/>
      <c r="B7" s="73">
        <v>3</v>
      </c>
      <c r="C7" s="42" t="s">
        <v>385</v>
      </c>
      <c r="D7" s="42" t="s">
        <v>386</v>
      </c>
      <c r="E7" s="73"/>
      <c r="F7" s="73"/>
      <c r="G7" s="73"/>
      <c r="H7" s="76"/>
    </row>
    <row r="8" spans="1:9" s="69" customFormat="1" ht="72">
      <c r="A8" s="67"/>
      <c r="B8" s="64">
        <v>4</v>
      </c>
      <c r="C8" s="42" t="s">
        <v>387</v>
      </c>
      <c r="D8" s="44"/>
      <c r="E8" s="64"/>
      <c r="F8" s="64"/>
      <c r="G8" s="64"/>
      <c r="H8" s="52"/>
      <c r="I8" s="67"/>
    </row>
    <row r="9" spans="1:9" s="69" customFormat="1" ht="17.25" customHeight="1">
      <c r="A9" s="67"/>
      <c r="B9" s="64">
        <v>5</v>
      </c>
      <c r="C9" s="42" t="s">
        <v>388</v>
      </c>
      <c r="D9" s="44"/>
      <c r="E9" s="64"/>
      <c r="F9" s="64"/>
      <c r="G9" s="64"/>
      <c r="H9" s="52"/>
      <c r="I9" s="67"/>
    </row>
    <row r="10" spans="1:9" s="69" customFormat="1" ht="60">
      <c r="A10" s="67"/>
      <c r="B10" s="64">
        <v>6</v>
      </c>
      <c r="C10" s="42" t="s">
        <v>389</v>
      </c>
      <c r="D10" s="44"/>
      <c r="E10" s="64"/>
      <c r="F10" s="64"/>
      <c r="G10" s="64"/>
      <c r="H10" s="52"/>
      <c r="I10" s="67"/>
    </row>
    <row r="11" spans="1:9" s="69" customFormat="1" ht="48">
      <c r="A11" s="67"/>
      <c r="B11" s="64">
        <v>7</v>
      </c>
      <c r="C11" s="42" t="s">
        <v>390</v>
      </c>
      <c r="D11" s="44"/>
      <c r="E11" s="70"/>
      <c r="F11" s="64"/>
      <c r="G11" s="64"/>
      <c r="H11" s="52"/>
      <c r="I11" s="67"/>
    </row>
    <row r="12" spans="1:9" s="69" customFormat="1" ht="20.25" customHeight="1">
      <c r="A12" s="67"/>
      <c r="B12" s="105" t="s">
        <v>391</v>
      </c>
      <c r="C12" s="106"/>
      <c r="D12" s="106"/>
      <c r="E12" s="109"/>
      <c r="F12" s="109"/>
      <c r="G12" s="109"/>
      <c r="H12" s="107"/>
      <c r="I12" s="67"/>
    </row>
    <row r="13" spans="1:9" s="69" customFormat="1" ht="119.25" customHeight="1">
      <c r="A13" s="67"/>
      <c r="B13" s="64">
        <v>8</v>
      </c>
      <c r="C13" s="42" t="s">
        <v>392</v>
      </c>
      <c r="D13" s="42" t="s">
        <v>393</v>
      </c>
      <c r="E13" s="70"/>
      <c r="F13" s="64"/>
      <c r="G13" s="64"/>
      <c r="H13" s="54"/>
      <c r="I13" s="67"/>
    </row>
    <row r="14" spans="1:9" s="69" customFormat="1" ht="66" customHeight="1">
      <c r="A14" s="67"/>
      <c r="B14" s="64">
        <v>9</v>
      </c>
      <c r="C14" s="42" t="s">
        <v>394</v>
      </c>
      <c r="D14" s="44"/>
      <c r="E14" s="70"/>
      <c r="F14" s="64"/>
      <c r="G14" s="64"/>
      <c r="H14" s="53"/>
      <c r="I14" s="67"/>
    </row>
    <row r="15" spans="1:9" s="69" customFormat="1" ht="61.5" customHeight="1">
      <c r="A15" s="67"/>
      <c r="B15" s="64">
        <v>10</v>
      </c>
      <c r="C15" s="42" t="s">
        <v>395</v>
      </c>
      <c r="D15" s="44"/>
      <c r="E15" s="70"/>
      <c r="F15" s="64"/>
      <c r="G15" s="64"/>
      <c r="H15" s="52"/>
      <c r="I15" s="67"/>
    </row>
    <row r="16" spans="1:9" s="69" customFormat="1" ht="48">
      <c r="A16" s="67"/>
      <c r="B16" s="64">
        <v>11</v>
      </c>
      <c r="C16" s="42" t="s">
        <v>396</v>
      </c>
      <c r="D16" s="44"/>
      <c r="E16" s="70"/>
      <c r="F16" s="64"/>
      <c r="G16" s="64"/>
      <c r="H16" s="52"/>
      <c r="I16" s="67"/>
    </row>
    <row r="17" spans="1:9" s="69" customFormat="1" ht="20.25" customHeight="1">
      <c r="A17" s="67"/>
      <c r="B17" s="105" t="s">
        <v>397</v>
      </c>
      <c r="C17" s="106"/>
      <c r="D17" s="106"/>
      <c r="E17" s="109"/>
      <c r="F17" s="109"/>
      <c r="G17" s="109"/>
      <c r="H17" s="107"/>
      <c r="I17" s="67"/>
    </row>
    <row r="18" spans="1:9" s="69" customFormat="1" ht="36">
      <c r="A18" s="67"/>
      <c r="B18" s="64">
        <v>12</v>
      </c>
      <c r="C18" s="42" t="s">
        <v>398</v>
      </c>
      <c r="D18" s="52"/>
      <c r="E18" s="64"/>
      <c r="F18" s="64"/>
      <c r="G18" s="70"/>
      <c r="H18" s="53"/>
      <c r="I18" s="67"/>
    </row>
    <row r="19" spans="1:9" s="69" customFormat="1" ht="24">
      <c r="A19" s="67"/>
      <c r="B19" s="64">
        <v>13</v>
      </c>
      <c r="C19" s="42" t="s">
        <v>399</v>
      </c>
      <c r="D19" s="53"/>
      <c r="E19" s="64"/>
      <c r="F19" s="64"/>
      <c r="G19" s="70"/>
      <c r="H19" s="53"/>
      <c r="I19" s="67"/>
    </row>
    <row r="20" spans="1:9" s="69" customFormat="1" ht="36">
      <c r="A20" s="67"/>
      <c r="B20" s="64">
        <v>14</v>
      </c>
      <c r="C20" s="42" t="s">
        <v>400</v>
      </c>
      <c r="D20" s="53"/>
      <c r="E20" s="64"/>
      <c r="F20" s="64"/>
      <c r="G20" s="70"/>
      <c r="H20" s="53"/>
      <c r="I20" s="67"/>
    </row>
    <row r="21" spans="1:9" s="69" customFormat="1" ht="18.75" customHeight="1">
      <c r="A21" s="67"/>
      <c r="B21" s="105" t="s">
        <v>401</v>
      </c>
      <c r="C21" s="106"/>
      <c r="D21" s="106"/>
      <c r="E21" s="109"/>
      <c r="F21" s="109"/>
      <c r="G21" s="109"/>
      <c r="H21" s="107"/>
      <c r="I21" s="67"/>
    </row>
    <row r="22" spans="1:9" s="69" customFormat="1" ht="48">
      <c r="A22" s="67"/>
      <c r="B22" s="64">
        <v>15</v>
      </c>
      <c r="C22" s="42" t="s">
        <v>402</v>
      </c>
      <c r="D22" s="44"/>
      <c r="E22" s="70"/>
      <c r="F22" s="64"/>
      <c r="G22" s="64"/>
      <c r="H22" s="52"/>
      <c r="I22" s="67"/>
    </row>
    <row r="23" spans="1:9" s="69" customFormat="1" ht="72">
      <c r="A23" s="67"/>
      <c r="B23" s="64">
        <v>16</v>
      </c>
      <c r="C23" s="42" t="s">
        <v>403</v>
      </c>
      <c r="D23" s="44"/>
      <c r="E23" s="70"/>
      <c r="F23" s="64"/>
      <c r="G23" s="70"/>
      <c r="H23" s="55"/>
      <c r="I23" s="67"/>
    </row>
    <row r="24" spans="1:9" s="69" customFormat="1" ht="72">
      <c r="A24" s="67"/>
      <c r="B24" s="72">
        <v>17</v>
      </c>
      <c r="C24" s="42" t="s">
        <v>404</v>
      </c>
      <c r="D24" s="42" t="s">
        <v>405</v>
      </c>
      <c r="E24" s="64"/>
      <c r="F24" s="70"/>
      <c r="G24" s="64"/>
      <c r="H24" s="52"/>
      <c r="I24" s="67"/>
    </row>
    <row r="25" spans="1:9" s="69" customFormat="1" ht="15.75" customHeight="1">
      <c r="A25" s="67"/>
      <c r="B25" s="105" t="s">
        <v>406</v>
      </c>
      <c r="C25" s="106"/>
      <c r="D25" s="106"/>
      <c r="E25" s="109"/>
      <c r="F25" s="109"/>
      <c r="G25" s="109"/>
      <c r="H25" s="107"/>
      <c r="I25" s="67"/>
    </row>
    <row r="26" spans="1:9" s="69" customFormat="1" ht="60">
      <c r="A26" s="67"/>
      <c r="B26" s="64">
        <v>18</v>
      </c>
      <c r="C26" s="42" t="s">
        <v>407</v>
      </c>
      <c r="D26" s="42" t="s">
        <v>408</v>
      </c>
      <c r="E26" s="64"/>
      <c r="F26" s="64"/>
      <c r="G26" s="70"/>
      <c r="H26" s="53"/>
      <c r="I26" s="67"/>
    </row>
    <row r="27" spans="1:9" s="69" customFormat="1" ht="48">
      <c r="A27" s="67"/>
      <c r="B27" s="72">
        <v>19</v>
      </c>
      <c r="C27" s="42" t="s">
        <v>409</v>
      </c>
      <c r="D27" s="42" t="s">
        <v>410</v>
      </c>
      <c r="E27" s="70"/>
      <c r="F27" s="70"/>
      <c r="G27" s="64"/>
      <c r="H27" s="52"/>
      <c r="I27" s="67"/>
    </row>
    <row r="28" spans="1:9" s="69" customFormat="1" ht="48">
      <c r="A28" s="67"/>
      <c r="B28" s="72">
        <v>20</v>
      </c>
      <c r="C28" s="42" t="s">
        <v>411</v>
      </c>
      <c r="D28" s="44"/>
      <c r="E28" s="64"/>
      <c r="F28" s="70"/>
      <c r="G28" s="64"/>
      <c r="H28" s="52"/>
      <c r="I28" s="67"/>
    </row>
    <row r="29" spans="1:9" s="69" customFormat="1" ht="48">
      <c r="A29" s="67"/>
      <c r="B29" s="64">
        <v>21</v>
      </c>
      <c r="C29" s="42" t="s">
        <v>412</v>
      </c>
      <c r="D29" s="44"/>
      <c r="E29" s="64"/>
      <c r="F29" s="64"/>
      <c r="G29" s="64"/>
      <c r="H29" s="53"/>
      <c r="I29" s="67"/>
    </row>
    <row r="30" spans="1:9" s="69" customFormat="1" ht="53.25" customHeight="1">
      <c r="A30" s="67"/>
      <c r="B30" s="72">
        <v>22</v>
      </c>
      <c r="C30" s="42" t="s">
        <v>413</v>
      </c>
      <c r="D30" s="42" t="s">
        <v>414</v>
      </c>
      <c r="E30" s="70"/>
      <c r="F30" s="70"/>
      <c r="G30" s="64"/>
      <c r="H30" s="52"/>
      <c r="I30" s="67"/>
    </row>
    <row r="31" spans="1:9" s="69" customFormat="1" ht="69" customHeight="1">
      <c r="A31" s="67"/>
      <c r="B31" s="72">
        <v>23</v>
      </c>
      <c r="C31" s="42" t="s">
        <v>415</v>
      </c>
      <c r="D31" s="42" t="s">
        <v>416</v>
      </c>
      <c r="E31" s="64"/>
      <c r="F31" s="70"/>
      <c r="G31" s="64"/>
      <c r="H31" s="52"/>
      <c r="I31" s="67"/>
    </row>
    <row r="32" spans="1:9" s="69" customFormat="1" ht="53.25" customHeight="1">
      <c r="A32" s="67"/>
      <c r="B32" s="64">
        <v>24</v>
      </c>
      <c r="C32" s="42" t="s">
        <v>417</v>
      </c>
      <c r="D32" s="44"/>
      <c r="E32" s="64"/>
      <c r="F32" s="64"/>
      <c r="G32" s="64"/>
      <c r="H32" s="53"/>
      <c r="I32" s="67"/>
    </row>
    <row r="33" spans="2:8" s="69" customFormat="1" ht="15.75" customHeight="1">
      <c r="B33" s="71"/>
      <c r="D33" s="67"/>
      <c r="E33" s="77"/>
      <c r="F33" s="77"/>
      <c r="G33" s="77"/>
      <c r="H33" s="67"/>
    </row>
    <row r="34" spans="2:8" s="69" customFormat="1" ht="15.75" customHeight="1">
      <c r="B34" s="71"/>
      <c r="D34" s="108" t="s">
        <v>152</v>
      </c>
      <c r="E34" s="71">
        <f>COUNTA(E4:E32)</f>
        <v>0</v>
      </c>
      <c r="F34" s="71">
        <f t="shared" ref="F34:G34" si="0">COUNTA(F4:F32)</f>
        <v>0</v>
      </c>
      <c r="G34" s="71">
        <f t="shared" si="0"/>
        <v>0</v>
      </c>
      <c r="H34" s="111">
        <f>SUM(E34:G34)</f>
        <v>0</v>
      </c>
    </row>
    <row r="35" spans="2:8" s="69" customFormat="1" ht="15.75" customHeight="1">
      <c r="B35" s="71"/>
      <c r="D35" s="108" t="s">
        <v>152</v>
      </c>
      <c r="E35" s="110" t="str">
        <f>IFERROR(E34/$H$34,"-")</f>
        <v>-</v>
      </c>
      <c r="F35" s="110" t="str">
        <f t="shared" ref="F35:G35" si="1">IFERROR(F34/$H$34,"-")</f>
        <v>-</v>
      </c>
      <c r="G35" s="110" t="str">
        <f t="shared" si="1"/>
        <v>-</v>
      </c>
    </row>
    <row r="36" spans="2:8" s="69" customFormat="1" ht="15.75" customHeight="1">
      <c r="B36" s="71"/>
    </row>
    <row r="37" spans="2:8" s="69" customFormat="1" ht="15.75" customHeight="1">
      <c r="B37" s="71"/>
    </row>
    <row r="38" spans="2:8" s="69" customFormat="1" ht="15.75" customHeight="1">
      <c r="B38" s="71"/>
    </row>
  </sheetData>
  <sheetProtection algorithmName="SHA-512" hashValue="rPajlCeXkZBTjuqHx1qGj8RyC0uDZTPglWwRMkedAOLLw0OXnOMcFYWFAMuO7TjWHyOyo6U+XmfmV4CJV1LIkg==" saltValue="VIt2o93NgHnytcNY2Wz8Ww==" spinCount="100000" sheet="1" objects="1" scenarios="1"/>
  <protectedRanges>
    <protectedRange sqref="E5:H32" name="Range1"/>
  </protectedRanges>
  <mergeCells count="1">
    <mergeCell ref="B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D2EAF-1D21-4D5C-8443-D83F392E033D}">
  <sheetPr>
    <tabColor rgb="FFFFFF00"/>
  </sheetPr>
  <dimension ref="A1:I30"/>
  <sheetViews>
    <sheetView showGridLines="0" workbookViewId="0">
      <pane ySplit="3" topLeftCell="A4" activePane="bottomLeft" state="frozen"/>
      <selection pane="bottomLeft" activeCell="A4" sqref="A4"/>
    </sheetView>
  </sheetViews>
  <sheetFormatPr defaultColWidth="0" defaultRowHeight="15.75" customHeight="1"/>
  <cols>
    <col min="1" max="1" width="2" style="38" customWidth="1"/>
    <col min="2" max="2" width="19.7109375" style="66" customWidth="1"/>
    <col min="3" max="3" width="54.7109375" style="38" customWidth="1"/>
    <col min="4" max="4" width="48.28515625" style="38" customWidth="1"/>
    <col min="5" max="7" width="6.140625" style="38" customWidth="1"/>
    <col min="8" max="8" width="58.42578125" style="38" customWidth="1"/>
    <col min="9" max="11" width="12.5703125" style="38" customWidth="1"/>
    <col min="12" max="16384" width="0" style="38" hidden="1"/>
  </cols>
  <sheetData>
    <row r="1" spans="1:9" ht="9.75" customHeight="1">
      <c r="B1" s="65"/>
      <c r="C1" s="51"/>
      <c r="D1" s="51"/>
      <c r="E1" s="51"/>
      <c r="F1" s="51"/>
      <c r="G1" s="51"/>
      <c r="H1" s="51"/>
    </row>
    <row r="2" spans="1:9" ht="24.75" customHeight="1">
      <c r="A2" s="51"/>
      <c r="B2" s="240" t="s">
        <v>418</v>
      </c>
      <c r="C2" s="240"/>
      <c r="D2" s="240"/>
      <c r="E2" s="240"/>
      <c r="F2" s="240"/>
      <c r="G2" s="240"/>
      <c r="H2" s="240"/>
      <c r="I2" s="51"/>
    </row>
    <row r="3" spans="1:9" ht="51.75" customHeight="1">
      <c r="A3" s="51"/>
      <c r="B3" s="91" t="s">
        <v>103</v>
      </c>
      <c r="C3" s="91" t="s">
        <v>104</v>
      </c>
      <c r="D3" s="91" t="s">
        <v>105</v>
      </c>
      <c r="E3" s="91" t="s">
        <v>106</v>
      </c>
      <c r="F3" s="92" t="s">
        <v>107</v>
      </c>
      <c r="G3" s="92" t="s">
        <v>108</v>
      </c>
      <c r="H3" s="93" t="s">
        <v>109</v>
      </c>
      <c r="I3" s="51"/>
    </row>
    <row r="4" spans="1:9" s="69" customFormat="1" ht="96">
      <c r="A4" s="67"/>
      <c r="B4" s="64">
        <v>1</v>
      </c>
      <c r="C4" s="42" t="s">
        <v>419</v>
      </c>
      <c r="D4" s="42" t="s">
        <v>420</v>
      </c>
      <c r="E4" s="68"/>
      <c r="F4" s="68"/>
      <c r="G4" s="68"/>
      <c r="H4" s="61"/>
    </row>
    <row r="5" spans="1:9" s="69" customFormat="1" ht="48">
      <c r="A5" s="67"/>
      <c r="B5" s="64">
        <v>2</v>
      </c>
      <c r="C5" s="42" t="s">
        <v>421</v>
      </c>
      <c r="D5" s="42" t="s">
        <v>422</v>
      </c>
      <c r="E5" s="64"/>
      <c r="F5" s="64"/>
      <c r="G5" s="64"/>
      <c r="H5" s="53"/>
    </row>
    <row r="6" spans="1:9" s="69" customFormat="1" ht="20.25" customHeight="1">
      <c r="A6" s="67"/>
      <c r="B6" s="105" t="s">
        <v>423</v>
      </c>
      <c r="C6" s="106"/>
      <c r="D6" s="106"/>
      <c r="E6" s="109"/>
      <c r="F6" s="109"/>
      <c r="G6" s="109"/>
      <c r="H6" s="107"/>
      <c r="I6" s="67"/>
    </row>
    <row r="7" spans="1:9" s="69" customFormat="1" ht="93.75" customHeight="1">
      <c r="A7" s="67"/>
      <c r="B7" s="64">
        <v>3</v>
      </c>
      <c r="C7" s="42" t="s">
        <v>424</v>
      </c>
      <c r="D7" s="42" t="s">
        <v>425</v>
      </c>
      <c r="E7" s="70"/>
      <c r="F7" s="64"/>
      <c r="G7" s="64"/>
      <c r="H7" s="54"/>
      <c r="I7" s="67"/>
    </row>
    <row r="8" spans="1:9" s="69" customFormat="1" ht="86.25" customHeight="1">
      <c r="A8" s="67"/>
      <c r="B8" s="64">
        <v>4</v>
      </c>
      <c r="C8" s="42" t="s">
        <v>426</v>
      </c>
      <c r="D8" s="42" t="s">
        <v>427</v>
      </c>
      <c r="E8" s="70"/>
      <c r="F8" s="64"/>
      <c r="G8" s="64"/>
      <c r="H8" s="53"/>
      <c r="I8" s="67"/>
    </row>
    <row r="9" spans="1:9" s="69" customFormat="1" ht="128.25" customHeight="1">
      <c r="A9" s="67"/>
      <c r="B9" s="64">
        <v>5</v>
      </c>
      <c r="C9" s="42" t="s">
        <v>428</v>
      </c>
      <c r="D9" s="42" t="s">
        <v>429</v>
      </c>
      <c r="E9" s="70"/>
      <c r="F9" s="64"/>
      <c r="G9" s="64"/>
      <c r="H9" s="52"/>
      <c r="I9" s="67"/>
    </row>
    <row r="10" spans="1:9" s="69" customFormat="1" ht="60">
      <c r="A10" s="67"/>
      <c r="B10" s="64">
        <v>6</v>
      </c>
      <c r="C10" s="42" t="s">
        <v>430</v>
      </c>
      <c r="D10" s="42" t="s">
        <v>431</v>
      </c>
      <c r="E10" s="70"/>
      <c r="F10" s="64"/>
      <c r="G10" s="64"/>
      <c r="H10" s="52"/>
      <c r="I10" s="67"/>
    </row>
    <row r="11" spans="1:9" s="69" customFormat="1" ht="20.25" customHeight="1">
      <c r="A11" s="67"/>
      <c r="B11" s="105" t="s">
        <v>432</v>
      </c>
      <c r="C11" s="106"/>
      <c r="D11" s="106"/>
      <c r="E11" s="109"/>
      <c r="F11" s="109"/>
      <c r="G11" s="109"/>
      <c r="H11" s="107"/>
      <c r="I11" s="67"/>
    </row>
    <row r="12" spans="1:9" s="69" customFormat="1" ht="60">
      <c r="A12" s="67"/>
      <c r="B12" s="64">
        <v>7</v>
      </c>
      <c r="C12" s="42" t="s">
        <v>433</v>
      </c>
      <c r="D12" s="94"/>
      <c r="E12" s="64"/>
      <c r="F12" s="64"/>
      <c r="G12" s="70"/>
      <c r="H12" s="53"/>
      <c r="I12" s="67"/>
    </row>
    <row r="13" spans="1:9" s="69" customFormat="1" ht="96">
      <c r="A13" s="67"/>
      <c r="B13" s="64">
        <v>8</v>
      </c>
      <c r="C13" s="42" t="s">
        <v>434</v>
      </c>
      <c r="D13" s="42" t="s">
        <v>435</v>
      </c>
      <c r="E13" s="64"/>
      <c r="F13" s="64"/>
      <c r="G13" s="70"/>
      <c r="H13" s="53"/>
      <c r="I13" s="67"/>
    </row>
    <row r="14" spans="1:9" s="69" customFormat="1" ht="75.75" customHeight="1">
      <c r="A14" s="67"/>
      <c r="B14" s="64">
        <v>9</v>
      </c>
      <c r="C14" s="42" t="s">
        <v>436</v>
      </c>
      <c r="D14" s="42" t="s">
        <v>437</v>
      </c>
      <c r="E14" s="64"/>
      <c r="F14" s="64"/>
      <c r="G14" s="70"/>
      <c r="H14" s="53"/>
      <c r="I14" s="67"/>
    </row>
    <row r="15" spans="1:9" s="69" customFormat="1" ht="178.5">
      <c r="A15" s="67"/>
      <c r="B15" s="64">
        <v>10</v>
      </c>
      <c r="C15" s="42" t="s">
        <v>438</v>
      </c>
      <c r="D15" s="42" t="s">
        <v>439</v>
      </c>
      <c r="E15" s="70"/>
      <c r="F15" s="64"/>
      <c r="G15" s="64"/>
      <c r="H15" s="52"/>
      <c r="I15" s="67"/>
    </row>
    <row r="16" spans="1:9" s="69" customFormat="1" ht="72">
      <c r="A16" s="67"/>
      <c r="B16" s="64">
        <v>11</v>
      </c>
      <c r="C16" s="42" t="s">
        <v>440</v>
      </c>
      <c r="D16" s="42" t="s">
        <v>441</v>
      </c>
      <c r="E16" s="70"/>
      <c r="F16" s="64"/>
      <c r="G16" s="70"/>
      <c r="H16" s="55"/>
      <c r="I16" s="67"/>
    </row>
    <row r="17" spans="1:9" s="69" customFormat="1" ht="19.5" customHeight="1">
      <c r="A17" s="67"/>
      <c r="B17" s="105" t="s">
        <v>442</v>
      </c>
      <c r="C17" s="106"/>
      <c r="D17" s="106"/>
      <c r="E17" s="109"/>
      <c r="F17" s="109"/>
      <c r="G17" s="109"/>
      <c r="H17" s="107"/>
      <c r="I17" s="67"/>
    </row>
    <row r="18" spans="1:9" s="69" customFormat="1" ht="84">
      <c r="A18" s="67"/>
      <c r="B18" s="64">
        <v>12</v>
      </c>
      <c r="C18" s="42" t="s">
        <v>443</v>
      </c>
      <c r="D18" s="42" t="s">
        <v>444</v>
      </c>
      <c r="E18" s="64"/>
      <c r="F18" s="64"/>
      <c r="G18" s="70"/>
      <c r="H18" s="53"/>
      <c r="I18" s="67"/>
    </row>
    <row r="19" spans="1:9" s="69" customFormat="1" ht="46.5" customHeight="1">
      <c r="A19" s="67"/>
      <c r="B19" s="72">
        <v>13</v>
      </c>
      <c r="C19" s="42" t="s">
        <v>445</v>
      </c>
      <c r="D19" s="42" t="s">
        <v>446</v>
      </c>
      <c r="E19" s="70"/>
      <c r="F19" s="70"/>
      <c r="G19" s="64"/>
      <c r="H19" s="52"/>
      <c r="I19" s="67"/>
    </row>
    <row r="20" spans="1:9" s="69" customFormat="1" ht="108" customHeight="1">
      <c r="A20" s="67"/>
      <c r="B20" s="72">
        <v>14</v>
      </c>
      <c r="C20" s="42" t="s">
        <v>133</v>
      </c>
      <c r="D20" s="42" t="s">
        <v>447</v>
      </c>
      <c r="E20" s="64"/>
      <c r="F20" s="70"/>
      <c r="G20" s="64"/>
      <c r="H20" s="52"/>
      <c r="I20" s="67"/>
    </row>
    <row r="21" spans="1:9" s="69" customFormat="1" ht="66" customHeight="1">
      <c r="A21" s="67"/>
      <c r="B21" s="64">
        <v>15</v>
      </c>
      <c r="C21" s="42" t="s">
        <v>448</v>
      </c>
      <c r="D21" s="42" t="s">
        <v>449</v>
      </c>
      <c r="E21" s="64"/>
      <c r="F21" s="64"/>
      <c r="G21" s="64"/>
      <c r="H21" s="53"/>
      <c r="I21" s="67"/>
    </row>
    <row r="22" spans="1:9" s="69" customFormat="1" ht="80.25" customHeight="1">
      <c r="A22" s="67"/>
      <c r="B22" s="72">
        <v>16</v>
      </c>
      <c r="C22" s="42" t="s">
        <v>450</v>
      </c>
      <c r="D22" s="42" t="s">
        <v>451</v>
      </c>
      <c r="E22" s="70"/>
      <c r="F22" s="70"/>
      <c r="G22" s="64"/>
      <c r="H22" s="52"/>
      <c r="I22" s="67"/>
    </row>
    <row r="23" spans="1:9" s="69" customFormat="1" ht="91.5" customHeight="1">
      <c r="A23" s="67"/>
      <c r="B23" s="72">
        <v>17</v>
      </c>
      <c r="C23" s="42" t="s">
        <v>452</v>
      </c>
      <c r="D23" s="42" t="s">
        <v>453</v>
      </c>
      <c r="E23" s="64"/>
      <c r="F23" s="70"/>
      <c r="G23" s="64"/>
      <c r="H23" s="52"/>
      <c r="I23" s="67"/>
    </row>
    <row r="24" spans="1:9" s="69" customFormat="1" ht="115.5" customHeight="1">
      <c r="A24" s="67"/>
      <c r="B24" s="64">
        <v>18</v>
      </c>
      <c r="C24" s="42" t="s">
        <v>454</v>
      </c>
      <c r="D24" s="42" t="s">
        <v>455</v>
      </c>
      <c r="E24" s="64"/>
      <c r="F24" s="64"/>
      <c r="G24" s="64"/>
      <c r="H24" s="53"/>
      <c r="I24" s="67"/>
    </row>
    <row r="25" spans="1:9" s="69" customFormat="1" ht="66" customHeight="1">
      <c r="B25" s="64">
        <v>19</v>
      </c>
      <c r="C25" s="42" t="s">
        <v>456</v>
      </c>
      <c r="D25" s="42" t="s">
        <v>457</v>
      </c>
      <c r="E25" s="64"/>
      <c r="F25" s="64"/>
      <c r="G25" s="64"/>
      <c r="H25" s="53"/>
    </row>
    <row r="26" spans="1:9" s="69" customFormat="1" ht="93" customHeight="1">
      <c r="B26" s="64">
        <v>20</v>
      </c>
      <c r="C26" s="42" t="s">
        <v>458</v>
      </c>
      <c r="D26" s="42" t="s">
        <v>459</v>
      </c>
      <c r="E26" s="64"/>
      <c r="F26" s="64"/>
      <c r="G26" s="64"/>
      <c r="H26" s="53"/>
    </row>
    <row r="27" spans="1:9" s="69" customFormat="1" ht="102" customHeight="1">
      <c r="B27" s="64">
        <v>21</v>
      </c>
      <c r="C27" s="42" t="s">
        <v>460</v>
      </c>
      <c r="D27" s="42" t="s">
        <v>461</v>
      </c>
      <c r="E27" s="64"/>
      <c r="F27" s="64"/>
      <c r="G27" s="64"/>
      <c r="H27" s="53"/>
    </row>
    <row r="28" spans="1:9" s="69" customFormat="1" ht="15.75" customHeight="1">
      <c r="B28" s="71"/>
      <c r="D28" s="67"/>
      <c r="E28" s="77"/>
      <c r="F28" s="77"/>
      <c r="G28" s="77"/>
      <c r="H28" s="67"/>
    </row>
    <row r="29" spans="1:9" s="69" customFormat="1" ht="15.75" customHeight="1">
      <c r="B29" s="71"/>
      <c r="D29" s="108" t="s">
        <v>152</v>
      </c>
      <c r="E29" s="71">
        <f>COUNTA(E4:E27)</f>
        <v>0</v>
      </c>
      <c r="F29" s="71">
        <f t="shared" ref="F29:G29" si="0">COUNTA(F4:F27)</f>
        <v>0</v>
      </c>
      <c r="G29" s="71">
        <f t="shared" si="0"/>
        <v>0</v>
      </c>
      <c r="H29" s="111">
        <f>SUM(E29:G29)</f>
        <v>0</v>
      </c>
    </row>
    <row r="30" spans="1:9" s="69" customFormat="1" ht="15.75" customHeight="1">
      <c r="B30" s="71"/>
      <c r="D30" s="108" t="s">
        <v>152</v>
      </c>
      <c r="E30" s="110" t="str">
        <f>IFERROR(E29/$H$29,"-")</f>
        <v>-</v>
      </c>
      <c r="F30" s="110" t="str">
        <f t="shared" ref="F30:G30" si="1">IFERROR(F29/$H$29,"-")</f>
        <v>-</v>
      </c>
      <c r="G30" s="110" t="str">
        <f t="shared" si="1"/>
        <v>-</v>
      </c>
    </row>
  </sheetData>
  <sheetProtection algorithmName="SHA-512" hashValue="m7wpPzzFq9wqrR3cYKdXlf/WoEvIebfZiBpyAgcw76eOeNB2nLjLd8b3CSqjt7GXsq293GCbucM5CddcaKWV7g==" saltValue="BZVMq7frY5Aqvo5PTWa9mg==" spinCount="100000" sheet="1" objects="1" scenarios="1"/>
  <protectedRanges>
    <protectedRange sqref="E4:H27" name="Range1"/>
  </protectedRanges>
  <mergeCells count="1">
    <mergeCell ref="B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5CF29-A08D-449C-A080-14B46798B195}">
  <sheetPr>
    <tabColor rgb="FFFFFF00"/>
  </sheetPr>
  <dimension ref="A1:I28"/>
  <sheetViews>
    <sheetView showGridLines="0" workbookViewId="0">
      <pane ySplit="3" topLeftCell="A4" activePane="bottomLeft" state="frozen"/>
      <selection pane="bottomLeft" activeCell="A5" sqref="A5"/>
    </sheetView>
  </sheetViews>
  <sheetFormatPr defaultColWidth="0" defaultRowHeight="15.75" customHeight="1"/>
  <cols>
    <col min="1" max="1" width="2" style="38" customWidth="1"/>
    <col min="2" max="2" width="19.7109375" style="66" customWidth="1"/>
    <col min="3" max="3" width="54.7109375" style="38" customWidth="1"/>
    <col min="4" max="4" width="48.28515625" style="38" customWidth="1"/>
    <col min="5" max="7" width="5.5703125" style="38" customWidth="1"/>
    <col min="8" max="8" width="58.42578125" style="38" customWidth="1"/>
    <col min="9" max="11" width="12.5703125" style="38" customWidth="1"/>
    <col min="12" max="16384" width="0" style="38" hidden="1"/>
  </cols>
  <sheetData>
    <row r="1" spans="1:9" ht="9.75" customHeight="1">
      <c r="B1" s="65"/>
      <c r="C1" s="51"/>
      <c r="D1" s="51"/>
      <c r="E1" s="51"/>
      <c r="F1" s="51"/>
      <c r="G1" s="51"/>
      <c r="H1" s="51"/>
    </row>
    <row r="2" spans="1:9" ht="24.75" customHeight="1">
      <c r="A2" s="51"/>
      <c r="B2" s="240" t="s">
        <v>462</v>
      </c>
      <c r="C2" s="240"/>
      <c r="D2" s="240"/>
      <c r="E2" s="240"/>
      <c r="F2" s="240"/>
      <c r="G2" s="240"/>
      <c r="H2" s="240"/>
      <c r="I2" s="51"/>
    </row>
    <row r="3" spans="1:9" ht="51.75" customHeight="1">
      <c r="A3" s="51"/>
      <c r="B3" s="91" t="s">
        <v>103</v>
      </c>
      <c r="C3" s="91" t="s">
        <v>104</v>
      </c>
      <c r="D3" s="91" t="s">
        <v>105</v>
      </c>
      <c r="E3" s="91" t="s">
        <v>106</v>
      </c>
      <c r="F3" s="92" t="s">
        <v>107</v>
      </c>
      <c r="G3" s="92" t="s">
        <v>108</v>
      </c>
      <c r="H3" s="93" t="s">
        <v>109</v>
      </c>
      <c r="I3" s="51"/>
    </row>
    <row r="4" spans="1:9" s="69" customFormat="1" ht="20.25" customHeight="1">
      <c r="A4" s="67"/>
      <c r="B4" s="105" t="s">
        <v>463</v>
      </c>
      <c r="C4" s="106"/>
      <c r="D4" s="106"/>
      <c r="E4" s="109"/>
      <c r="F4" s="109"/>
      <c r="G4" s="109"/>
      <c r="H4" s="107"/>
      <c r="I4" s="67"/>
    </row>
    <row r="5" spans="1:9" s="69" customFormat="1" ht="62.25" customHeight="1">
      <c r="A5" s="67"/>
      <c r="B5" s="64">
        <v>1</v>
      </c>
      <c r="C5" s="42" t="s">
        <v>464</v>
      </c>
      <c r="D5" s="42" t="s">
        <v>465</v>
      </c>
      <c r="E5" s="70"/>
      <c r="F5" s="64"/>
      <c r="G5" s="64"/>
      <c r="H5" s="54"/>
      <c r="I5" s="67"/>
    </row>
    <row r="6" spans="1:9" s="69" customFormat="1" ht="66" customHeight="1">
      <c r="A6" s="67"/>
      <c r="B6" s="64">
        <v>2</v>
      </c>
      <c r="C6" s="42" t="s">
        <v>466</v>
      </c>
      <c r="D6" s="42" t="s">
        <v>467</v>
      </c>
      <c r="E6" s="70"/>
      <c r="F6" s="64"/>
      <c r="G6" s="64"/>
      <c r="H6" s="53"/>
      <c r="I6" s="67"/>
    </row>
    <row r="7" spans="1:9" s="69" customFormat="1" ht="94.5" customHeight="1">
      <c r="A7" s="67"/>
      <c r="B7" s="64">
        <v>3</v>
      </c>
      <c r="C7" s="42" t="s">
        <v>468</v>
      </c>
      <c r="D7" s="42" t="s">
        <v>469</v>
      </c>
      <c r="E7" s="70"/>
      <c r="F7" s="64"/>
      <c r="G7" s="64"/>
      <c r="H7" s="52"/>
      <c r="I7" s="67"/>
    </row>
    <row r="8" spans="1:9" s="69" customFormat="1" ht="48">
      <c r="A8" s="67"/>
      <c r="B8" s="64">
        <v>4</v>
      </c>
      <c r="C8" s="42" t="s">
        <v>470</v>
      </c>
      <c r="D8" s="42" t="s">
        <v>471</v>
      </c>
      <c r="E8" s="70"/>
      <c r="F8" s="64"/>
      <c r="G8" s="64"/>
      <c r="H8" s="52"/>
      <c r="I8" s="67"/>
    </row>
    <row r="9" spans="1:9" s="69" customFormat="1" ht="20.25" customHeight="1">
      <c r="A9" s="67"/>
      <c r="B9" s="105" t="s">
        <v>472</v>
      </c>
      <c r="C9" s="106"/>
      <c r="D9" s="106"/>
      <c r="E9" s="109"/>
      <c r="F9" s="109"/>
      <c r="G9" s="109"/>
      <c r="H9" s="107"/>
      <c r="I9" s="67"/>
    </row>
    <row r="10" spans="1:9" s="69" customFormat="1" ht="90.75" customHeight="1">
      <c r="A10" s="67"/>
      <c r="B10" s="64">
        <v>5</v>
      </c>
      <c r="C10" s="42" t="s">
        <v>473</v>
      </c>
      <c r="D10" s="42" t="s">
        <v>474</v>
      </c>
      <c r="E10" s="64"/>
      <c r="F10" s="64"/>
      <c r="G10" s="70"/>
      <c r="H10" s="53"/>
      <c r="I10" s="67"/>
    </row>
    <row r="11" spans="1:9" s="69" customFormat="1" ht="48">
      <c r="A11" s="67"/>
      <c r="B11" s="64">
        <v>6</v>
      </c>
      <c r="C11" s="42" t="s">
        <v>475</v>
      </c>
      <c r="D11" s="42" t="s">
        <v>476</v>
      </c>
      <c r="E11" s="64"/>
      <c r="F11" s="64"/>
      <c r="G11" s="70"/>
      <c r="H11" s="53"/>
      <c r="I11" s="67"/>
    </row>
    <row r="12" spans="1:9" s="69" customFormat="1" ht="89.25" customHeight="1">
      <c r="A12" s="67"/>
      <c r="B12" s="64">
        <v>7</v>
      </c>
      <c r="C12" s="42" t="s">
        <v>477</v>
      </c>
      <c r="D12" s="42" t="s">
        <v>478</v>
      </c>
      <c r="E12" s="64"/>
      <c r="F12" s="64"/>
      <c r="G12" s="70"/>
      <c r="H12" s="53"/>
      <c r="I12" s="67"/>
    </row>
    <row r="13" spans="1:9" s="69" customFormat="1" ht="111" customHeight="1">
      <c r="A13" s="67"/>
      <c r="B13" s="64">
        <v>8</v>
      </c>
      <c r="C13" s="42" t="s">
        <v>479</v>
      </c>
      <c r="D13" s="42" t="s">
        <v>480</v>
      </c>
      <c r="E13" s="70"/>
      <c r="F13" s="64"/>
      <c r="G13" s="64"/>
      <c r="H13" s="52"/>
      <c r="I13" s="67"/>
    </row>
    <row r="14" spans="1:9" s="69" customFormat="1" ht="81.75" customHeight="1">
      <c r="A14" s="67"/>
      <c r="B14" s="64">
        <v>9</v>
      </c>
      <c r="C14" s="42" t="s">
        <v>481</v>
      </c>
      <c r="D14" s="42" t="s">
        <v>482</v>
      </c>
      <c r="E14" s="70"/>
      <c r="F14" s="64"/>
      <c r="G14" s="70"/>
      <c r="H14" s="55"/>
      <c r="I14" s="67"/>
    </row>
    <row r="15" spans="1:9" s="69" customFormat="1" ht="69.75" customHeight="1">
      <c r="A15" s="67"/>
      <c r="B15" s="64">
        <v>10</v>
      </c>
      <c r="C15" s="42" t="s">
        <v>483</v>
      </c>
      <c r="D15" s="42" t="s">
        <v>484</v>
      </c>
      <c r="E15" s="70"/>
      <c r="F15" s="64"/>
      <c r="G15" s="70"/>
      <c r="H15" s="55"/>
      <c r="I15" s="67"/>
    </row>
    <row r="16" spans="1:9" s="69" customFormat="1" ht="18.75" customHeight="1">
      <c r="A16" s="67"/>
      <c r="B16" s="105" t="s">
        <v>485</v>
      </c>
      <c r="C16" s="106"/>
      <c r="D16" s="106"/>
      <c r="E16" s="109"/>
      <c r="F16" s="109"/>
      <c r="G16" s="109"/>
      <c r="H16" s="107"/>
      <c r="I16" s="67"/>
    </row>
    <row r="17" spans="1:9" s="69" customFormat="1" ht="176.25" customHeight="1">
      <c r="A17" s="67"/>
      <c r="B17" s="64">
        <v>11</v>
      </c>
      <c r="C17" s="42" t="s">
        <v>486</v>
      </c>
      <c r="D17" s="42" t="s">
        <v>487</v>
      </c>
      <c r="E17" s="70"/>
      <c r="F17" s="64"/>
      <c r="G17" s="70"/>
      <c r="H17" s="55"/>
      <c r="I17" s="67"/>
    </row>
    <row r="18" spans="1:9" s="69" customFormat="1" ht="57" customHeight="1">
      <c r="A18" s="67"/>
      <c r="B18" s="64">
        <v>12</v>
      </c>
      <c r="C18" s="42" t="s">
        <v>488</v>
      </c>
      <c r="D18" s="42" t="s">
        <v>489</v>
      </c>
      <c r="E18" s="70"/>
      <c r="F18" s="64"/>
      <c r="G18" s="70"/>
      <c r="H18" s="55"/>
      <c r="I18" s="67"/>
    </row>
    <row r="19" spans="1:9" s="69" customFormat="1" ht="56.25" customHeight="1">
      <c r="A19" s="67"/>
      <c r="B19" s="64">
        <v>13</v>
      </c>
      <c r="C19" s="42" t="s">
        <v>490</v>
      </c>
      <c r="D19" s="95" t="s">
        <v>491</v>
      </c>
      <c r="E19" s="64"/>
      <c r="F19" s="64"/>
      <c r="G19" s="64"/>
      <c r="H19" s="53"/>
      <c r="I19" s="67"/>
    </row>
    <row r="20" spans="1:9" s="69" customFormat="1" ht="57" customHeight="1">
      <c r="A20" s="67"/>
      <c r="B20" s="64">
        <v>14</v>
      </c>
      <c r="C20" s="42" t="s">
        <v>492</v>
      </c>
      <c r="D20" s="95" t="s">
        <v>491</v>
      </c>
      <c r="E20" s="70"/>
      <c r="F20" s="70"/>
      <c r="G20" s="64"/>
      <c r="H20" s="52"/>
      <c r="I20" s="67"/>
    </row>
    <row r="21" spans="1:9" s="69" customFormat="1" ht="60.75" customHeight="1">
      <c r="A21" s="67"/>
      <c r="B21" s="72">
        <v>15</v>
      </c>
      <c r="C21" s="42" t="s">
        <v>493</v>
      </c>
      <c r="D21" s="95" t="s">
        <v>491</v>
      </c>
      <c r="E21" s="64"/>
      <c r="F21" s="70"/>
      <c r="G21" s="64"/>
      <c r="H21" s="52"/>
      <c r="I21" s="67"/>
    </row>
    <row r="22" spans="1:9" s="69" customFormat="1" ht="74.25" customHeight="1">
      <c r="A22" s="67"/>
      <c r="B22" s="64">
        <v>16</v>
      </c>
      <c r="C22" s="42" t="s">
        <v>494</v>
      </c>
      <c r="D22" s="42" t="s">
        <v>495</v>
      </c>
      <c r="E22" s="64"/>
      <c r="F22" s="64"/>
      <c r="G22" s="64"/>
      <c r="H22" s="53"/>
      <c r="I22" s="67"/>
    </row>
    <row r="23" spans="1:9" s="69" customFormat="1" ht="59.25" customHeight="1">
      <c r="B23" s="72">
        <v>17</v>
      </c>
      <c r="C23" s="42" t="s">
        <v>496</v>
      </c>
      <c r="D23" s="44"/>
      <c r="E23" s="64"/>
      <c r="F23" s="64"/>
      <c r="G23" s="64"/>
      <c r="H23" s="53"/>
    </row>
    <row r="24" spans="1:9" s="69" customFormat="1" ht="58.5" customHeight="1">
      <c r="B24" s="64">
        <v>18</v>
      </c>
      <c r="C24" s="42" t="s">
        <v>497</v>
      </c>
      <c r="D24" s="44"/>
      <c r="E24" s="64"/>
      <c r="F24" s="64"/>
      <c r="G24" s="64"/>
      <c r="H24" s="53"/>
    </row>
    <row r="25" spans="1:9" s="69" customFormat="1" ht="63.75" customHeight="1">
      <c r="B25" s="72">
        <v>19</v>
      </c>
      <c r="C25" s="42" t="s">
        <v>498</v>
      </c>
      <c r="D25" s="44"/>
      <c r="E25" s="64"/>
      <c r="F25" s="64"/>
      <c r="G25" s="64"/>
      <c r="H25" s="53"/>
    </row>
    <row r="26" spans="1:9" s="69" customFormat="1" ht="15.75" customHeight="1">
      <c r="B26" s="71"/>
      <c r="D26" s="67"/>
      <c r="E26" s="77"/>
      <c r="F26" s="77"/>
      <c r="G26" s="77"/>
      <c r="H26" s="67"/>
    </row>
    <row r="27" spans="1:9" s="69" customFormat="1" ht="15.75" customHeight="1">
      <c r="B27" s="71"/>
      <c r="D27" s="108" t="s">
        <v>152</v>
      </c>
      <c r="E27" s="71">
        <f>COUNTA(E4:E25)</f>
        <v>0</v>
      </c>
      <c r="F27" s="71">
        <f t="shared" ref="F27:G27" si="0">COUNTA(F4:F25)</f>
        <v>0</v>
      </c>
      <c r="G27" s="71">
        <f t="shared" si="0"/>
        <v>0</v>
      </c>
      <c r="H27" s="111">
        <f>SUM(E27:G27)</f>
        <v>0</v>
      </c>
    </row>
    <row r="28" spans="1:9" s="69" customFormat="1" ht="15.75" customHeight="1">
      <c r="B28" s="71"/>
      <c r="D28" s="108" t="s">
        <v>152</v>
      </c>
      <c r="E28" s="110" t="str">
        <f>IFERROR(E27/$H$27,"-")</f>
        <v>-</v>
      </c>
      <c r="F28" s="110" t="str">
        <f t="shared" ref="F28:G28" si="1">IFERROR(F27/$H$27,"-")</f>
        <v>-</v>
      </c>
      <c r="G28" s="110" t="str">
        <f t="shared" si="1"/>
        <v>-</v>
      </c>
    </row>
  </sheetData>
  <sheetProtection algorithmName="SHA-512" hashValue="8K5RCn+Wf+wQN9QjFQeePQJeJqD76FhSs+qeggar1S3uCz/zxMmOvIWOev0cjS+0S6Kbp1P/l2l0pJYaUr925g==" saltValue="BzSK4ZNKmddPVN+/mR+ZQA==" spinCount="100000" sheet="1" objects="1" scenarios="1"/>
  <protectedRanges>
    <protectedRange sqref="E5:H25" name="Range1"/>
  </protectedRanges>
  <mergeCells count="1">
    <mergeCell ref="B2:H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BDE0F-AFB9-44FD-A837-0E0B3F857718}">
  <sheetPr>
    <tabColor theme="4" tint="-0.249977111117893"/>
  </sheetPr>
  <dimension ref="A1:I13"/>
  <sheetViews>
    <sheetView showGridLines="0" workbookViewId="0">
      <pane ySplit="3" topLeftCell="A4" activePane="bottomLeft" state="frozen"/>
      <selection pane="bottomLeft" activeCell="A4" sqref="A4"/>
    </sheetView>
  </sheetViews>
  <sheetFormatPr defaultColWidth="0" defaultRowHeight="15.75" customHeight="1"/>
  <cols>
    <col min="1" max="1" width="2" style="38" customWidth="1"/>
    <col min="2" max="2" width="19.7109375" style="66" customWidth="1"/>
    <col min="3" max="3" width="54.7109375" style="38" customWidth="1"/>
    <col min="4" max="4" width="48.28515625" style="38" customWidth="1"/>
    <col min="5" max="7" width="6" style="38" customWidth="1"/>
    <col min="8" max="8" width="58.42578125" style="38" customWidth="1"/>
    <col min="9" max="11" width="12.5703125" style="38" customWidth="1"/>
    <col min="12" max="16384" width="0" style="38" hidden="1"/>
  </cols>
  <sheetData>
    <row r="1" spans="1:9" ht="9.75" customHeight="1">
      <c r="B1" s="65"/>
      <c r="C1" s="51"/>
      <c r="D1" s="51"/>
      <c r="E1" s="51"/>
      <c r="F1" s="51"/>
      <c r="G1" s="51"/>
      <c r="H1" s="51"/>
    </row>
    <row r="2" spans="1:9" ht="24.75" customHeight="1">
      <c r="A2" s="51"/>
      <c r="B2" s="241" t="s">
        <v>499</v>
      </c>
      <c r="C2" s="241"/>
      <c r="D2" s="241"/>
      <c r="E2" s="241"/>
      <c r="F2" s="241"/>
      <c r="G2" s="241"/>
      <c r="H2" s="241"/>
      <c r="I2" s="51"/>
    </row>
    <row r="3" spans="1:9" ht="51.75" customHeight="1">
      <c r="A3" s="51"/>
      <c r="B3" s="96" t="s">
        <v>103</v>
      </c>
      <c r="C3" s="96" t="s">
        <v>104</v>
      </c>
      <c r="D3" s="96" t="s">
        <v>105</v>
      </c>
      <c r="E3" s="96" t="s">
        <v>106</v>
      </c>
      <c r="F3" s="97" t="s">
        <v>107</v>
      </c>
      <c r="G3" s="97" t="s">
        <v>108</v>
      </c>
      <c r="H3" s="98" t="s">
        <v>109</v>
      </c>
      <c r="I3" s="51"/>
    </row>
    <row r="4" spans="1:9" s="69" customFormat="1" ht="20.25" customHeight="1">
      <c r="A4" s="67"/>
      <c r="B4" s="105" t="s">
        <v>357</v>
      </c>
      <c r="C4" s="106"/>
      <c r="D4" s="106"/>
      <c r="E4" s="109"/>
      <c r="F4" s="109"/>
      <c r="G4" s="109"/>
      <c r="H4" s="107"/>
      <c r="I4" s="67"/>
    </row>
    <row r="5" spans="1:9" s="69" customFormat="1" ht="134.25" customHeight="1">
      <c r="A5" s="67"/>
      <c r="B5" s="64">
        <v>1</v>
      </c>
      <c r="C5" s="42" t="s">
        <v>500</v>
      </c>
      <c r="D5" s="42" t="s">
        <v>501</v>
      </c>
      <c r="E5" s="70"/>
      <c r="F5" s="64"/>
      <c r="G5" s="64"/>
      <c r="H5" s="54"/>
      <c r="I5" s="67"/>
    </row>
    <row r="6" spans="1:9" s="69" customFormat="1" ht="66" customHeight="1">
      <c r="A6" s="67"/>
      <c r="B6" s="64">
        <v>2</v>
      </c>
      <c r="C6" s="42" t="s">
        <v>502</v>
      </c>
      <c r="D6" s="42" t="s">
        <v>503</v>
      </c>
      <c r="E6" s="70"/>
      <c r="F6" s="64"/>
      <c r="G6" s="64"/>
      <c r="H6" s="53"/>
      <c r="I6" s="67"/>
    </row>
    <row r="7" spans="1:9" s="69" customFormat="1" ht="94.5" customHeight="1">
      <c r="A7" s="67"/>
      <c r="B7" s="64">
        <v>3</v>
      </c>
      <c r="C7" s="42" t="s">
        <v>504</v>
      </c>
      <c r="D7" s="42" t="s">
        <v>505</v>
      </c>
      <c r="E7" s="70"/>
      <c r="F7" s="64"/>
      <c r="G7" s="64"/>
      <c r="H7" s="52"/>
      <c r="I7" s="67"/>
    </row>
    <row r="8" spans="1:9" s="69" customFormat="1" ht="140.25" customHeight="1">
      <c r="A8" s="67"/>
      <c r="B8" s="64">
        <v>4</v>
      </c>
      <c r="C8" s="42" t="s">
        <v>506</v>
      </c>
      <c r="D8" s="42" t="s">
        <v>507</v>
      </c>
      <c r="E8" s="70"/>
      <c r="F8" s="64"/>
      <c r="G8" s="64"/>
      <c r="H8" s="52"/>
      <c r="I8" s="67"/>
    </row>
    <row r="9" spans="1:9" s="69" customFormat="1" ht="57" customHeight="1">
      <c r="A9" s="67"/>
      <c r="B9" s="64">
        <v>5</v>
      </c>
      <c r="C9" s="42" t="s">
        <v>508</v>
      </c>
      <c r="D9" s="42" t="s">
        <v>509</v>
      </c>
      <c r="E9" s="70"/>
      <c r="F9" s="64"/>
      <c r="G9" s="64"/>
      <c r="H9" s="52"/>
      <c r="I9" s="67"/>
    </row>
    <row r="10" spans="1:9" s="69" customFormat="1" ht="72" customHeight="1">
      <c r="A10" s="67"/>
      <c r="B10" s="64">
        <v>6</v>
      </c>
      <c r="C10" s="42" t="s">
        <v>510</v>
      </c>
      <c r="D10" s="42" t="s">
        <v>511</v>
      </c>
      <c r="E10" s="70"/>
      <c r="F10" s="64"/>
      <c r="G10" s="64"/>
      <c r="H10" s="52"/>
      <c r="I10" s="67"/>
    </row>
    <row r="11" spans="1:9" ht="15.75" customHeight="1">
      <c r="D11" s="67"/>
      <c r="E11" s="77"/>
      <c r="F11" s="77"/>
      <c r="G11" s="77"/>
      <c r="H11" s="67"/>
    </row>
    <row r="12" spans="1:9" ht="15.75" customHeight="1">
      <c r="D12" s="108" t="s">
        <v>152</v>
      </c>
      <c r="E12" s="71">
        <f>COUNTA(E4:E10)</f>
        <v>0</v>
      </c>
      <c r="F12" s="71">
        <f t="shared" ref="F12:G12" si="0">COUNTA(F4:F10)</f>
        <v>0</v>
      </c>
      <c r="G12" s="71">
        <f t="shared" si="0"/>
        <v>0</v>
      </c>
      <c r="H12" s="111">
        <f>SUM(E12:G12)</f>
        <v>0</v>
      </c>
    </row>
    <row r="13" spans="1:9" ht="15.75" customHeight="1">
      <c r="D13" s="108" t="s">
        <v>152</v>
      </c>
      <c r="E13" s="110" t="str">
        <f>IFERROR(E12/$H$12,"-")</f>
        <v>-</v>
      </c>
      <c r="F13" s="110" t="str">
        <f t="shared" ref="F13:G13" si="1">IFERROR(F12/$H$12,"-")</f>
        <v>-</v>
      </c>
      <c r="G13" s="110" t="str">
        <f t="shared" si="1"/>
        <v>-</v>
      </c>
      <c r="H13" s="69"/>
    </row>
  </sheetData>
  <sheetProtection algorithmName="SHA-512" hashValue="eA6a+OgM2voi3X5qKlFDTKRc81YkJvI6XGJVflgpIx7QV1SYaIoZW7M+A1wIeo4Ax45MztWcLWpCMPpH+Mo/Iw==" saltValue="oQSm22KsSQpaFiurqWRVXA==" spinCount="100000" sheet="1" objects="1" scenarios="1"/>
  <protectedRanges>
    <protectedRange sqref="E5:H10" name="Range1"/>
  </protectedRanges>
  <mergeCells count="1">
    <mergeCell ref="B2:H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7b56bdc-396d-4620-999e-f0bc34c60f92" xsi:nil="true"/>
    <lcf76f155ced4ddcb4097134ff3c332f xmlns="786710cf-db93-43eb-8436-a18dae16cd0e">
      <Terms xmlns="http://schemas.microsoft.com/office/infopath/2007/PartnerControls"/>
    </lcf76f155ced4ddcb4097134ff3c332f>
    <SharedWithUsers xmlns="c7b56bdc-396d-4620-999e-f0bc34c60f9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2497F9E1AC8A4EAC92ECBC176BFE35" ma:contentTypeVersion="25" ma:contentTypeDescription="Crie um novo documento." ma:contentTypeScope="" ma:versionID="dc3a5892340f7102f13650408676b3ab">
  <xsd:schema xmlns:xsd="http://www.w3.org/2001/XMLSchema" xmlns:xs="http://www.w3.org/2001/XMLSchema" xmlns:p="http://schemas.microsoft.com/office/2006/metadata/properties" xmlns:ns2="786710cf-db93-43eb-8436-a18dae16cd0e" xmlns:ns3="c7b56bdc-396d-4620-999e-f0bc34c60f92" targetNamespace="http://schemas.microsoft.com/office/2006/metadata/properties" ma:root="true" ma:fieldsID="de20ef5acb1e36ffad12d1c3897177ce" ns2:_="" ns3:_="">
    <xsd:import namespace="786710cf-db93-43eb-8436-a18dae16cd0e"/>
    <xsd:import namespace="c7b56bdc-396d-4620-999e-f0bc34c60f92"/>
    <xsd:element name="properties">
      <xsd:complexType>
        <xsd:sequence>
          <xsd:element name="documentManagement">
            <xsd:complexType>
              <xsd:all>
                <xsd:element ref="ns2:MediaServiceObjectDetectorVersions" minOccurs="0"/>
                <xsd:element ref="ns3:SharedWithUsers" minOccurs="0"/>
                <xsd:element ref="ns3:SharedWithDetails"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element ref="ns2:MediaLengthInSeconds" minOccurs="0"/>
                <xsd:element ref="ns2:MediaServiceBillingMetadata" minOccurs="0"/>
                <xsd:element ref="ns2:MediaService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6710cf-db93-43eb-8436-a18dae16cd0e" elementFormDefault="qualified">
    <xsd:import namespace="http://schemas.microsoft.com/office/2006/documentManagement/types"/>
    <xsd:import namespace="http://schemas.microsoft.com/office/infopath/2007/PartnerControls"/>
    <xsd:element name="MediaServiceObjectDetectorVersions" ma:index="3" nillable="true" ma:displayName="MediaServiceObjectDetectorVersions" ma:hidden="true" ma:indexed="true" ma:internalName="MediaServiceObjectDetectorVersions" ma:readOnly="true">
      <xsd:simpleType>
        <xsd:restriction base="dms:Text"/>
      </xsd:simpleType>
    </xsd:element>
    <xsd:element name="MediaServiceFastMetadata" ma:index="6" nillable="true" ma:displayName="MediaServiceFastMetadata" ma:hidden="true" ma:internalName="MediaServiceFastMetadata" ma:readOnly="true">
      <xsd:simpleType>
        <xsd:restriction base="dms:Note"/>
      </xsd:simpleType>
    </xsd:element>
    <xsd:element name="lcf76f155ced4ddcb4097134ff3c332f" ma:index="7" nillable="true" ma:taxonomy="true" ma:internalName="lcf76f155ced4ddcb4097134ff3c332f" ma:taxonomyFieldName="MediaServiceImageTags" ma:displayName="Marcações de imagem" ma:readOnly="false" ma:fieldId="{5cf76f15-5ced-4ddc-b409-7134ff3c332f}" ma:taxonomyMulti="true" ma:sspId="029e37f2-6469-464b-a75a-0b705c5d6e29" ma:termSetId="09814cd3-568e-fe90-9814-8d621ff8fb84" ma:anchorId="fba54fb3-c3e1-fe81-a776-ca4b69148c4d" ma:open="true" ma:isKeyword="false">
      <xsd:complexType>
        <xsd:sequence>
          <xsd:element ref="pc:Terms" minOccurs="0" maxOccurs="1"/>
        </xsd:sequence>
      </xsd:complexType>
    </xsd:element>
    <xsd:element name="MediaServiceOCR" ma:index="9" nillable="true" ma:displayName="Extracted Text" ma:hidden="true" ma:internalName="MediaServiceOCR"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4" nillable="true" ma:displayName="Location" ma:hidden="true" ma:indexed="true" ma:internalName="MediaServiceLocatio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MediaServiceMetadata" ma:index="22" nillable="true" ma:displayName="MediaServiceMetadata" ma:hidden="true" ma:internalName="MediaService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56bdc-396d-4620-999e-f0bc34c60f92" elementFormDefault="qualified">
    <xsd:import namespace="http://schemas.microsoft.com/office/2006/documentManagement/types"/>
    <xsd:import namespace="http://schemas.microsoft.com/office/infopath/2007/PartnerControls"/>
    <xsd:element name="SharedWithUsers" ma:index="4" nillable="true" ma:displayName="Compartilhado com"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5" nillable="true" ma:displayName="Detalhes de Compartilhado Com" ma:hidden="true" ma:internalName="SharedWithDetails" ma:readOnly="true">
      <xsd:simpleType>
        <xsd:restriction base="dms:Note"/>
      </xsd:simpleType>
    </xsd:element>
    <xsd:element name="TaxCatchAll" ma:index="8" nillable="true" ma:displayName="Taxonomy Catch All Column" ma:hidden="true" ma:list="{fb1d0b8f-f0b0-4617-9fb7-1ac6a4b17de9}" ma:internalName="TaxCatchAll" ma:readOnly="false" ma:showField="CatchAllData" ma:web="c7b56bdc-396d-4620-999e-f0bc34c60f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ipo de Conteú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11078A-A973-41E5-91BB-96AA6E7FE1A9}"/>
</file>

<file path=customXml/itemProps2.xml><?xml version="1.0" encoding="utf-8"?>
<ds:datastoreItem xmlns:ds="http://schemas.openxmlformats.org/officeDocument/2006/customXml" ds:itemID="{D82D257A-B9D4-44CD-B329-A96F1C1A06A1}"/>
</file>

<file path=customXml/itemProps3.xml><?xml version="1.0" encoding="utf-8"?>
<ds:datastoreItem xmlns:ds="http://schemas.openxmlformats.org/officeDocument/2006/customXml" ds:itemID="{F00F8061-426A-4506-8BDA-246E760BF6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2023-08-29T17:04:32Z</dcterms:created>
  <dcterms:modified xsi:type="dcterms:W3CDTF">2026-02-10T17:21:53Z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0x0101004E2497F9E1AC8A4EAC92ECBC176BFE35</vt:lpwstr>
  </property>
  <property fmtid="{D5CDD505-2E9C-101B-9397-08002B2CF9AE}" pid="3" name="MediaServiceImageTags">
    <vt:lpwstr/>
  </property>
  <property fmtid="{D5CDD505-2E9C-101B-9397-08002B2CF9AE}" pid="4" name="MSIP_Label_2e9a4386-74b9-4603-ae20-950a659f9b6e_Enabled">
    <vt:lpwstr>true</vt:lpwstr>
  </property>
  <property fmtid="{D5CDD505-2E9C-101B-9397-08002B2CF9AE}" pid="5" name="MSIP_Label_2e9a4386-74b9-4603-ae20-950a659f9b6e_SetDate">
    <vt:lpwstr>2023-08-29T17:05:09Z</vt:lpwstr>
  </property>
  <property fmtid="{D5CDD505-2E9C-101B-9397-08002B2CF9AE}" pid="6" name="MSIP_Label_2e9a4386-74b9-4603-ae20-950a659f9b6e_Method">
    <vt:lpwstr>Standard</vt:lpwstr>
  </property>
  <property fmtid="{D5CDD505-2E9C-101B-9397-08002B2CF9AE}" pid="7" name="MSIP_Label_2e9a4386-74b9-4603-ae20-950a659f9b6e_Name">
    <vt:lpwstr>Internal Use Only</vt:lpwstr>
  </property>
  <property fmtid="{D5CDD505-2E9C-101B-9397-08002B2CF9AE}" pid="8" name="MSIP_Label_2e9a4386-74b9-4603-ae20-950a659f9b6e_SiteId">
    <vt:lpwstr>c7d1a8f7-0546-4a0c-8cf5-3ddaebf97d51</vt:lpwstr>
  </property>
  <property fmtid="{D5CDD505-2E9C-101B-9397-08002B2CF9AE}" pid="9" name="MSIP_Label_2e9a4386-74b9-4603-ae20-950a659f9b6e_ActionId">
    <vt:lpwstr>1577e8f5-c1a1-4999-ad82-3634e6888d47</vt:lpwstr>
  </property>
  <property fmtid="{D5CDD505-2E9C-101B-9397-08002B2CF9AE}" pid="10" name="MSIP_Label_2e9a4386-74b9-4603-ae20-950a659f9b6e_ContentBits">
    <vt:lpwstr>0</vt:lpwstr>
  </property>
  <property fmtid="{D5CDD505-2E9C-101B-9397-08002B2CF9AE}" pid="11" name="Order">
    <vt:r8>101300</vt:r8>
  </property>
  <property fmtid="{D5CDD505-2E9C-101B-9397-08002B2CF9AE}" pid="12" name="xd_Signature">
    <vt:bool>false</vt:bool>
  </property>
  <property fmtid="{D5CDD505-2E9C-101B-9397-08002B2CF9AE}" pid="13" name="xd_ProgID">
    <vt:lpwstr/>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emplateUrl">
    <vt:lpwstr/>
  </property>
  <property fmtid="{D5CDD505-2E9C-101B-9397-08002B2CF9AE}" pid="18" name="_ExtendedDescription">
    <vt:lpwstr/>
  </property>
  <property fmtid="{D5CDD505-2E9C-101B-9397-08002B2CF9AE}" pid="19" name="TriggerFlowInfo">
    <vt:lpwstr/>
  </property>
</Properties>
</file>