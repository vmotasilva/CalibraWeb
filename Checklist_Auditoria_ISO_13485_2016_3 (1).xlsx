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eck-List" sheetId="1" state="visible" r:id="rId1"/>
    <sheet name="Evidências" sheetId="2" state="visible" r:id="rId2"/>
    <sheet name="Resultados" sheetId="3" state="visible" r:id="rId3"/>
    <sheet name="atenção" sheetId="4" state="hidden" r:id="rId4"/>
  </sheets>
  <definedNames>
    <definedName name="bd">#REF!</definedName>
    <definedName name="_xlnm.Print_Area" localSheetId="1">'Evidências'!$A$1:$F$19</definedName>
    <definedName name="_xlnm.Print_Area" localSheetId="2">'Resultados'!$A$1:$P$49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\.m"/>
    <numFmt numFmtId="165" formatCode="0.0"/>
  </numFmts>
  <fonts count="40">
    <font>
      <name val="Arial"/>
      <color rgb="FF000000"/>
      <sz val="10"/>
      <scheme val="minor"/>
    </font>
    <font>
      <name val="Verdana"/>
      <color theme="1"/>
      <sz val="10"/>
    </font>
    <font>
      <name val="Verdana"/>
      <color rgb="FF000000"/>
      <sz val="10"/>
    </font>
    <font>
      <name val="Verdana"/>
      <color rgb="FFFF0000"/>
      <sz val="10"/>
    </font>
    <font>
      <name val="Verdana"/>
      <color theme="0"/>
      <sz val="10"/>
    </font>
    <font>
      <name val="Verdana"/>
      <b val="1"/>
      <color theme="1"/>
      <sz val="12"/>
    </font>
    <font>
      <name val="Verdana"/>
      <b val="1"/>
      <color theme="1"/>
      <sz val="14"/>
    </font>
    <font>
      <name val="Arial"/>
      <sz val="10"/>
    </font>
    <font>
      <name val="Verdana"/>
      <b val="1"/>
      <color theme="1"/>
      <sz val="10"/>
    </font>
    <font>
      <name val="Verdana"/>
      <color theme="1"/>
      <sz val="10"/>
    </font>
    <font>
      <name val="Verdana"/>
      <color rgb="FF1155CC"/>
      <sz val="10"/>
      <u val="single"/>
    </font>
    <font>
      <name val="Verdana"/>
      <color rgb="FF000000"/>
      <sz val="8"/>
    </font>
    <font>
      <name val="Verdana"/>
      <b val="1"/>
      <color theme="5"/>
      <sz val="8"/>
    </font>
    <font>
      <name val="Verdana"/>
      <color theme="0"/>
      <sz val="8"/>
    </font>
    <font>
      <name val="Verdana"/>
      <color theme="1"/>
      <sz val="11"/>
    </font>
    <font>
      <name val="Verdana"/>
      <color rgb="FF000000"/>
      <sz val="10"/>
    </font>
    <font>
      <name val="Verdana"/>
      <b val="1"/>
      <color rgb="FF000000"/>
      <sz val="10"/>
    </font>
    <font>
      <name val="Verdana"/>
      <color rgb="FF000000"/>
      <sz val="10"/>
      <u val="single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theme="1"/>
      <sz val="8"/>
    </font>
    <font>
      <name val="Arial"/>
      <b val="1"/>
      <color theme="1"/>
      <sz val="10"/>
    </font>
    <font>
      <name val="Arial"/>
      <b val="1"/>
      <color theme="1"/>
      <sz val="8"/>
    </font>
    <font>
      <name val="Arial"/>
      <color theme="1"/>
      <sz val="18"/>
    </font>
    <font>
      <name val="Arial"/>
      <b val="1"/>
      <color rgb="FFFFFFFF"/>
      <sz val="12"/>
    </font>
    <font>
      <name val="Arial"/>
      <color rgb="FFFF0000"/>
      <sz val="10"/>
    </font>
    <font>
      <name val="Verdana"/>
      <b val="1"/>
      <color rgb="FFFF0000"/>
      <sz val="10"/>
    </font>
    <font>
      <name val="Verdana"/>
      <b val="1"/>
      <color rgb="FF000000"/>
      <sz val="11"/>
    </font>
    <font>
      <name val="Verdana"/>
      <color theme="1"/>
      <sz val="10"/>
      <u val="single"/>
    </font>
    <font>
      <name val="Verdana"/>
      <color theme="1"/>
      <sz val="10"/>
      <u val="single"/>
    </font>
    <font>
      <name val="Verdana"/>
      <color rgb="FF1155CC"/>
      <sz val="10"/>
      <u val="single"/>
    </font>
    <font>
      <name val="Arial"/>
      <color theme="1"/>
      <sz val="10"/>
    </font>
    <font>
      <name val="Arial"/>
      <b val="1"/>
      <color theme="1"/>
      <sz val="10"/>
      <scheme val="minor"/>
    </font>
    <font>
      <name val="Verdana"/>
      <color theme="1"/>
      <sz val="8"/>
    </font>
    <font>
      <name val="Verdana"/>
      <b val="1"/>
      <color rgb="FF000000"/>
      <sz val="8"/>
    </font>
    <font>
      <name val="Verdana"/>
      <i val="1"/>
      <color theme="1"/>
      <sz val="10"/>
    </font>
    <font>
      <name val="Arial"/>
      <b val="1"/>
      <color rgb="FF000000"/>
      <sz val="8"/>
    </font>
    <font>
      <name val="Segoe UI"/>
      <b val="1"/>
      <color rgb="00000000"/>
      <sz val="10"/>
    </font>
    <font>
      <name val="Segoe UI"/>
      <sz val="9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00D9D9D9"/>
        <bgColor rgb="00D9D9D9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3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left" vertical="center" wrapText="1"/>
    </xf>
    <xf numFmtId="10" fontId="13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3" borderId="7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3" borderId="7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3" fillId="3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16" fillId="0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 shrinkToFit="1"/>
    </xf>
    <xf numFmtId="1" fontId="2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5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21" fillId="5" borderId="7" applyAlignment="1" pivotButton="0" quotePrefix="0" xfId="0">
      <alignment horizontal="center" vertical="center" wrapText="1"/>
    </xf>
    <xf numFmtId="9" fontId="21" fillId="5" borderId="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2" fillId="3" borderId="7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wrapText="1"/>
    </xf>
    <xf numFmtId="0" fontId="19" fillId="0" borderId="0" applyAlignment="1" pivotButton="0" quotePrefix="0" xfId="0">
      <alignment wrapText="1"/>
    </xf>
    <xf numFmtId="0" fontId="23" fillId="3" borderId="7" applyAlignment="1" pivotButton="0" quotePrefix="0" xfId="0">
      <alignment horizontal="left" vertical="center" wrapText="1"/>
    </xf>
    <xf numFmtId="3" fontId="19" fillId="0" borderId="7" applyAlignment="1" pivotButton="0" quotePrefix="0" xfId="0">
      <alignment horizontal="center" wrapText="1"/>
    </xf>
    <xf numFmtId="9" fontId="19" fillId="0" borderId="7" applyAlignment="1" pivotButton="0" quotePrefix="0" xfId="0">
      <alignment horizontal="center" wrapText="1"/>
    </xf>
    <xf numFmtId="0" fontId="23" fillId="0" borderId="0" applyAlignment="1" pivotButton="0" quotePrefix="0" xfId="0">
      <alignment horizontal="left" vertical="center" wrapText="1"/>
    </xf>
    <xf numFmtId="1" fontId="19" fillId="0" borderId="0" applyAlignment="1" pivotButton="0" quotePrefix="0" xfId="0">
      <alignment horizontal="center" wrapText="1"/>
    </xf>
    <xf numFmtId="165" fontId="19" fillId="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3" fontId="19" fillId="6" borderId="7" applyAlignment="1" pivotButton="0" quotePrefix="0" xfId="0">
      <alignment horizontal="center" wrapText="1"/>
    </xf>
    <xf numFmtId="3" fontId="19" fillId="7" borderId="7" applyAlignment="1" pivotButton="0" quotePrefix="0" xfId="0">
      <alignment horizontal="center" wrapText="1"/>
    </xf>
    <xf numFmtId="3" fontId="19" fillId="8" borderId="7" applyAlignment="1" pivotButton="0" quotePrefix="0" xfId="0">
      <alignment horizontal="center" wrapText="1"/>
    </xf>
    <xf numFmtId="3" fontId="19" fillId="9" borderId="7" applyAlignment="1" pivotButton="0" quotePrefix="0" xfId="0">
      <alignment horizontal="center" wrapText="1"/>
    </xf>
    <xf numFmtId="0" fontId="19" fillId="0" borderId="0" applyAlignment="1" pivotButton="0" quotePrefix="0" xfId="0">
      <alignment vertical="center"/>
    </xf>
    <xf numFmtId="3" fontId="19" fillId="0" borderId="7" applyAlignment="1" pivotButton="0" quotePrefix="0" xfId="0">
      <alignment horizontal="center" vertical="center" wrapText="1"/>
    </xf>
    <xf numFmtId="3" fontId="19" fillId="6" borderId="7" applyAlignment="1" pivotButton="0" quotePrefix="0" xfId="0">
      <alignment horizontal="center" vertical="center" wrapText="1"/>
    </xf>
    <xf numFmtId="3" fontId="19" fillId="7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16" fillId="3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29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31" fillId="0" borderId="7" applyAlignment="1" pivotButton="0" quotePrefix="0" xfId="0">
      <alignment horizontal="left" vertical="center" wrapText="1"/>
    </xf>
    <xf numFmtId="0" fontId="32" fillId="0" borderId="15" applyAlignment="1" pivotButton="0" quotePrefix="0" xfId="0">
      <alignment vertical="center"/>
    </xf>
    <xf numFmtId="0" fontId="1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32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1" fillId="3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 wrapText="1"/>
    </xf>
    <xf numFmtId="0" fontId="32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33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7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6" pivotButton="0" quotePrefix="0" xfId="0"/>
    <xf numFmtId="49" fontId="2" fillId="2" borderId="8" applyAlignment="1" pivotButton="0" quotePrefix="0" xfId="0">
      <alignment horizontal="left" vertical="center" wrapText="1"/>
    </xf>
    <xf numFmtId="0" fontId="7" fillId="0" borderId="9" pivotButton="0" quotePrefix="0" xfId="0"/>
    <xf numFmtId="49" fontId="10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10" applyAlignment="1" pivotButton="0" quotePrefix="0" xfId="0">
      <alignment horizontal="left" vertical="center"/>
    </xf>
    <xf numFmtId="0" fontId="7" fillId="0" borderId="10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20" fillId="4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4" borderId="0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7" fillId="0" borderId="16" pivotButton="0" quotePrefix="0" xfId="0"/>
    <xf numFmtId="0" fontId="1" fillId="0" borderId="2" applyAlignment="1" pivotButton="0" quotePrefix="0" xfId="0">
      <alignment vertical="center" wrapText="1"/>
    </xf>
    <xf numFmtId="0" fontId="28" fillId="3" borderId="12" applyAlignment="1" pivotButton="0" quotePrefix="0" xfId="0">
      <alignment horizontal="center" vertical="center" wrapText="1"/>
    </xf>
    <xf numFmtId="0" fontId="7" fillId="0" borderId="13" pivotButton="0" quotePrefix="0" xfId="0"/>
    <xf numFmtId="0" fontId="7" fillId="0" borderId="14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3" borderId="1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49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38" fillId="10" borderId="7" applyAlignment="1" pivotButton="0" quotePrefix="0" xfId="0">
      <alignment horizontal="center" vertical="center"/>
    </xf>
    <xf numFmtId="0" fontId="38" fillId="10" borderId="2" pivotButton="0" quotePrefix="0" xfId="0"/>
    <xf numFmtId="0" fontId="38" fillId="10" borderId="3" pivotButton="0" quotePrefix="0" xfId="0"/>
    <xf numFmtId="0" fontId="16" fillId="0" borderId="7" applyAlignment="1" pivotButton="0" quotePrefix="0" xfId="0">
      <alignment vertical="center" wrapText="1"/>
    </xf>
    <xf numFmtId="1" fontId="38" fillId="0" borderId="18" applyAlignment="1" pivotButton="0" quotePrefix="0" xfId="0">
      <alignment horizontal="center" vertical="center"/>
    </xf>
    <xf numFmtId="9" fontId="3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39" fillId="0" borderId="18" applyAlignment="1" pivotButton="0" quotePrefix="0" xfId="0">
      <alignment horizontal="left" vertical="top" wrapText="1"/>
    </xf>
    <xf numFmtId="0" fontId="4" fillId="0" borderId="18" applyAlignment="1" pivotButton="0" quotePrefix="0" xfId="0">
      <alignment wrapText="1"/>
    </xf>
    <xf numFmtId="0" fontId="26" fillId="0" borderId="7" applyAlignment="1" pivotButton="0" quotePrefix="0" xfId="0">
      <alignment vertical="center" wrapText="1"/>
    </xf>
    <xf numFmtId="0" fontId="19" fillId="0" borderId="7" applyAlignment="1" pivotButton="0" quotePrefix="0" xfId="0">
      <alignment vertical="center" wrapText="1"/>
    </xf>
    <xf numFmtId="0" fontId="3" fillId="0" borderId="7" applyAlignment="1" pivotButton="0" quotePrefix="0" xfId="0">
      <alignment horizontal="left" vertical="center" wrapText="1"/>
    </xf>
    <xf numFmtId="0" fontId="28" fillId="3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0" fillId="0" borderId="7" applyAlignment="1" pivotButton="0" quotePrefix="0" xfId="0">
      <alignment horizontal="left" vertical="center" wrapText="1"/>
    </xf>
    <xf numFmtId="0" fontId="0" fillId="0" borderId="16" pivotButton="0" quotePrefix="0" xfId="0"/>
    <xf numFmtId="0" fontId="38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 wrapText="1"/>
    </xf>
    <xf numFmtId="0" fontId="16" fillId="0" borderId="18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8451816745655608"/>
          <y val="0.09774459695374763"/>
          <w val="0.8836246752468874"/>
          <h val="0.7890692468873604"/>
        </manualLayout>
      </layout>
      <radarChart>
        <radarStyle val="marker"/>
        <varyColors val="1"/>
        <ser>
          <idx val="0"/>
          <order val="0"/>
          <tx>
            <strRef>
              <f>Resultados!$I$2:$I$3</f>
              <strCache>
                <ptCount val="2"/>
                <pt idx="0">
                  <v>ITENS DA ISO 13485 - 2016</v>
                </pt>
                <pt idx="1">
                  <v>Conforme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Resultados!$I$4:$I$8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Resultados!$J$2:$J$3</f>
              <strCache>
                <ptCount val="2"/>
                <pt idx="0">
                  <v>ITENS DA ISO 13485 - 2016</v>
                </pt>
                <pt idx="1">
                  <v>Não Conforme</v>
                </pt>
              </strCache>
            </strRef>
          </tx>
          <spPr>
            <a:ln cmpd="sng">
              <a:solidFill>
                <a:srgbClr val="EA43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Resultados!$J$4:$J$8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Resultados!$K$2:$K$3</f>
              <strCache>
                <ptCount val="2"/>
                <pt idx="0">
                  <v>ITENS DA ISO 13485 - 2016</v>
                </pt>
                <pt idx="1">
                  <v>Oportunidade de Melhoria</v>
                </pt>
              </strCache>
            </strRef>
          </tx>
          <spPr>
            <a:ln cmpd="sng">
              <a:solidFill>
                <a:srgbClr val="FBBC04"/>
              </a:solidFill>
              <a:prstDash val="solid"/>
            </a:ln>
          </spPr>
          <marker>
            <symbol val="circle"/>
            <size val="10"/>
            <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Resultados!$K$4:$K$8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30435688"/>
        <axId val="651622793"/>
      </radarChart>
      <catAx>
        <axId val="103043568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651622793"/>
        <crosses val="autoZero"/>
        <auto val="1"/>
        <lblAlgn val="ctr"/>
        <lblOffset val="100"/>
        <noMultiLvlLbl val="1"/>
      </catAx>
      <valAx>
        <axId val="65162279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1030435688"/>
        <crosses val="autoZero"/>
        <crossBetween val="between"/>
      </valAx>
    </plotArea>
    <legend>
      <legendPos val="b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pt-BR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381000</colOff>
      <row>13</row>
      <rowOff>57150</rowOff>
    </from>
    <ext cx="6696075" cy="4143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u/2/folders/1sfWNKRbX0vut3uYUaA1AGx5ozfhCHxM8" TargetMode="External" Id="rId1" /><Relationship Type="http://schemas.openxmlformats.org/officeDocument/2006/relationships/hyperlink" Target="https://docs.google.com/spreadsheets/d/13-t8DcNUfXAYLzoNum8xvjTCJoprYP4Zy8TV3HzyoKg/edit" TargetMode="External" Id="rId2" /><Relationship Type="http://schemas.openxmlformats.org/officeDocument/2006/relationships/hyperlink" Target="https://apps1.qualiex.com/Docs/Documents/Details/ADC2DLVPAE0D2JN" TargetMode="External" Id="rId3" /><Relationship Type="http://schemas.openxmlformats.org/officeDocument/2006/relationships/hyperlink" Target="https://drive.google.com/drive/u/2/folders/1OD08q5FfBaChxQSvgQ6eYJr1EW-ADfX3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94"/>
  <sheetViews>
    <sheetView showGridLines="0" tabSelected="1" view="pageBreakPreview" topLeftCell="A2" zoomScale="70" zoomScaleNormal="100" zoomScaleSheetLayoutView="70" workbookViewId="0">
      <selection activeCell="C9" sqref="C9:J9"/>
    </sheetView>
  </sheetViews>
  <sheetFormatPr baseColWidth="8" defaultColWidth="12.5546875" defaultRowHeight="15" customHeight="1"/>
  <cols>
    <col width="1.109375" customWidth="1" style="104" min="1" max="1"/>
    <col width="24" customWidth="1" style="104" min="2" max="2"/>
    <col width="59.33203125" customWidth="1" style="104" min="3" max="3"/>
    <col width="7.109375" customWidth="1" style="104" min="4" max="7"/>
    <col width="42.109375" customWidth="1" style="104" min="8" max="8"/>
    <col width="4.88671875" customWidth="1" style="104" min="9" max="9"/>
    <col width="42.109375" customWidth="1" style="104" min="10" max="10"/>
    <col width="4.5546875" customWidth="1" style="104" min="11" max="13"/>
  </cols>
  <sheetData>
    <row r="1" ht="4.5" customHeight="1" s="104">
      <c r="A1" s="1" t="n"/>
      <c r="B1" s="1" t="n"/>
      <c r="C1" s="1" t="n"/>
      <c r="D1" s="2" t="n"/>
      <c r="E1" s="3" t="n"/>
      <c r="F1" s="2" t="n"/>
      <c r="G1" s="2" t="n"/>
      <c r="H1" s="1" t="n"/>
      <c r="I1" s="4" t="n"/>
      <c r="J1" s="4" t="n"/>
      <c r="K1" s="5" t="n"/>
      <c r="L1" s="5" t="n"/>
      <c r="M1" s="5" t="n"/>
    </row>
    <row r="2" ht="51" customHeight="1" s="104">
      <c r="A2" s="1" t="n"/>
      <c r="B2" s="6" t="n"/>
      <c r="C2" s="126" t="inlineStr">
        <is>
          <t>Check List de Auditoria ISO 13485:2016</t>
        </is>
      </c>
      <c r="D2" s="127" t="n"/>
      <c r="E2" s="127" t="n"/>
      <c r="F2" s="127" t="n"/>
      <c r="G2" s="127" t="n"/>
      <c r="H2" s="127" t="n"/>
      <c r="I2" s="127" t="n"/>
      <c r="J2" s="128" t="n"/>
      <c r="K2" s="5" t="n"/>
      <c r="L2" s="5" t="n"/>
      <c r="M2" s="5" t="n"/>
    </row>
    <row r="3" ht="6" customHeight="1" s="104">
      <c r="A3" s="1" t="n"/>
      <c r="B3" s="1" t="n"/>
      <c r="C3" s="1" t="n"/>
      <c r="D3" s="2" t="n"/>
      <c r="E3" s="3" t="n"/>
      <c r="F3" s="2" t="n"/>
      <c r="G3" s="2" t="n"/>
      <c r="H3" s="1" t="n"/>
      <c r="I3" s="4" t="n"/>
      <c r="J3" s="4" t="n"/>
      <c r="K3" s="5" t="n"/>
      <c r="L3" s="5" t="n"/>
      <c r="M3" s="5" t="n"/>
    </row>
    <row r="4" ht="23.25" customHeight="1" s="104">
      <c r="A4" s="7" t="n"/>
      <c r="B4" s="129" t="inlineStr">
        <is>
          <t>INFORMAÇÕES GERAIS</t>
        </is>
      </c>
      <c r="C4" s="130" t="n"/>
      <c r="D4" s="130" t="n"/>
      <c r="E4" s="130" t="n"/>
      <c r="F4" s="130" t="n"/>
      <c r="G4" s="130" t="n"/>
      <c r="H4" s="130" t="n"/>
      <c r="I4" s="130" t="n"/>
      <c r="J4" s="131" t="n"/>
      <c r="K4" s="5" t="n"/>
      <c r="L4" s="5" t="n"/>
      <c r="M4" s="5" t="n"/>
    </row>
    <row r="5" ht="27" customHeight="1" s="104">
      <c r="A5" s="7" t="n"/>
      <c r="B5" s="8" t="inlineStr">
        <is>
          <t>Unidade</t>
        </is>
      </c>
      <c r="C5" s="100" t="inlineStr">
        <is>
          <t>Visolab</t>
        </is>
      </c>
      <c r="D5" s="130" t="n"/>
      <c r="E5" s="130" t="n"/>
      <c r="F5" s="130" t="n"/>
      <c r="G5" s="130" t="n"/>
      <c r="H5" s="130" t="n"/>
      <c r="I5" s="14" t="inlineStr">
        <is>
          <t>Tipo de Auditoria</t>
        </is>
      </c>
      <c r="J5" s="128" t="n"/>
      <c r="K5" s="5" t="n"/>
      <c r="L5" s="5" t="n"/>
      <c r="M5" s="5" t="n"/>
    </row>
    <row r="6" ht="27" customHeight="1" s="104">
      <c r="A6" s="7" t="n"/>
      <c r="B6" s="8" t="inlineStr">
        <is>
          <t>Nome do Auditor:</t>
        </is>
      </c>
      <c r="C6" s="132" t="inlineStr">
        <is>
          <t>Vinicius Mota</t>
        </is>
      </c>
      <c r="D6" s="127" t="n"/>
      <c r="E6" s="127" t="n"/>
      <c r="F6" s="127" t="n"/>
      <c r="G6" s="127" t="n"/>
      <c r="H6" s="128" t="n"/>
      <c r="I6" s="9" t="inlineStr">
        <is>
          <t>   </t>
        </is>
      </c>
      <c r="J6" s="10" t="inlineStr">
        <is>
          <t>Remota</t>
        </is>
      </c>
      <c r="K6" s="5" t="n"/>
      <c r="L6" s="5" t="n"/>
      <c r="M6" s="5" t="n"/>
    </row>
    <row r="7" ht="27" customHeight="1" s="104">
      <c r="A7" s="7" t="n"/>
      <c r="B7" s="8" t="inlineStr">
        <is>
          <t>Data de Auditoria:</t>
        </is>
      </c>
      <c r="C7" s="133" t="inlineStr">
        <is>
          <t>20/05/2026 a 22/07/2026</t>
        </is>
      </c>
      <c r="D7" s="127" t="n"/>
      <c r="E7" s="127" t="n"/>
      <c r="F7" s="127" t="n"/>
      <c r="G7" s="127" t="n"/>
      <c r="H7" s="128" t="n"/>
      <c r="I7" s="9" t="inlineStr">
        <is>
          <t>X</t>
        </is>
      </c>
      <c r="J7" s="10" t="inlineStr">
        <is>
          <t>Presencial</t>
        </is>
      </c>
      <c r="K7" s="5" t="n"/>
      <c r="L7" s="5" t="n"/>
      <c r="M7" s="5" t="n"/>
    </row>
    <row r="8" ht="57" customHeight="1" s="104">
      <c r="A8" s="7" t="n"/>
      <c r="B8" s="8" t="inlineStr">
        <is>
          <t>Escopo</t>
        </is>
      </c>
      <c r="C8" s="132" t="inlineStr">
        <is>
          <t>Laboratório de Montagem e Distribuição de Lentes Oftálmicas</t>
        </is>
      </c>
      <c r="D8" s="127" t="n"/>
      <c r="E8" s="127" t="n"/>
      <c r="F8" s="127" t="n"/>
      <c r="G8" s="127" t="n"/>
      <c r="H8" s="127" t="n"/>
      <c r="I8" s="127" t="n"/>
      <c r="J8" s="128" t="n"/>
      <c r="K8" s="5" t="n"/>
      <c r="L8" s="5" t="n"/>
      <c r="M8" s="5" t="n"/>
    </row>
    <row r="9" ht="33.75" customHeight="1" s="104">
      <c r="A9" s="7" t="n"/>
      <c r="B9" s="8" t="inlineStr">
        <is>
          <t>Plano de Ação 
(caso tenha alguma NC ou OM)</t>
        </is>
      </c>
      <c r="C9" s="134" t="n"/>
      <c r="D9" s="127" t="n"/>
      <c r="E9" s="127" t="n"/>
      <c r="F9" s="127" t="n"/>
      <c r="G9" s="127" t="n"/>
      <c r="H9" s="127" t="n"/>
      <c r="I9" s="127" t="n"/>
      <c r="J9" s="128" t="n"/>
      <c r="K9" s="5" t="n"/>
      <c r="L9" s="5" t="n"/>
      <c r="M9" s="5" t="n"/>
    </row>
    <row r="10" ht="11.25" customHeight="1" s="104">
      <c r="A10" s="11" t="n"/>
      <c r="B10" s="103" t="inlineStr">
        <is>
          <t>*Legenda</t>
        </is>
      </c>
      <c r="K10" s="12" t="n"/>
      <c r="L10" s="12" t="n"/>
      <c r="M10" s="12" t="n"/>
    </row>
    <row r="11" ht="11.25" customHeight="1" s="104">
      <c r="A11" s="11" t="n"/>
      <c r="B11" s="105" t="inlineStr">
        <is>
          <t>C: Conforme          NC: Não Conforme          NA: Não Aplicável          OM: Oportunidade de Melhoria</t>
        </is>
      </c>
      <c r="C11" s="135" t="n"/>
      <c r="D11" s="135" t="n"/>
      <c r="E11" s="135" t="n"/>
      <c r="F11" s="135" t="n"/>
      <c r="G11" s="135" t="n"/>
      <c r="H11" s="135" t="n"/>
      <c r="I11" s="135" t="n"/>
      <c r="J11" s="135" t="n"/>
      <c r="K11" s="12" t="n"/>
      <c r="L11" s="12" t="n"/>
      <c r="M11" s="12" t="n"/>
    </row>
    <row r="12" ht="27" customHeight="1" s="104">
      <c r="A12" s="7" t="n"/>
      <c r="B12" s="13" t="inlineStr">
        <is>
          <t>Item</t>
        </is>
      </c>
      <c r="C12" s="14" t="inlineStr">
        <is>
          <t>Questão</t>
        </is>
      </c>
      <c r="D12" s="14" t="inlineStr">
        <is>
          <t>C</t>
        </is>
      </c>
      <c r="E12" s="14" t="inlineStr">
        <is>
          <t>NC</t>
        </is>
      </c>
      <c r="F12" s="14" t="inlineStr">
        <is>
          <t>NA</t>
        </is>
      </c>
      <c r="G12" s="14" t="inlineStr">
        <is>
          <t>OM</t>
        </is>
      </c>
      <c r="H12" s="14" t="inlineStr">
        <is>
          <t>Evidência</t>
        </is>
      </c>
      <c r="I12" s="14" t="inlineStr">
        <is>
          <t>Observação</t>
        </is>
      </c>
      <c r="J12" s="128" t="n"/>
      <c r="K12" s="5" t="n"/>
      <c r="L12" s="5" t="n"/>
      <c r="M12" s="5" t="n"/>
    </row>
    <row r="13" ht="23.25" customHeight="1" s="104">
      <c r="A13" s="7" t="n"/>
      <c r="B13" s="136" t="inlineStr">
        <is>
          <t>SISTEMA DE GESTÃO DA QUALIDADE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5">
        <f>COUNTIF(D14:D24,"X")</f>
        <v/>
      </c>
      <c r="L13" s="15">
        <f>COUNTIF(E14:E24,"X")</f>
        <v/>
      </c>
      <c r="M13" s="15">
        <f>COUNTIF(G14:G24,"X")</f>
        <v/>
      </c>
    </row>
    <row r="14" ht="48" customHeight="1" s="104">
      <c r="A14" s="16" t="n"/>
      <c r="B14" s="17" t="inlineStr">
        <is>
          <t>4.1.1</t>
        </is>
      </c>
      <c r="C14" s="18" t="inlineStr">
        <is>
          <t>A organização documenta seu papel em relação aos requisitos regulatórios aplicáveis?</t>
        </is>
      </c>
      <c r="D14" s="154" t="inlineStr">
        <is>
          <t>X</t>
        </is>
      </c>
      <c r="E14" s="154" t="n"/>
      <c r="F14" s="154" t="n"/>
      <c r="G14" s="154" t="n"/>
      <c r="H14" s="144" t="inlineStr">
        <is>
          <t>• [Conforme] Manual de compras: DOC.085.R0  Manual de Compras - Visolab
• [Conforme] Procedimento para recebimento de lentes e bloco: POP.1122.R0: Manual Operacional - Recebimento de Lentes e Blocos - Visolab
• [Conforme] Gestão de Riscos: PSQ.028.R5: Gestão de Risco</t>
        </is>
      </c>
      <c r="I14" s="142" t="n"/>
      <c r="J14" s="128" t="n"/>
      <c r="K14" s="20">
        <f>(K13)/(K13+L13+M13)</f>
        <v/>
      </c>
      <c r="L14" s="20">
        <f>(L13)/(K13+L13+M13)</f>
        <v/>
      </c>
      <c r="M14" s="20">
        <f>(M13)/(K13+L13+M13)</f>
        <v/>
      </c>
    </row>
    <row r="15" ht="96" customHeight="1" s="104">
      <c r="A15" s="16" t="n"/>
      <c r="B15" s="17" t="inlineStr">
        <is>
          <t>4.1.2</t>
        </is>
      </c>
      <c r="C15" s="18" t="inlineStr">
        <is>
          <t>A organização possui uma estrutura de: 
- Hierárquica dos documentos;
- Controle dos riscos dos processos;
- Sequência e  intereção dos processos.</t>
        </is>
      </c>
      <c r="D15" s="154" t="inlineStr">
        <is>
          <t>X</t>
        </is>
      </c>
      <c r="E15" s="154" t="n"/>
      <c r="F15" s="154" t="n"/>
      <c r="G15" s="154" t="n"/>
      <c r="H15" s="144" t="inlineStr">
        <is>
          <t>• [Conforme] MAQ.002.R10 - Manual da Qualidade:
- Organograma
- Gestão de Risco
- Interação de Processos
- Tabela de Competência e Responsabilidade
• [Conforme] Matriz de Risco do SGQ e Processos: FOR.061: Matriz de Risco Geral</t>
        </is>
      </c>
      <c r="I15" s="142" t="n"/>
      <c r="J15" s="128" t="n"/>
      <c r="K15" s="22" t="n"/>
      <c r="L15" s="22" t="n"/>
      <c r="M15" s="22" t="n"/>
    </row>
    <row r="16" ht="20" customHeight="1" s="104">
      <c r="A16" s="16" t="n"/>
      <c r="B16" s="17" t="inlineStr">
        <is>
          <t>4.1.3</t>
        </is>
      </c>
      <c r="C16" s="18" t="inlineStr">
        <is>
          <t>A organização controla a documentação da qualidade? Assegura que a documentação de suporte necessária esteja disponível?</t>
        </is>
      </c>
      <c r="D16" s="154" t="inlineStr">
        <is>
          <t>X</t>
        </is>
      </c>
      <c r="E16" s="154" t="n"/>
      <c r="F16" s="154" t="n"/>
      <c r="G16" s="154" t="n"/>
      <c r="H16" s="144" t="inlineStr">
        <is>
          <t>• [Conforme] Matriz de Risco do SGQ e Processos: FOR.061: Matriz de Risco Geral</t>
        </is>
      </c>
      <c r="I16" s="142" t="n"/>
      <c r="J16" s="128" t="n"/>
      <c r="K16" s="22" t="n"/>
      <c r="L16" s="22" t="n"/>
      <c r="M16" s="22" t="n"/>
    </row>
    <row r="17" ht="20" customHeight="1" s="104">
      <c r="A17" s="16" t="n"/>
      <c r="B17" s="17" t="inlineStr">
        <is>
          <t>4.1.4</t>
        </is>
      </c>
      <c r="C17" s="18" t="inlineStr">
        <is>
          <t>As mudanças realizadas na documentação são avaliadas com relação ao seu impacto no SGQ e produtos?</t>
        </is>
      </c>
      <c r="D17" s="154" t="inlineStr">
        <is>
          <t>X</t>
        </is>
      </c>
      <c r="E17" s="154" t="n"/>
      <c r="F17" s="154" t="n"/>
      <c r="G17" s="154" t="n"/>
      <c r="H17" s="144" t="inlineStr">
        <is>
          <t>• [Conforme] PSQ.029.R3: Gestão de Mudança: FOR.071: Solicitação de Mudança - SM</t>
        </is>
      </c>
      <c r="I17" s="142" t="n"/>
      <c r="J17" s="128" t="n"/>
      <c r="K17" s="22" t="n"/>
      <c r="L17" s="22" t="n"/>
      <c r="M17" s="22" t="n"/>
    </row>
    <row r="18" ht="32" customHeight="1" s="104">
      <c r="A18" s="16" t="n"/>
      <c r="B18" s="17" t="inlineStr">
        <is>
          <t>4.1.5</t>
        </is>
      </c>
      <c r="C18" s="18" t="inlineStr">
        <is>
          <t>A organização terceiriza algum processo? Monitora e assegura os controles dos processos?</t>
        </is>
      </c>
      <c r="D18" s="154" t="inlineStr">
        <is>
          <t>X</t>
        </is>
      </c>
      <c r="E18" s="154" t="n"/>
      <c r="F18" s="154" t="n"/>
      <c r="G18" s="154" t="n"/>
      <c r="H18" s="144" t="inlineStr">
        <is>
          <t>• [Conforme] PSQ.018.R2: Realização de Produto: FOR.146: Lista de Fornecedores Qualificados
• [Conforme] PSQ.018.R2: Realização de Produto: FOR.147: Avaliação e Reavaliação de Fornecedores</t>
        </is>
      </c>
      <c r="I18" s="142" t="n"/>
      <c r="J18" s="128" t="n"/>
      <c r="K18" s="22" t="n"/>
      <c r="L18" s="22" t="n"/>
      <c r="M18" s="22" t="n"/>
    </row>
    <row r="19" ht="32" customHeight="1" s="104">
      <c r="A19" s="16" t="n"/>
      <c r="B19" s="17" t="inlineStr">
        <is>
          <t>4.1.6</t>
        </is>
      </c>
      <c r="C19" s="18" t="inlineStr">
        <is>
          <t>A organização documentou procedimento de validação de softwares que impactem no SGQ?</t>
        </is>
      </c>
      <c r="D19" s="154" t="inlineStr">
        <is>
          <t>X</t>
        </is>
      </c>
      <c r="E19" s="154" t="n"/>
      <c r="F19" s="154" t="n"/>
      <c r="G19" s="154" t="n"/>
      <c r="H19" s="144" t="inlineStr">
        <is>
          <t>• [Conforme] PSQ.027.R2: Validação: FOR.166: Validação de Software: 
Validação do Sistema Sysprola</t>
        </is>
      </c>
      <c r="I19" s="142" t="n"/>
      <c r="J19" s="128" t="n"/>
      <c r="K19" s="22" t="n"/>
      <c r="L19" s="22" t="n"/>
      <c r="M19" s="22" t="n"/>
    </row>
    <row r="20" ht="32" customHeight="1" s="104">
      <c r="A20" s="16" t="n"/>
      <c r="B20" s="17" t="inlineStr">
        <is>
          <t>4.2.1</t>
        </is>
      </c>
      <c r="C20" s="18" t="inlineStr">
        <is>
          <t>A organização documentou a Política da Qualidade?</t>
        </is>
      </c>
      <c r="D20" s="154" t="inlineStr">
        <is>
          <t>X</t>
        </is>
      </c>
      <c r="E20" s="154" t="n"/>
      <c r="F20" s="154" t="n"/>
      <c r="G20" s="154" t="n"/>
      <c r="H20" s="144" t="inlineStr">
        <is>
          <t>• [Conforme] MAQ.002.R10 - Manual da Qualidade:
- Política da Qualidade</t>
        </is>
      </c>
      <c r="I20" s="142" t="n"/>
      <c r="J20" s="128" t="n"/>
      <c r="K20" s="22" t="n"/>
      <c r="L20" s="22" t="n"/>
      <c r="M20" s="22" t="n"/>
    </row>
    <row r="21" ht="64" customHeight="1" s="104">
      <c r="A21" s="16" t="n"/>
      <c r="B21" s="17" t="inlineStr">
        <is>
          <t>4.2.2</t>
        </is>
      </c>
      <c r="C21" s="18" t="inlineStr">
        <is>
          <t>A organização documentou o Manual da Qualidade?</t>
        </is>
      </c>
      <c r="D21" s="154" t="inlineStr">
        <is>
          <t>X</t>
        </is>
      </c>
      <c r="E21" s="154" t="n"/>
      <c r="F21" s="154" t="n"/>
      <c r="G21" s="154" t="n"/>
      <c r="H21" s="144" t="inlineStr">
        <is>
          <t>• [Conforme] MAQ.002.R10 - Manual da Qualidade:
- Escopo do SGQ
- Estrutura Organizacional
- Interação de Processos</t>
        </is>
      </c>
      <c r="I21" s="142" t="n"/>
      <c r="J21" s="128" t="n"/>
      <c r="K21" s="22" t="n"/>
      <c r="L21" s="22" t="n"/>
      <c r="M21" s="22" t="n"/>
    </row>
    <row r="22" ht="32" customHeight="1" s="104">
      <c r="A22" s="24" t="n"/>
      <c r="B22" s="17" t="inlineStr">
        <is>
          <t>4.2.3</t>
        </is>
      </c>
      <c r="C22" s="18" t="inlineStr">
        <is>
          <t>A organização possui documentação dos produtos? (Descrição, especificações, registro, procedimentos relacionados ao produto?)</t>
        </is>
      </c>
      <c r="D22" s="154" t="inlineStr">
        <is>
          <t>X</t>
        </is>
      </c>
      <c r="E22" s="154" t="n"/>
      <c r="F22" s="154" t="n"/>
      <c r="G22" s="154" t="n"/>
      <c r="H22" s="144" t="inlineStr">
        <is>
          <t>• [Conforme] POP.1002.R1 - Manual Operacional - Rastreabilidade de Pedidos Visolab
• [Conforme] DMR: DOC.085.R0  Manual de Compras - Visolab; POP.1057.R0 Manual Operacional - Comunicação com o Cliente - Visolab</t>
        </is>
      </c>
      <c r="I22" s="142" t="n"/>
      <c r="J22" s="128" t="n"/>
      <c r="K22" s="22" t="n"/>
      <c r="L22" s="22" t="n"/>
      <c r="M22" s="22" t="n"/>
    </row>
    <row r="23" ht="20" customHeight="1" s="104">
      <c r="A23" s="24" t="n"/>
      <c r="B23" s="17" t="inlineStr">
        <is>
          <t>4.2.4</t>
        </is>
      </c>
      <c r="C23" s="18" t="inlineStr">
        <is>
          <t>A organização documentou procedimento para controlar, analisar, aprovar, previnir deterioração, previnir uso não intencional e assegurar que as versões vigentes dos documentos estejam disponíveis?</t>
        </is>
      </c>
      <c r="D23" s="154" t="inlineStr">
        <is>
          <t>X</t>
        </is>
      </c>
      <c r="E23" s="154" t="n"/>
      <c r="F23" s="154" t="n"/>
      <c r="G23" s="154" t="n"/>
      <c r="H23" s="144" t="inlineStr">
        <is>
          <t>• [Conforme] PSQ.017.R3 - Controle de Documentos e Registros</t>
        </is>
      </c>
      <c r="I23" s="142" t="n"/>
      <c r="J23" s="128" t="n"/>
      <c r="K23" s="22" t="n"/>
      <c r="L23" s="22" t="n"/>
      <c r="M23" s="22" t="n"/>
    </row>
    <row r="24" ht="20" customHeight="1" s="104">
      <c r="A24" s="24" t="n"/>
      <c r="B24" s="17" t="inlineStr">
        <is>
          <t>4.2.5</t>
        </is>
      </c>
      <c r="C24" s="18" t="inlineStr">
        <is>
          <t>A organização documentou procedimento para definir, identificar, armazenar, dar tempo de retenção, garantir a integridade e rápida recuperação de registros?</t>
        </is>
      </c>
      <c r="D24" s="154" t="inlineStr">
        <is>
          <t>X</t>
        </is>
      </c>
      <c r="E24" s="154" t="n"/>
      <c r="F24" s="154" t="n"/>
      <c r="G24" s="154" t="n"/>
      <c r="H24" s="144" t="inlineStr">
        <is>
          <t>• [Conforme] PSQ.017.R3 - Controle de Documentos e Registros</t>
        </is>
      </c>
      <c r="I24" s="142" t="n"/>
      <c r="J24" s="128" t="n"/>
      <c r="K24" s="22" t="n"/>
      <c r="L24" s="22" t="n"/>
      <c r="M24" s="22" t="n"/>
    </row>
    <row r="25" ht="23.25" customHeight="1" s="104">
      <c r="A25" s="24" t="n"/>
      <c r="B25" s="136" t="inlineStr">
        <is>
          <t>RESPONSABILIDADE DA DIREÇÃO</t>
        </is>
      </c>
      <c r="C25" s="127" t="n"/>
      <c r="D25" s="127" t="n"/>
      <c r="E25" s="127" t="n"/>
      <c r="F25" s="127" t="n"/>
      <c r="G25" s="127" t="n"/>
      <c r="H25" s="127" t="n"/>
      <c r="I25" s="127" t="n"/>
      <c r="J25" s="128" t="n"/>
      <c r="K25" s="15">
        <f>COUNTIF(D26:D36,"X")</f>
        <v/>
      </c>
      <c r="L25" s="15">
        <f>COUNTIF(E26:E36,"X")</f>
        <v/>
      </c>
      <c r="M25" s="15">
        <f>COUNTIF(G26:G36,"X")</f>
        <v/>
      </c>
    </row>
    <row r="26" ht="64" customHeight="1" s="104">
      <c r="A26" s="24" t="n"/>
      <c r="B26" s="17" t="inlineStr">
        <is>
          <t>5.1</t>
        </is>
      </c>
      <c r="C26" s="25" t="inlineStr">
        <is>
          <t>A alta direção fornece evidência de seu comprometimento com os requisitos do SGQ: política da qualidade, objetivos da qualidade e conduz análises críticas?</t>
        </is>
      </c>
      <c r="D26" s="154" t="inlineStr">
        <is>
          <t>X</t>
        </is>
      </c>
      <c r="E26" s="154" t="n"/>
      <c r="F26" s="154" t="n"/>
      <c r="G26" s="154" t="n"/>
      <c r="H26" s="144" t="inlineStr">
        <is>
          <t>• [Conforme] MAQ.002.R10 - Manual da Qualidade:
- Política da Qualidade
- Objetivos da Qualidade
- Avaliação de Riscos</t>
        </is>
      </c>
      <c r="I26" s="142" t="n"/>
      <c r="J26" s="128" t="n"/>
      <c r="K26" s="20">
        <f>(K25)/(K25+L25+M25)</f>
        <v/>
      </c>
      <c r="L26" s="20">
        <f>(L25)/(K25+L25+M25)</f>
        <v/>
      </c>
      <c r="M26" s="20">
        <f>(M25)/(K25+L25+M25)</f>
        <v/>
      </c>
    </row>
    <row r="27" ht="32" customHeight="1" s="104">
      <c r="A27" s="24" t="n"/>
      <c r="B27" s="17" t="inlineStr">
        <is>
          <t>5.2</t>
        </is>
      </c>
      <c r="C27" s="25" t="inlineStr">
        <is>
          <t>A alta direção assegura que os requisitos regulatórios e aplicáveis sejam determinados e atendidos?</t>
        </is>
      </c>
      <c r="D27" s="154" t="inlineStr">
        <is>
          <t>X</t>
        </is>
      </c>
      <c r="E27" s="154" t="n"/>
      <c r="F27" s="154" t="n"/>
      <c r="G27" s="154" t="n"/>
      <c r="H27" s="144" t="inlineStr">
        <is>
          <t>• [Conforme] MAQ.002.R10 - Manual da Qualidade:
- Foco no Cliente</t>
        </is>
      </c>
      <c r="I27" s="142" t="n"/>
      <c r="J27" s="128" t="n"/>
      <c r="K27" s="22" t="n"/>
      <c r="L27" s="22" t="n"/>
      <c r="M27" s="22" t="n"/>
    </row>
    <row r="28" ht="32" customHeight="1" s="104">
      <c r="A28" s="24" t="n"/>
      <c r="B28" s="17" t="inlineStr">
        <is>
          <t>5.3</t>
        </is>
      </c>
      <c r="C28" s="25" t="inlineStr">
        <is>
          <t>A alta direção assegura que a política da qualidade seja aplicável, seja comunicada e compreendida e a analisa criticamente para sua contínua adequação?</t>
        </is>
      </c>
      <c r="D28" s="154" t="inlineStr">
        <is>
          <t>X</t>
        </is>
      </c>
      <c r="E28" s="154" t="n"/>
      <c r="F28" s="154" t="n"/>
      <c r="G28" s="154" t="n"/>
      <c r="H28" s="144" t="inlineStr">
        <is>
          <t>• [Conforme] MAQ.002.R10 - Manual da Qualidade:
- Política da Qualidade</t>
        </is>
      </c>
      <c r="I28" s="142" t="n"/>
      <c r="J28" s="128" t="n"/>
      <c r="K28" s="22" t="n"/>
      <c r="L28" s="22" t="n"/>
      <c r="M28" s="22" t="n"/>
    </row>
    <row r="29" ht="32" customHeight="1" s="104">
      <c r="A29" s="24" t="n"/>
      <c r="B29" s="29" t="inlineStr">
        <is>
          <t>5.4.1</t>
        </is>
      </c>
      <c r="C29" s="25" t="inlineStr">
        <is>
          <t>A alta direção assegura que os objetivos da qualidade, sejam estabelecidos em funções e níveis relevantes dentro da organização? Os objetivos da qualidade são mensuráveis e coerentes com a política da qualidade?</t>
        </is>
      </c>
      <c r="D29" s="154" t="inlineStr">
        <is>
          <t>X</t>
        </is>
      </c>
      <c r="E29" s="154" t="n"/>
      <c r="F29" s="154" t="n"/>
      <c r="G29" s="154" t="n"/>
      <c r="H29" s="144" t="inlineStr">
        <is>
          <t>• [Conforme] MAQ.002.R10 - Manual da Qualidade:
- Objetivos da Qualidade</t>
        </is>
      </c>
      <c r="I29" s="142" t="n"/>
      <c r="J29" s="128" t="n"/>
      <c r="K29" s="22" t="n"/>
      <c r="L29" s="22" t="n"/>
      <c r="M29" s="22" t="n"/>
    </row>
    <row r="30" ht="48" customHeight="1" s="104">
      <c r="A30" s="24" t="n"/>
      <c r="B30" s="29" t="inlineStr">
        <is>
          <t>5.4.2</t>
        </is>
      </c>
      <c r="C30" s="25" t="inlineStr">
        <is>
          <t>A alta direção assegura que o planejamento do sistema de gestão da qualidade seja realizado de forma a satisfazer os requisitos fornecidos em 4.1, assim como os objetivos da qualidade? A integridade do sistema de gestão da qualidade é mantida quando alterações no sistema de gestão da qualidade forem planejadas e implementadas?</t>
        </is>
      </c>
      <c r="D30" s="154" t="inlineStr">
        <is>
          <t>X</t>
        </is>
      </c>
      <c r="E30" s="154" t="n"/>
      <c r="F30" s="154" t="n"/>
      <c r="G30" s="154" t="n"/>
      <c r="H30" s="144" t="inlineStr">
        <is>
          <t>• [Conforme] MAQ.002.R10 - Manual da Qualidade:
- Planejamento do SGQ
- Gestão de Mudança</t>
        </is>
      </c>
      <c r="I30" s="142" t="n"/>
      <c r="J30" s="128" t="n"/>
      <c r="K30" s="22" t="n"/>
      <c r="L30" s="22" t="n"/>
      <c r="M30" s="22" t="n"/>
    </row>
    <row r="31" ht="32" customHeight="1" s="104">
      <c r="A31" s="24" t="n"/>
      <c r="B31" s="17" t="inlineStr">
        <is>
          <t>5.5.1</t>
        </is>
      </c>
      <c r="C31" s="25" t="inlineStr">
        <is>
          <t>A alta direção documenta e assegura a inter-relação do pessoal que gerencia, desempenha e verifica o trabalho?</t>
        </is>
      </c>
      <c r="D31" s="154" t="inlineStr">
        <is>
          <t>X</t>
        </is>
      </c>
      <c r="E31" s="154" t="n"/>
      <c r="F31" s="154" t="n"/>
      <c r="G31" s="154" t="n"/>
      <c r="H31" s="144" t="inlineStr">
        <is>
          <t>• [Conforme] MAQ.002.R10 - Manual da Qualidade:
- Organograma e Responsabilidades</t>
        </is>
      </c>
      <c r="I31" s="142" t="n"/>
      <c r="J31" s="128" t="n"/>
      <c r="K31" s="22" t="n"/>
      <c r="L31" s="22" t="n"/>
      <c r="M31" s="22" t="n"/>
    </row>
    <row r="32" ht="20" customHeight="1" s="104">
      <c r="A32" s="24" t="n"/>
      <c r="B32" s="17" t="inlineStr">
        <is>
          <t>5.5.2</t>
        </is>
      </c>
      <c r="C32" s="25" t="inlineStr">
        <is>
          <t>A organização possui um representante da direção indicado pela alta direção?</t>
        </is>
      </c>
      <c r="D32" s="154" t="inlineStr">
        <is>
          <t>X</t>
        </is>
      </c>
      <c r="E32" s="154" t="n"/>
      <c r="F32" s="154" t="n"/>
      <c r="G32" s="154" t="n"/>
      <c r="H32" s="144" t="inlineStr">
        <is>
          <t>• [Conforme] Nomeação do RD: FOR.118: Nomeação RD</t>
        </is>
      </c>
      <c r="I32" s="142" t="n"/>
      <c r="J32" s="128" t="n"/>
      <c r="K32" s="22" t="n"/>
      <c r="L32" s="22" t="n"/>
      <c r="M32" s="22" t="n"/>
    </row>
    <row r="33" ht="20" customHeight="1" s="104">
      <c r="A33" s="24" t="n"/>
      <c r="B33" s="17" t="inlineStr">
        <is>
          <t>5.5.3</t>
        </is>
      </c>
      <c r="C33" s="25" t="inlineStr">
        <is>
          <t>A alta direção assegura um processo de comunicação apropriado à organização com relação ao SGQ?</t>
        </is>
      </c>
      <c r="D33" s="154" t="inlineStr">
        <is>
          <t>X</t>
        </is>
      </c>
      <c r="E33" s="154" t="n"/>
      <c r="F33" s="154" t="n"/>
      <c r="G33" s="154" t="n"/>
      <c r="H33" s="144" t="inlineStr">
        <is>
          <t>• [Conforme] MAQ.002.R10 - Manual da Qualidade: Comunicação Interna</t>
        </is>
      </c>
      <c r="I33" s="142" t="n"/>
      <c r="J33" s="128" t="n"/>
      <c r="K33" s="22" t="n"/>
      <c r="L33" s="22" t="n"/>
      <c r="M33" s="22" t="n"/>
    </row>
    <row r="34" ht="20" customHeight="1" s="104">
      <c r="A34" s="24" t="n"/>
      <c r="B34" s="17" t="inlineStr">
        <is>
          <t>5.6.1</t>
        </is>
      </c>
      <c r="C34" s="25" t="inlineStr">
        <is>
          <t>A organização documentou procedimento para análise crítica pela direção?</t>
        </is>
      </c>
      <c r="D34" s="154" t="inlineStr">
        <is>
          <t>X</t>
        </is>
      </c>
      <c r="E34" s="154" t="n"/>
      <c r="F34" s="154" t="n"/>
      <c r="G34" s="154" t="n"/>
      <c r="H34" s="144" t="inlineStr">
        <is>
          <t>• [Conforme] PSQ.025.R1: Revisão Gerencial: FOR.069: Ata de Reunião de Análise Crítica pela Direção</t>
        </is>
      </c>
      <c r="I34" s="142" t="n"/>
      <c r="J34" s="128" t="n"/>
      <c r="K34" s="22" t="n"/>
      <c r="L34" s="22" t="n"/>
      <c r="M34" s="22" t="n"/>
    </row>
    <row r="35" ht="20" customHeight="1" s="104">
      <c r="A35" s="24" t="n"/>
      <c r="B35" s="17" t="inlineStr">
        <is>
          <t>5.6.2</t>
        </is>
      </c>
      <c r="C35" s="25" t="inlineStr">
        <is>
          <t>As entradas são criticamente analisadas pela direção? (Feedback, tratamento de reclamações, comunicação às autoridades regulatórias, auditorias, monitoramento e medição de processos, monitoramento e medição de produtos, ação corretiva, ação preventiva, ações provenientes de análises anteriores, alterações que impactem o SGQ, recomendações de melhorias e requisitos regulatórios aplicáveis)</t>
        </is>
      </c>
      <c r="D35" s="154" t="inlineStr">
        <is>
          <t>X</t>
        </is>
      </c>
      <c r="E35" s="154" t="n"/>
      <c r="F35" s="154" t="n"/>
      <c r="G35" s="154" t="n"/>
      <c r="H35" s="144" t="inlineStr">
        <is>
          <t>• [Conforme] PSQ.025.R1: Revisão Gerencial: FOR.069: Ata de Reunião de Análise Crítica pela Direção</t>
        </is>
      </c>
      <c r="I35" s="155" t="n"/>
      <c r="J35" s="128" t="n"/>
      <c r="K35" s="22" t="n"/>
      <c r="L35" s="22" t="n"/>
      <c r="M35" s="22" t="n"/>
    </row>
    <row r="36" ht="20" customHeight="1" s="104">
      <c r="A36" s="24" t="n"/>
      <c r="B36" s="17" t="inlineStr">
        <is>
          <t>5.6.3</t>
        </is>
      </c>
      <c r="C36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D36" s="154" t="inlineStr">
        <is>
          <t>X</t>
        </is>
      </c>
      <c r="E36" s="154" t="n"/>
      <c r="F36" s="154" t="n"/>
      <c r="G36" s="154" t="n"/>
      <c r="H36" s="144" t="inlineStr">
        <is>
          <t>• [Conforme] PSQ.025.R1: Revisão Gerencial: FOR.069: Ata de Reunião de Análise Crítica pela Direção</t>
        </is>
      </c>
      <c r="I36" s="155" t="n"/>
      <c r="J36" s="128" t="n"/>
      <c r="K36" s="22" t="n"/>
      <c r="L36" s="22" t="n"/>
      <c r="M36" s="22" t="n"/>
    </row>
    <row r="37" ht="23.25" customHeight="1" s="104">
      <c r="A37" s="24" t="n"/>
      <c r="B37" s="136" t="inlineStr">
        <is>
          <t>GESTÃO DE RECURSOS</t>
        </is>
      </c>
      <c r="C37" s="127" t="n"/>
      <c r="D37" s="127" t="n"/>
      <c r="E37" s="127" t="n"/>
      <c r="F37" s="127" t="n"/>
      <c r="G37" s="127" t="n"/>
      <c r="H37" s="127" t="n"/>
      <c r="I37" s="127" t="n"/>
      <c r="J37" s="128" t="n"/>
      <c r="K37" s="15">
        <f>COUNTIF(D38:D42,"X")</f>
        <v/>
      </c>
      <c r="L37" s="15">
        <f>COUNTIF(E38:E42,"X")</f>
        <v/>
      </c>
      <c r="M37" s="15">
        <f>COUNTIF(G38:G42,"X")</f>
        <v/>
      </c>
    </row>
    <row r="38" ht="20" customHeight="1" s="104">
      <c r="A38" s="24" t="n"/>
      <c r="B38" s="17" t="inlineStr">
        <is>
          <t>6.1</t>
        </is>
      </c>
      <c r="C38" s="25" t="inlineStr">
        <is>
          <t>A organização determina e provê os recursos para implementação e atendimento à requisitos regulatórios e de clientes do SGQ?</t>
        </is>
      </c>
      <c r="D38" s="154" t="inlineStr">
        <is>
          <t>X</t>
        </is>
      </c>
      <c r="E38" s="154" t="n"/>
      <c r="F38" s="154" t="n"/>
      <c r="G38" s="154" t="n"/>
      <c r="H38" s="144" t="inlineStr">
        <is>
          <t>• [Conforme] MAQ.002.R10 - Manual da Qualidade: Recursos e Infraestrutura</t>
        </is>
      </c>
      <c r="I38" s="142" t="n"/>
      <c r="J38" s="128" t="n"/>
      <c r="K38" s="20">
        <f>(K37)/(K37+L37+M37)</f>
        <v/>
      </c>
      <c r="L38" s="20">
        <f>(L37)/(K37+L37+M37)</f>
        <v/>
      </c>
      <c r="M38" s="20">
        <f>(M37)/(K37+L37+M37)</f>
        <v/>
      </c>
    </row>
    <row r="39" ht="20" customHeight="1" s="104">
      <c r="A39" s="24" t="n"/>
      <c r="B39" s="17" t="inlineStr">
        <is>
          <t>6.2</t>
        </is>
      </c>
      <c r="C39" s="25" t="inlineStr">
        <is>
          <t>O pessoal que executa o trabalho que afeta a qualidade possui competência e é treinado para a atividade que exerce? Os registros são mantidos?  A eficácia é avaliada?</t>
        </is>
      </c>
      <c r="D39" s="154" t="inlineStr">
        <is>
          <t>X</t>
        </is>
      </c>
      <c r="E39" s="154" t="n"/>
      <c r="F39" s="154" t="n"/>
      <c r="G39" s="154" t="n"/>
      <c r="H39" s="144" t="inlineStr">
        <is>
          <t>• [Conforme] PSQ.023.R4: Treinamentos: Matriz de Treinamento, Descrição de Cargos, Avaliação de Eficácia</t>
        </is>
      </c>
      <c r="I39" s="142" t="n"/>
      <c r="J39" s="128" t="n"/>
      <c r="K39" s="22" t="n"/>
      <c r="L39" s="22" t="n"/>
      <c r="M39" s="22" t="n"/>
    </row>
    <row r="40" ht="20" customHeight="1" s="104">
      <c r="A40" s="24" t="n"/>
      <c r="B40" s="31" t="inlineStr">
        <is>
          <t>6.3</t>
        </is>
      </c>
      <c r="C4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D40" s="154" t="inlineStr">
        <is>
          <t>X</t>
        </is>
      </c>
      <c r="E40" s="154" t="n"/>
      <c r="F40" s="154" t="n"/>
      <c r="G40" s="154" t="n"/>
      <c r="H40" s="144" t="inlineStr">
        <is>
          <t>• [Conforme] PSQ.033.R2: Manutenção: Plano de Manutenção Preventiva de Equipamentos</t>
        </is>
      </c>
      <c r="I40" s="142" t="n"/>
      <c r="J40" s="128" t="n"/>
      <c r="K40" s="22" t="n"/>
      <c r="L40" s="22" t="n"/>
      <c r="M40" s="22" t="n"/>
    </row>
    <row r="41" ht="20" customHeight="1" s="104">
      <c r="A41" s="24" t="n"/>
      <c r="B41" s="17" t="inlineStr">
        <is>
          <t>6.4.1</t>
        </is>
      </c>
      <c r="C41" s="25" t="inlineStr">
        <is>
          <t>A organização documenta os requisitos do ambiente necessário para alcançar a conformidade com os produtos incluindo requisitos de saúde, limpeza e vestuário do pessoal que afete a qualidade do produto? O pessoal requisitado temporariamente possui competência para tal e/ou é supervisionado para tal?</t>
        </is>
      </c>
      <c r="D41" s="154" t="inlineStr">
        <is>
          <t>X</t>
        </is>
      </c>
      <c r="E41" s="154" t="n"/>
      <c r="F41" s="154" t="n"/>
      <c r="G41" s="154" t="n"/>
      <c r="H41" s="144" t="inlineStr">
        <is>
          <t>• [Conforme] POP.1005.R1: Manual Operacional - Limpeza e Higienização do Laboratório</t>
        </is>
      </c>
      <c r="I41" s="142" t="n"/>
      <c r="J41" s="128" t="n"/>
      <c r="K41" s="22" t="n"/>
      <c r="L41" s="22" t="n"/>
      <c r="M41" s="22" t="n"/>
    </row>
    <row r="42" ht="20" customHeight="1" s="104">
      <c r="A42" s="24" t="n"/>
      <c r="B42" s="17" t="inlineStr">
        <is>
          <t>6.4.2</t>
        </is>
      </c>
      <c r="C42" s="25" t="inlineStr">
        <is>
          <t>A organização planeja e documenta as tratativas para controle de produtos contaminados ou potencialmente contaminados para previnir contaminação do ambiente de trabalho, pessoal e produtos?</t>
        </is>
      </c>
      <c r="D42" s="154" t="inlineStr">
        <is>
          <t>X</t>
        </is>
      </c>
      <c r="E42" s="154" t="n"/>
      <c r="F42" s="154" t="n"/>
      <c r="G42" s="154" t="n"/>
      <c r="H42" s="144" t="inlineStr">
        <is>
          <t>• [Conforme] POP.1005.R1: Manual Operacional - Limpeza e Higienização do Laboratório</t>
        </is>
      </c>
      <c r="I42" s="155" t="n"/>
      <c r="J42" s="128" t="n"/>
      <c r="K42" s="22" t="n"/>
      <c r="L42" s="22" t="n"/>
      <c r="M42" s="22" t="n"/>
    </row>
    <row r="43" ht="23.25" customHeight="1" s="104">
      <c r="A43" s="24" t="n"/>
      <c r="B43" s="136" t="inlineStr">
        <is>
          <t>REALIZAÇÃO DE PRODUTO (FABRICAÇÃO)</t>
        </is>
      </c>
      <c r="C43" s="127" t="n"/>
      <c r="D43" s="127" t="n"/>
      <c r="E43" s="127" t="n"/>
      <c r="F43" s="127" t="n"/>
      <c r="G43" s="127" t="n"/>
      <c r="H43" s="127" t="n"/>
      <c r="I43" s="127" t="n"/>
      <c r="J43" s="128" t="n"/>
      <c r="K43" s="15">
        <f>COUNTIF(D44:D73,"X")</f>
        <v/>
      </c>
      <c r="L43" s="15">
        <f>COUNTIF(E44:E73,"X")</f>
        <v/>
      </c>
      <c r="M43" s="15">
        <f>COUNTIF(G44:G73,"X")</f>
        <v/>
      </c>
    </row>
    <row r="44" ht="20" customHeight="1" s="104">
      <c r="A44" s="24" t="n"/>
      <c r="B44" s="17" t="inlineStr">
        <is>
          <t>7.1</t>
        </is>
      </c>
      <c r="C44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D44" s="154" t="inlineStr">
        <is>
          <t>X</t>
        </is>
      </c>
      <c r="E44" s="154" t="n"/>
      <c r="F44" s="154" t="n"/>
      <c r="G44" s="154" t="n"/>
      <c r="H44" s="144" t="inlineStr">
        <is>
          <t>• [Conforme] PSQ.018.R2: Realização de Produto: Fluxograma e Planejamento de Processos</t>
        </is>
      </c>
      <c r="I44" s="155" t="n"/>
      <c r="J44" s="128" t="n"/>
      <c r="K44" s="20">
        <f>(K43)/(K43+L43+M43)</f>
        <v/>
      </c>
      <c r="L44" s="20">
        <f>(L43)/(K43+L43+M43)</f>
        <v/>
      </c>
      <c r="M44" s="20">
        <f>(M43)/(K43+L43+M43)</f>
        <v/>
      </c>
    </row>
    <row r="45" ht="20" customHeight="1" s="104">
      <c r="A45" s="24" t="n"/>
      <c r="B45" s="17" t="inlineStr">
        <is>
          <t>7.2.1</t>
        </is>
      </c>
      <c r="C45" s="25" t="inlineStr">
        <is>
          <t>Os requisitos especificados pelos clientes, os não declarados, os requisitos regulatórios, treinamentos necessários para o desempenho do produto e quaisquer outro requisitos estabelecidos pela organização são determinados pela organização?</t>
        </is>
      </c>
      <c r="D45" s="154" t="inlineStr">
        <is>
          <t>X</t>
        </is>
      </c>
      <c r="E45" s="154" t="n"/>
      <c r="F45" s="154" t="n"/>
      <c r="G45" s="154" t="n"/>
      <c r="H45" s="144" t="inlineStr">
        <is>
          <t>• [Conforme] POP.1057.R0: Manual Operacional - Comunicação com o Cliente - Visolab</t>
        </is>
      </c>
      <c r="I45" s="155" t="n"/>
      <c r="J45" s="128" t="n"/>
      <c r="K45" s="22" t="n"/>
      <c r="L45" s="22" t="n"/>
      <c r="M45" s="22" t="n"/>
    </row>
    <row r="46" ht="20" customHeight="1" s="104">
      <c r="A46" s="24" t="n"/>
      <c r="B46" s="17" t="inlineStr">
        <is>
          <t>7.2.2</t>
        </is>
      </c>
      <c r="C46" s="25" t="inlineStr">
        <is>
          <t xml:space="preserve">A organização analisa criticamente os requisitos relacionados aos produtos antes de fornecê-lo? </t>
        </is>
      </c>
      <c r="D46" s="154" t="inlineStr">
        <is>
          <t>X</t>
        </is>
      </c>
      <c r="E46" s="154" t="n"/>
      <c r="F46" s="154" t="n"/>
      <c r="G46" s="154" t="n"/>
      <c r="H46" s="144" t="inlineStr">
        <is>
          <t>• [Conforme] POP.1057.R0: Manual Operacional - Comunicação com o Cliente - Visolab</t>
        </is>
      </c>
      <c r="I46" s="155" t="n"/>
      <c r="J46" s="128" t="n"/>
      <c r="K46" s="22" t="n"/>
      <c r="L46" s="22" t="n"/>
      <c r="M46" s="22" t="n"/>
    </row>
    <row r="47" ht="20" customHeight="1" s="104">
      <c r="A47" s="24" t="n"/>
      <c r="B47" s="17" t="inlineStr">
        <is>
          <t>7.2.3</t>
        </is>
      </c>
      <c r="C47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D47" s="154" t="inlineStr">
        <is>
          <t>X</t>
        </is>
      </c>
      <c r="E47" s="154" t="n"/>
      <c r="F47" s="154" t="n"/>
      <c r="G47" s="154" t="n"/>
      <c r="H47" s="144" t="inlineStr">
        <is>
          <t>• [Conforme] POP.1057.R0: Manual Operacional - Comunicação com o Cliente - Visolab</t>
        </is>
      </c>
      <c r="I47" s="155" t="n"/>
      <c r="J47" s="128" t="n"/>
      <c r="K47" s="22" t="n"/>
      <c r="L47" s="22" t="n"/>
      <c r="M47" s="22" t="n"/>
    </row>
    <row r="48" ht="20" customHeight="1" s="104">
      <c r="A48" s="24" t="n"/>
      <c r="B48" s="33" t="inlineStr">
        <is>
          <t>7.3.1</t>
        </is>
      </c>
      <c r="C48" s="25" t="inlineStr">
        <is>
          <t>A organização documenta procedimentos para projeto e desenvolvimento?</t>
        </is>
      </c>
      <c r="D48" s="154" t="n"/>
      <c r="E48" s="154" t="n"/>
      <c r="F48" s="154" t="inlineStr">
        <is>
          <t>X</t>
        </is>
      </c>
      <c r="G48" s="154" t="n"/>
      <c r="H48" s="144" t="inlineStr">
        <is>
          <t>• [Não Aplicável] Item não aplicável ao escopo de montagem e distribuição de lentes</t>
        </is>
      </c>
      <c r="I48" s="155" t="n"/>
      <c r="J48" s="128" t="n"/>
      <c r="K48" s="22" t="n"/>
      <c r="L48" s="22" t="n"/>
      <c r="M48" s="22" t="n"/>
    </row>
    <row r="49" ht="20" customHeight="1" s="104">
      <c r="A49" s="24" t="n"/>
      <c r="B49" s="33" t="inlineStr">
        <is>
          <t>7.3.2</t>
        </is>
      </c>
      <c r="C49" s="25" t="inlineStr">
        <is>
          <t>A organização planeja e documenta estágios de desenvolvimento, análise crítica de cada estágio do projeto, atividades de verificação, validação e transferência, as responsabilidades e autoridades, métodos de rastreabilidade e recursos necessários incluindo competências necessárias? Os registros são armazenados?</t>
        </is>
      </c>
      <c r="D49" s="154" t="n"/>
      <c r="E49" s="154" t="n"/>
      <c r="F49" s="154" t="inlineStr">
        <is>
          <t>X</t>
        </is>
      </c>
      <c r="G49" s="154" t="n"/>
      <c r="H49" s="144" t="inlineStr">
        <is>
          <t>• [Não Aplicável] Item não aplicável ao escopo de montagem e distribuição de lentes</t>
        </is>
      </c>
      <c r="I49" s="155" t="n"/>
      <c r="J49" s="128" t="n"/>
      <c r="K49" s="22" t="n"/>
      <c r="L49" s="22" t="n"/>
      <c r="M49" s="22" t="n"/>
    </row>
    <row r="50" ht="20" customHeight="1" s="104">
      <c r="A50" s="24" t="n"/>
      <c r="B50" s="33" t="inlineStr">
        <is>
          <t>7.3.3</t>
        </is>
      </c>
      <c r="C50" s="25" t="inlineStr">
        <is>
          <t>As entradas do produto são determinadas quanto aos seus requisitos de funcionamento, desempenho, usabilidade e segurança, os requisitos regulatórios aplicáveis, os registros do gerenciamento de risco, informações de projetos anteriores e, outros requisitos essenciais para o projeto? Os registros são armazenados?</t>
        </is>
      </c>
      <c r="D50" s="154" t="n"/>
      <c r="E50" s="154" t="n"/>
      <c r="F50" s="154" t="inlineStr">
        <is>
          <t>X</t>
        </is>
      </c>
      <c r="G50" s="154" t="n"/>
      <c r="H50" s="144" t="inlineStr">
        <is>
          <t>• [Não Aplicável] Item não aplicável ao escopo de montagem e distribuição de lentes</t>
        </is>
      </c>
      <c r="I50" s="155" t="n"/>
      <c r="J50" s="128" t="n"/>
      <c r="K50" s="22" t="n"/>
      <c r="L50" s="22" t="n"/>
      <c r="M50" s="22" t="n"/>
    </row>
    <row r="51" ht="20" customHeight="1" s="104">
      <c r="A51" s="24" t="n"/>
      <c r="B51" s="33" t="inlineStr">
        <is>
          <t>7.3.4</t>
        </is>
      </c>
      <c r="C51" s="25" t="inlineStr">
        <is>
          <t>As saídas de projeto atendem aos requisitos de entrada, fornece as informações apropriadas para aquisição , contem ou fazem referências a critérios de aceitação do produto, especifica as características do produto que são essencias para seu uso seguro e adequado?</t>
        </is>
      </c>
      <c r="D51" s="154" t="n"/>
      <c r="E51" s="154" t="n"/>
      <c r="F51" s="154" t="inlineStr">
        <is>
          <t>X</t>
        </is>
      </c>
      <c r="G51" s="154" t="n"/>
      <c r="H51" s="144" t="inlineStr">
        <is>
          <t>• [Não Aplicável] Item não aplicável ao escopo de montagem e distribuição de lentes</t>
        </is>
      </c>
      <c r="I51" s="155" t="n"/>
      <c r="J51" s="128" t="n"/>
      <c r="K51" s="22" t="n"/>
      <c r="L51" s="22" t="n"/>
      <c r="M51" s="22" t="n"/>
    </row>
    <row r="52" ht="20" customHeight="1" s="104">
      <c r="A52" s="24" t="n"/>
      <c r="B52" s="33" t="inlineStr">
        <is>
          <t>7.3.5</t>
        </is>
      </c>
      <c r="C52" s="25" t="inlineStr">
        <is>
          <t>A organização realiza análise sistemática do projeto e desenvolvimento? Os registros são armazenados?</t>
        </is>
      </c>
      <c r="D52" s="154" t="n"/>
      <c r="E52" s="154" t="n"/>
      <c r="F52" s="154" t="inlineStr">
        <is>
          <t>X</t>
        </is>
      </c>
      <c r="G52" s="154" t="n"/>
      <c r="H52" s="144" t="inlineStr">
        <is>
          <t>• [Não Aplicável] Item não aplicável ao escopo de montagem e distribuição de lentes</t>
        </is>
      </c>
      <c r="I52" s="155" t="n"/>
      <c r="J52" s="128" t="n"/>
      <c r="K52" s="22" t="n"/>
      <c r="L52" s="22" t="n"/>
      <c r="M52" s="22" t="n"/>
    </row>
    <row r="53" ht="20" customHeight="1" s="104">
      <c r="A53" s="24" t="n"/>
      <c r="B53" s="33" t="inlineStr">
        <is>
          <t>7.3.6</t>
        </is>
      </c>
      <c r="C53" s="25" t="inlineStr">
        <is>
          <t>A organização documenta plano de verificação do projeto e desenvolvimento? Caso o uso requeira que o produto tenha uma interface com outro produto, a verificação deve atender os requisitos dessa interação?</t>
        </is>
      </c>
      <c r="D53" s="154" t="n"/>
      <c r="E53" s="154" t="n"/>
      <c r="F53" s="154" t="inlineStr">
        <is>
          <t>X</t>
        </is>
      </c>
      <c r="G53" s="154" t="n"/>
      <c r="H53" s="144" t="inlineStr">
        <is>
          <t>• [Não Aplicável] Item não aplicável ao escopo de montagem e distribuição de lentes</t>
        </is>
      </c>
      <c r="I53" s="155" t="n"/>
      <c r="J53" s="128" t="n"/>
      <c r="K53" s="22" t="n"/>
      <c r="L53" s="22" t="n"/>
      <c r="M53" s="22" t="n"/>
    </row>
    <row r="54" ht="20" customHeight="1" s="104">
      <c r="A54" s="24" t="n"/>
      <c r="B54" s="33" t="inlineStr">
        <is>
          <t>7.3.7</t>
        </is>
      </c>
      <c r="C54" s="25" t="inlineStr">
        <is>
          <t>A organização executa a validação em produto representativo (protótipo)? Atende aos requisitos do produto?</t>
        </is>
      </c>
      <c r="D54" s="154" t="n"/>
      <c r="E54" s="154" t="n"/>
      <c r="F54" s="154" t="inlineStr">
        <is>
          <t>X</t>
        </is>
      </c>
      <c r="G54" s="154" t="n"/>
      <c r="H54" s="144" t="inlineStr">
        <is>
          <t>• [Não Aplicável] Item não aplicável ao escopo de montagem e distribuição de lentes</t>
        </is>
      </c>
      <c r="I54" s="155" t="n"/>
      <c r="J54" s="128" t="n"/>
      <c r="K54" s="22" t="n"/>
      <c r="L54" s="22" t="n"/>
      <c r="M54" s="22" t="n"/>
    </row>
    <row r="55" ht="20" customHeight="1" s="104">
      <c r="A55" s="24" t="n"/>
      <c r="B55" s="33" t="inlineStr">
        <is>
          <t>7.3.8</t>
        </is>
      </c>
      <c r="C55" s="25" t="inlineStr">
        <is>
          <t xml:space="preserve">A organização documenta procedimento para a transferência do projeto para fabricação? </t>
        </is>
      </c>
      <c r="D55" s="154" t="n"/>
      <c r="E55" s="154" t="n"/>
      <c r="F55" s="154" t="inlineStr">
        <is>
          <t>X</t>
        </is>
      </c>
      <c r="G55" s="154" t="n"/>
      <c r="H55" s="144" t="inlineStr">
        <is>
          <t>• [Não Aplicável] Item não aplicável ao escopo de montagem e distribuição de lentes</t>
        </is>
      </c>
      <c r="I55" s="155" t="n"/>
      <c r="J55" s="128" t="n"/>
      <c r="K55" s="22" t="n"/>
      <c r="L55" s="22" t="n"/>
      <c r="M55" s="22" t="n"/>
    </row>
    <row r="56" ht="20" customHeight="1" s="104">
      <c r="A56" s="24" t="n"/>
      <c r="B56" s="33" t="inlineStr">
        <is>
          <t>7.3.9</t>
        </is>
      </c>
      <c r="C56" s="25" t="inlineStr">
        <is>
          <t>A organização documenta procedimento para controlar alterações de projeto e desenvolvimento? Antes da implementação elas são analisadas, verificadas, validadas e aprovadas?</t>
        </is>
      </c>
      <c r="D56" s="154" t="n"/>
      <c r="E56" s="154" t="n"/>
      <c r="F56" s="154" t="inlineStr">
        <is>
          <t>X</t>
        </is>
      </c>
      <c r="G56" s="154" t="n"/>
      <c r="H56" s="144" t="inlineStr">
        <is>
          <t>• [Não Aplicável] Item não aplicável ao escopo de montagem e distribuição de lentes</t>
        </is>
      </c>
      <c r="I56" s="155" t="n"/>
      <c r="J56" s="128" t="n"/>
      <c r="K56" s="22" t="n"/>
      <c r="L56" s="22" t="n"/>
      <c r="M56" s="22" t="n"/>
    </row>
    <row r="57" ht="20" customHeight="1" s="104">
      <c r="A57" s="24" t="n"/>
      <c r="B57" s="33" t="inlineStr">
        <is>
          <t>7.3.10</t>
        </is>
      </c>
      <c r="C57" s="25" t="inlineStr">
        <is>
          <t xml:space="preserve">A organização mantem arquivo do projeto e desenvolvimento para cada tipo de produto ou família? </t>
        </is>
      </c>
      <c r="D57" s="154" t="n"/>
      <c r="E57" s="154" t="n"/>
      <c r="F57" s="154" t="inlineStr">
        <is>
          <t>X</t>
        </is>
      </c>
      <c r="G57" s="154" t="n"/>
      <c r="H57" s="144" t="inlineStr">
        <is>
          <t>• [Não Aplicável] Item não aplicável ao escopo de montagem e distribuição de lentes</t>
        </is>
      </c>
      <c r="I57" s="155" t="n"/>
      <c r="J57" s="128" t="n"/>
      <c r="K57" s="22" t="n"/>
      <c r="L57" s="22" t="n"/>
      <c r="M57" s="22" t="n"/>
    </row>
    <row r="58" ht="32" customHeight="1" s="104">
      <c r="A58" s="24" t="n"/>
      <c r="B58" s="17" t="inlineStr">
        <is>
          <t>7.4.1</t>
        </is>
      </c>
      <c r="C58" s="25" t="inlineStr">
        <is>
          <t>A organização documenta procedimento para aquisição de produtos? O procedimento estabelece critérios de avaliação e seleção de fornecedores? A organização realiza acompanhamento do fornecedor qualificado? Os registros são armazenados?</t>
        </is>
      </c>
      <c r="D58" s="154" t="inlineStr">
        <is>
          <t>X</t>
        </is>
      </c>
      <c r="E58" s="154" t="n"/>
      <c r="F58" s="154" t="n"/>
      <c r="G58" s="154" t="n"/>
      <c r="H58" s="144" t="inlineStr">
        <is>
          <t>• [Conforme] PSQ.018.R2: Realização de Produto: FOR.146: Lista de Fornecedores Qualificados
• [Conforme] FOR.147: Avaliação e Reavaliação de Fornecedores</t>
        </is>
      </c>
      <c r="I58" s="155" t="n"/>
      <c r="J58" s="128" t="n"/>
      <c r="K58" s="22" t="n"/>
      <c r="L58" s="22" t="n"/>
      <c r="M58" s="22" t="n"/>
    </row>
    <row r="59" ht="20" customHeight="1" s="104">
      <c r="A59" s="24" t="n"/>
      <c r="B59" s="17" t="inlineStr">
        <is>
          <t>7.4.2</t>
        </is>
      </c>
      <c r="C59" s="25" t="inlineStr">
        <is>
          <t>A organização mantem informações de aquisição dos produtos que constem as especificações, requisitos de aceitação e requisitos do pessoal e SGQ? Os registros são armazenados corretamente?</t>
        </is>
      </c>
      <c r="D59" s="154" t="inlineStr">
        <is>
          <t>X</t>
        </is>
      </c>
      <c r="E59" s="154" t="n"/>
      <c r="F59" s="154" t="n"/>
      <c r="G59" s="154" t="n"/>
      <c r="H59" s="144" t="inlineStr">
        <is>
          <t>• [Conforme] DOC.085.R0: Manual de Compras - Visolab</t>
        </is>
      </c>
      <c r="I59" s="155" t="n"/>
      <c r="J59" s="128" t="n"/>
      <c r="K59" s="22" t="n"/>
      <c r="L59" s="22" t="n"/>
      <c r="M59" s="22" t="n"/>
    </row>
    <row r="60" ht="20" customHeight="1" s="104">
      <c r="A60" s="24" t="n"/>
      <c r="B60" s="17" t="inlineStr">
        <is>
          <t>7.4.3</t>
        </is>
      </c>
      <c r="C60" s="25" t="inlineStr">
        <is>
          <t>A organização realiza verificação nos produtos adquiridos? Existe procedimento para a atividade? Caso seja realizada vistoria nas instalações do fornecedor, é informado na informação de aquisição os itens verificados e critérios de aceitação?</t>
        </is>
      </c>
      <c r="D60" s="154" t="inlineStr">
        <is>
          <t>X</t>
        </is>
      </c>
      <c r="E60" s="154" t="n"/>
      <c r="F60" s="154" t="n"/>
      <c r="G60" s="154" t="n"/>
      <c r="H60" s="144" t="inlineStr">
        <is>
          <t>• [Conforme] POP.1122.R0: Manual Operacional - Recebimento de Lentes e Blocos - Visolab</t>
        </is>
      </c>
      <c r="I60" s="155" t="n"/>
      <c r="J60" s="128" t="n"/>
      <c r="K60" s="22" t="n"/>
      <c r="L60" s="22" t="n"/>
      <c r="M60" s="22" t="n"/>
    </row>
    <row r="61" ht="32" customHeight="1" s="104">
      <c r="A61" s="24" t="n"/>
      <c r="B61" s="17" t="inlineStr">
        <is>
          <t>7.5.1</t>
        </is>
      </c>
      <c r="C61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D61" s="154" t="inlineStr">
        <is>
          <t>X</t>
        </is>
      </c>
      <c r="E61" s="154" t="n"/>
      <c r="F61" s="154" t="n"/>
      <c r="G61" s="154" t="n"/>
      <c r="H61" s="144" t="inlineStr">
        <is>
          <t>• [Conforme] POP.1002.R1: Manual Operacional - Rastreabilidade de Pedidos Visolab
• [Conforme] Instruções de Trabalho da Linha de Produção</t>
        </is>
      </c>
      <c r="I61" s="155" t="n"/>
      <c r="J61" s="128" t="n"/>
      <c r="K61" s="22" t="n"/>
      <c r="L61" s="22" t="n"/>
      <c r="M61" s="22" t="n"/>
    </row>
    <row r="62" ht="20" customHeight="1" s="104">
      <c r="A62" s="24" t="n"/>
      <c r="B62" s="17" t="inlineStr">
        <is>
          <t xml:space="preserve">7.5.2 </t>
        </is>
      </c>
      <c r="C62" s="25" t="inlineStr">
        <is>
          <t>A organização documenta requisitos para limpeza ou controle de contaminação do produto? Esterilização, limpeza antes do uso, limpeza pós-uso?</t>
        </is>
      </c>
      <c r="D62" s="154" t="inlineStr">
        <is>
          <t>X</t>
        </is>
      </c>
      <c r="E62" s="154" t="n"/>
      <c r="F62" s="154" t="n"/>
      <c r="G62" s="154" t="n"/>
      <c r="H62" s="144" t="inlineStr">
        <is>
          <t>• [Conforme] POP.1005.R1: Manual Operacional - Limpeza e Higienização do Laboratório</t>
        </is>
      </c>
      <c r="I62" s="142" t="n"/>
      <c r="J62" s="128" t="n"/>
      <c r="K62" s="22" t="n"/>
      <c r="L62" s="22" t="n"/>
      <c r="M62" s="22" t="n"/>
    </row>
    <row r="63" ht="20" customHeight="1" s="104">
      <c r="A63" s="24" t="n"/>
      <c r="B63" s="33" t="inlineStr">
        <is>
          <t>7.5.3</t>
        </is>
      </c>
      <c r="C63" s="25" t="inlineStr">
        <is>
          <t>Caso haja produtos que necessitem ser instalados, a organização documentou requisitos de instalação e critérios de aceitação? Caso a instalação seja realizada por empresa terceira, há processo de qualificação da mesma?</t>
        </is>
      </c>
      <c r="D63" s="154" t="n"/>
      <c r="E63" s="154" t="n"/>
      <c r="F63" s="154" t="inlineStr">
        <is>
          <t>X</t>
        </is>
      </c>
      <c r="G63" s="154" t="n"/>
      <c r="H63" s="144" t="inlineStr">
        <is>
          <t>• [Não Aplicável] Não aplicável (produtos não estéreis)</t>
        </is>
      </c>
      <c r="I63" s="155" t="n"/>
      <c r="J63" s="128" t="n"/>
      <c r="K63" s="22" t="n"/>
      <c r="L63" s="22" t="n"/>
      <c r="M63" s="22" t="n"/>
    </row>
    <row r="64" ht="20" customHeight="1" s="104">
      <c r="A64" s="24" t="n"/>
      <c r="B64" s="33" t="inlineStr">
        <is>
          <t>7.5.4</t>
        </is>
      </c>
      <c r="C64" s="25" t="inlineStr">
        <is>
          <t>A organização documenta procedimento para assistência técnica de produtos? Especifica os critérios de aceitação? Os registros são devidamente mantidos?</t>
        </is>
      </c>
      <c r="D64" s="154" t="inlineStr">
        <is>
          <t>X</t>
        </is>
      </c>
      <c r="E64" s="154" t="n"/>
      <c r="F64" s="154" t="n"/>
      <c r="G64" s="154" t="n"/>
      <c r="H64" s="144" t="inlineStr">
        <is>
          <t>• [Conforme] PSQ.018.R2: Realização de Produto: Parâmetros de Montagem</t>
        </is>
      </c>
      <c r="I64" s="155" t="n"/>
      <c r="J64" s="128" t="n"/>
      <c r="K64" s="22" t="n"/>
      <c r="L64" s="22" t="n"/>
      <c r="M64" s="22" t="n"/>
    </row>
    <row r="65" ht="20" customHeight="1" s="104">
      <c r="A65" s="24" t="n"/>
      <c r="B65" s="33" t="inlineStr">
        <is>
          <t>7.5.5</t>
        </is>
      </c>
      <c r="C65" s="25" t="inlineStr">
        <is>
          <t>A organização mantem os registros dos parâmetros para processos de esterilização para cada lote de produto? Os registros são devidamente armazenados?</t>
        </is>
      </c>
      <c r="D65" s="154" t="n"/>
      <c r="E65" s="154" t="n"/>
      <c r="F65" s="154" t="inlineStr">
        <is>
          <t>X</t>
        </is>
      </c>
      <c r="G65" s="154" t="n"/>
      <c r="H65" s="144" t="inlineStr">
        <is>
          <t>• [Não Aplicável] Não aplicável (não há produtos estéreis)</t>
        </is>
      </c>
      <c r="I65" s="155" t="n"/>
      <c r="J65" s="128" t="n"/>
      <c r="K65" s="22" t="n"/>
      <c r="L65" s="22" t="n"/>
      <c r="M65" s="22" t="n"/>
    </row>
    <row r="66" ht="20" customHeight="1" s="104">
      <c r="A66" s="24" t="n"/>
      <c r="B66" s="17" t="inlineStr">
        <is>
          <t>7.5.6</t>
        </is>
      </c>
      <c r="C66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D66" s="154" t="inlineStr">
        <is>
          <t>X</t>
        </is>
      </c>
      <c r="E66" s="154" t="n"/>
      <c r="F66" s="154" t="n"/>
      <c r="G66" s="154" t="n"/>
      <c r="H66" s="144" t="inlineStr">
        <is>
          <t>• [Conforme] PSQ.027.R2: Validação: Validação de Processos Produtivos</t>
        </is>
      </c>
      <c r="I66" s="155" t="n"/>
      <c r="J66" s="128" t="n"/>
      <c r="K66" s="22" t="n"/>
      <c r="L66" s="22" t="n"/>
      <c r="M66" s="22" t="n"/>
    </row>
    <row r="67" ht="20" customHeight="1" s="104">
      <c r="A67" s="24" t="n"/>
      <c r="B67" s="33" t="inlineStr">
        <is>
          <t>7.5.7</t>
        </is>
      </c>
      <c r="C67" s="25" t="inlineStr">
        <is>
          <t xml:space="preserve">A organização documenta procedimento para validação de processo de esterilização e barreira estéril? </t>
        </is>
      </c>
      <c r="D67" s="154" t="n"/>
      <c r="E67" s="154" t="n"/>
      <c r="F67" s="154" t="inlineStr">
        <is>
          <t>X</t>
        </is>
      </c>
      <c r="G67" s="154" t="n"/>
      <c r="H67" s="144" t="inlineStr">
        <is>
          <t>• [Não Aplicável] Não aplicável (não há esterilização)</t>
        </is>
      </c>
      <c r="I67" s="155" t="n"/>
      <c r="J67" s="128" t="n"/>
      <c r="K67" s="22" t="n"/>
      <c r="L67" s="22" t="n"/>
      <c r="M67" s="22" t="n"/>
    </row>
    <row r="68" ht="20" customHeight="1" s="104">
      <c r="A68" s="24" t="n"/>
      <c r="B68" s="17" t="inlineStr">
        <is>
          <t>7.5.8</t>
        </is>
      </c>
      <c r="C68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D68" s="154" t="inlineStr">
        <is>
          <t>X</t>
        </is>
      </c>
      <c r="E68" s="154" t="n"/>
      <c r="F68" s="154" t="n"/>
      <c r="G68" s="154" t="n"/>
      <c r="H68" s="144" t="inlineStr">
        <is>
          <t>• [Conforme] PSQ.026.R1: Identificação e Rastreabilidade</t>
        </is>
      </c>
      <c r="I68" s="155" t="n"/>
      <c r="J68" s="128" t="n"/>
      <c r="K68" s="22" t="n"/>
      <c r="L68" s="22" t="n"/>
      <c r="M68" s="22" t="n"/>
    </row>
    <row r="69" ht="20" customHeight="1" s="104">
      <c r="A69" s="24" t="n"/>
      <c r="B69" s="17" t="inlineStr">
        <is>
          <t>7.5.9.1</t>
        </is>
      </c>
      <c r="C69" s="25" t="inlineStr">
        <is>
          <t>A organização documenta procedimento de rastreabilidade dos produtos?</t>
        </is>
      </c>
      <c r="D69" s="154" t="inlineStr">
        <is>
          <t>X</t>
        </is>
      </c>
      <c r="E69" s="154" t="n"/>
      <c r="F69" s="154" t="n"/>
      <c r="G69" s="154" t="n"/>
      <c r="H69" s="144" t="inlineStr">
        <is>
          <t>• [Conforme] PSQ.026.R1: Identificação e Rastreabilidade: Rastreabilidade por Ordem de Serviço</t>
        </is>
      </c>
      <c r="I69" s="155" t="n"/>
      <c r="J69" s="128" t="n"/>
      <c r="K69" s="22" t="n"/>
      <c r="L69" s="22" t="n"/>
      <c r="M69" s="22" t="n"/>
    </row>
    <row r="70" ht="20" customHeight="1" s="104">
      <c r="A70" s="24" t="n"/>
      <c r="B70" s="33" t="inlineStr">
        <is>
          <t>7.5.9.2</t>
        </is>
      </c>
      <c r="C70" s="25" t="inlineStr">
        <is>
          <t>A organização mantem registros dos produtos de saúde implantáveis? Há exigência para que os distribuidores mantenham registros de rastreabilidade dos produtos?</t>
        </is>
      </c>
      <c r="D70" s="154" t="n"/>
      <c r="E70" s="154" t="n"/>
      <c r="F70" s="154" t="inlineStr">
        <is>
          <t>X</t>
        </is>
      </c>
      <c r="G70" s="154" t="n"/>
      <c r="H70" s="144" t="inlineStr">
        <is>
          <t>• [Não Aplicável] Não aplicável (dispositivos médicos não implantáveis)</t>
        </is>
      </c>
      <c r="I70" s="155" t="n"/>
      <c r="J70" s="128" t="n"/>
      <c r="K70" s="22" t="n"/>
      <c r="L70" s="22" t="n"/>
      <c r="M70" s="22" t="n"/>
    </row>
    <row r="71" ht="20" customHeight="1" s="104">
      <c r="A71" s="24" t="n"/>
      <c r="B71" s="17" t="inlineStr">
        <is>
          <t>7.5.10</t>
        </is>
      </c>
      <c r="C71" s="25" t="inlineStr">
        <is>
          <t>A organização identifica, verifica, protege e resguarda itens de propriedade do cliente como contratos, documentos e registros?Isso é comunicado ao cliente?</t>
        </is>
      </c>
      <c r="D71" s="154" t="inlineStr">
        <is>
          <t>X</t>
        </is>
      </c>
      <c r="E71" s="154" t="n"/>
      <c r="F71" s="154" t="n"/>
      <c r="G71" s="154" t="n"/>
      <c r="H71" s="144" t="inlineStr">
        <is>
          <t>• [Conforme] PSQ.018.R2: Realização de Produto: Controle de Propriedade do Cliente</t>
        </is>
      </c>
      <c r="I71" s="155" t="n"/>
      <c r="J71" s="128" t="n"/>
      <c r="K71" s="22" t="n"/>
      <c r="L71" s="22" t="n"/>
      <c r="M71" s="22" t="n"/>
    </row>
    <row r="72" ht="20" customHeight="1" s="104">
      <c r="A72" s="24" t="n"/>
      <c r="B72" s="17" t="inlineStr">
        <is>
          <t>7.5.11</t>
        </is>
      </c>
      <c r="C72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D72" s="154" t="inlineStr">
        <is>
          <t>X</t>
        </is>
      </c>
      <c r="E72" s="154" t="n"/>
      <c r="F72" s="154" t="n"/>
      <c r="G72" s="154" t="n"/>
      <c r="H72" s="144" t="inlineStr">
        <is>
          <t>• [Conforme] PSQ.019.R2: Preservação de Insumo e Produto</t>
        </is>
      </c>
      <c r="I72" s="155" t="n"/>
      <c r="J72" s="128" t="n"/>
      <c r="K72" s="22" t="n"/>
      <c r="L72" s="22" t="n"/>
      <c r="M72" s="22" t="n"/>
    </row>
    <row r="73" ht="20" customHeight="1" s="104">
      <c r="A73" s="24" t="n"/>
      <c r="B73" s="17" t="inlineStr">
        <is>
          <t>7.6</t>
        </is>
      </c>
      <c r="C73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D73" s="154" t="inlineStr">
        <is>
          <t>X</t>
        </is>
      </c>
      <c r="E73" s="154" t="n"/>
      <c r="F73" s="154" t="n"/>
      <c r="G73" s="154" t="n"/>
      <c r="H73" s="144" t="inlineStr">
        <is>
          <t>• [Conforme] PSQ.032.R7: Monitoramento de Equipamento de Medição: Calibração de Lensômetros e Paquímetros</t>
        </is>
      </c>
      <c r="I73" s="155" t="n"/>
      <c r="J73" s="128" t="n"/>
      <c r="K73" s="22" t="n"/>
      <c r="L73" s="22" t="n"/>
      <c r="M73" s="22" t="n"/>
    </row>
    <row r="74" ht="23.25" customHeight="1" s="104">
      <c r="A74" s="24" t="n"/>
      <c r="B74" s="136" t="inlineStr">
        <is>
          <t>MEDIÇÃO, ANÁLISE E MELHORIA</t>
        </is>
      </c>
      <c r="C74" s="127" t="n"/>
      <c r="D74" s="127" t="n"/>
      <c r="E74" s="127" t="n"/>
      <c r="F74" s="127" t="n"/>
      <c r="G74" s="127" t="n"/>
      <c r="H74" s="127" t="n"/>
      <c r="I74" s="127" t="n"/>
      <c r="J74" s="128" t="n"/>
      <c r="K74" s="15">
        <f>COUNTIF(D75:D89,"X")</f>
        <v/>
      </c>
      <c r="L74" s="15">
        <f>COUNTIF(E75:E89,"X")</f>
        <v/>
      </c>
      <c r="M74" s="15">
        <f>COUNTIF(G75:G89,"X")</f>
        <v/>
      </c>
    </row>
    <row r="75" ht="20" customHeight="1" s="104">
      <c r="A75" s="24" t="n"/>
      <c r="B75" s="17" t="inlineStr">
        <is>
          <t>8.1</t>
        </is>
      </c>
      <c r="C75" s="25" t="inlineStr">
        <is>
          <t>A organização planeja e implementa processos de monitoramento, medição, análise e melhoria que demonstrem e assegurem a eficácia dos produtos e SGQ?</t>
        </is>
      </c>
      <c r="D75" s="154" t="inlineStr">
        <is>
          <t>X</t>
        </is>
      </c>
      <c r="E75" s="154" t="n"/>
      <c r="F75" s="154" t="n"/>
      <c r="G75" s="154" t="n"/>
      <c r="H75" s="144" t="inlineStr">
        <is>
          <t>• [Conforme] PSQ.018.R2: Realização de Produto: Plano de Inspeção e Controle de Qualidade</t>
        </is>
      </c>
      <c r="I75" s="155" t="n"/>
      <c r="J75" s="128" t="n"/>
      <c r="K75" s="20">
        <f>(K74)/(K74+L74+M74)</f>
        <v/>
      </c>
      <c r="L75" s="20">
        <f>(L74)/(K74+L74+M74)</f>
        <v/>
      </c>
      <c r="M75" s="20">
        <f>(M74)/(K74+L74+M74)</f>
        <v/>
      </c>
    </row>
    <row r="76" ht="32" customHeight="1" s="104">
      <c r="A76" s="24" t="n"/>
      <c r="B76" s="17" t="inlineStr">
        <is>
          <t>8.2.1</t>
        </is>
      </c>
      <c r="C76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D76" s="154" t="inlineStr">
        <is>
          <t>X</t>
        </is>
      </c>
      <c r="E76" s="154" t="n"/>
      <c r="F76" s="154" t="n"/>
      <c r="G76" s="154" t="n"/>
      <c r="H76" s="144" t="inlineStr">
        <is>
          <t>• [Conforme] POP.1012.R1: Monitoramento de Realimentação do Cliente - Visolab
• [Conforme] Pesquisa Anual de Satisfação</t>
        </is>
      </c>
      <c r="I76" s="155" t="n"/>
      <c r="J76" s="128" t="n"/>
      <c r="K76" s="22" t="n"/>
      <c r="L76" s="22" t="n"/>
      <c r="M76" s="22" t="n"/>
    </row>
    <row r="77" ht="20" customHeight="1" s="104">
      <c r="A77" s="24" t="n"/>
      <c r="B77" s="17" t="inlineStr">
        <is>
          <t>8.2.2</t>
        </is>
      </c>
      <c r="C77" s="25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D77" s="154" t="inlineStr">
        <is>
          <t>X</t>
        </is>
      </c>
      <c r="E77" s="154" t="n"/>
      <c r="F77" s="154" t="n"/>
      <c r="G77" s="154" t="n"/>
      <c r="H77" s="144" t="inlineStr">
        <is>
          <t>• [Conforme] POP.1057.R0: Manual Operacional - Comunicação com o Cliente - Visolab</t>
        </is>
      </c>
      <c r="I77" s="155" t="n"/>
      <c r="J77" s="128" t="n"/>
      <c r="K77" s="22" t="n"/>
      <c r="L77" s="22" t="n"/>
      <c r="M77" s="22" t="n"/>
    </row>
    <row r="78" ht="48" customHeight="1" s="104">
      <c r="A78" s="24" t="n"/>
      <c r="B78" s="17" t="inlineStr">
        <is>
          <t>8.2.3</t>
        </is>
      </c>
      <c r="C78" s="25" t="inlineStr">
        <is>
          <t>A organização documenta procedimento para notificação às autoridades provenientes de ações relacionadas ao produto? Evento adverso, alterações importantes, recolhimento. Os registros são mantidos conforme item 4.2.5?</t>
        </is>
      </c>
      <c r="D78" s="154" t="inlineStr">
        <is>
          <t>X</t>
        </is>
      </c>
      <c r="E78" s="154" t="n"/>
      <c r="F78" s="154" t="n"/>
      <c r="G78" s="154" t="n"/>
      <c r="H78" s="144" t="inlineStr">
        <is>
          <t>• [Conforme] PSQ.022.R5: Não Conformidade - Ações Corretivas e Preventivas
• [Conforme] POP.1057.R0: Tratativa de Reclamações
• [Conforme] POP.1012.R1: Realimentação de Clientes</t>
        </is>
      </c>
      <c r="I78" s="156" t="n"/>
      <c r="J78" s="128" t="n"/>
      <c r="K78" s="22" t="n"/>
      <c r="L78" s="22" t="n"/>
      <c r="M78" s="22" t="n"/>
    </row>
    <row r="79" ht="20" customHeight="1" s="104">
      <c r="A79" s="24" t="n"/>
      <c r="B79" s="17" t="inlineStr">
        <is>
          <t>8.2.4</t>
        </is>
      </c>
      <c r="C79" s="25" t="inlineStr">
        <is>
          <t>A organização possui procedimento para auditoria interna? As autoridades são definidas? Os registros são mantidos? É realizado acompanhamento de atividades apontadas em outras auditorias?</t>
        </is>
      </c>
      <c r="D79" s="154" t="inlineStr">
        <is>
          <t>X</t>
        </is>
      </c>
      <c r="E79" s="154" t="n"/>
      <c r="F79" s="154" t="n"/>
      <c r="G79" s="154" t="n"/>
      <c r="H79" s="144" t="inlineStr">
        <is>
          <t>• [Conforme] PSQ.024.R3: Auditoria: FOR.140: Relatório de Auditoria Interna, FOR.123: Agenda, FOR.167: Cronograma, FOR.143: Check List</t>
        </is>
      </c>
      <c r="I79" s="155" t="n"/>
      <c r="J79" s="128" t="n"/>
      <c r="K79" s="22" t="n"/>
      <c r="L79" s="22" t="n"/>
      <c r="M79" s="22" t="n"/>
    </row>
    <row r="80" ht="20" customHeight="1" s="104">
      <c r="A80" s="24" t="n"/>
      <c r="B80" s="17" t="inlineStr">
        <is>
          <t>8.2.5</t>
        </is>
      </c>
      <c r="C80" s="25" t="inlineStr">
        <is>
          <t>É realizado monitoramento e medição dos processos do SGQ? Possui KPIs? Os resultados planejados que não forem alcançados, são realizadas correções e ações corretivas?</t>
        </is>
      </c>
      <c r="D80" s="154" t="inlineStr">
        <is>
          <t>X</t>
        </is>
      </c>
      <c r="E80" s="154" t="n"/>
      <c r="F80" s="154" t="n"/>
      <c r="G80" s="154" t="n"/>
      <c r="H80" s="144" t="inlineStr">
        <is>
          <t>• [Conforme] MAQ.002.R10: Manual da Qualidade - Monitoramento dos Objetivos da Qualidade</t>
        </is>
      </c>
      <c r="I80" s="155" t="n"/>
      <c r="J80" s="128" t="n"/>
      <c r="K80" s="22" t="n"/>
      <c r="L80" s="22" t="n"/>
      <c r="M80" s="22" t="n"/>
    </row>
    <row r="81" ht="20" customHeight="1" s="104">
      <c r="A81" s="24" t="n"/>
      <c r="B81" s="17" t="inlineStr">
        <is>
          <t>8.2.6</t>
        </is>
      </c>
      <c r="C81" s="25" t="inlineStr">
        <is>
          <t xml:space="preserve">A organização monitora características e requisitos do produto? É realizado registro dos responsáveis por liberação do produto para fim de rastreabilidade? </t>
        </is>
      </c>
      <c r="D81" s="154" t="inlineStr">
        <is>
          <t>X</t>
        </is>
      </c>
      <c r="E81" s="154" t="n"/>
      <c r="F81" s="154" t="n"/>
      <c r="G81" s="154" t="n"/>
      <c r="H81" s="144" t="inlineStr">
        <is>
          <t>• [Conforme] Inspeção Final de Montagem: FOR.089: Registro de Inspeção de Produtos Acabados</t>
        </is>
      </c>
      <c r="I81" s="155" t="n"/>
      <c r="J81" s="128" t="n"/>
      <c r="K81" s="22" t="n"/>
      <c r="L81" s="22" t="n"/>
      <c r="M81" s="22" t="n"/>
    </row>
    <row r="82" ht="20" customHeight="1" s="104">
      <c r="A82" s="24" t="n"/>
      <c r="B82" s="17" t="inlineStr">
        <is>
          <t>8.3.1</t>
        </is>
      </c>
      <c r="C82" s="25" t="inlineStr">
        <is>
          <t>A organização documenta procedimento para identificação, responsabilidades e tratativas de produtos não conforme? Assegura que produtos não conforme sejam controlados prevenindo seu uso ou entrega não intensional? Os registros são mantidos?</t>
        </is>
      </c>
      <c r="D82" s="154" t="inlineStr">
        <is>
          <t>X</t>
        </is>
      </c>
      <c r="E82" s="154" t="n"/>
      <c r="F82" s="154" t="n"/>
      <c r="G82" s="154" t="n"/>
      <c r="H82" s="144" t="inlineStr">
        <is>
          <t>• [Conforme] PSQ.022.R5: Não Conformidade - Ações Corretivas e Preventivas</t>
        </is>
      </c>
      <c r="I82" s="155" t="n"/>
      <c r="J82" s="128" t="n"/>
      <c r="K82" s="22" t="n"/>
      <c r="L82" s="22" t="n"/>
      <c r="M82" s="22" t="n"/>
    </row>
    <row r="83" ht="20" customHeight="1" s="104">
      <c r="A83" s="24" t="n"/>
      <c r="B83" s="17" t="inlineStr">
        <is>
          <t>8.3.2</t>
        </is>
      </c>
      <c r="C83" s="25" t="inlineStr">
        <is>
          <t>Para produto não conforme detectado antes da entrega, a organização assegura método para sanar a não conformidade liberando o produto para uso ou segregando-o quando seu uso não for possível?</t>
        </is>
      </c>
      <c r="D83" s="154" t="inlineStr">
        <is>
          <t>X</t>
        </is>
      </c>
      <c r="E83" s="154" t="n"/>
      <c r="F83" s="154" t="n"/>
      <c r="G83" s="154" t="n"/>
      <c r="H83" s="144" t="inlineStr">
        <is>
          <t>• [Conforme] PSQ.022.R5: Não Conformidade - Segregação e Identificação de Produtos NC</t>
        </is>
      </c>
      <c r="I83" s="155" t="n"/>
      <c r="J83" s="128" t="n"/>
      <c r="K83" s="22" t="n"/>
      <c r="L83" s="22" t="n"/>
      <c r="M83" s="22" t="n"/>
    </row>
    <row r="84" ht="20" customHeight="1" s="104">
      <c r="A84" s="24" t="n"/>
      <c r="B84" s="17" t="inlineStr">
        <is>
          <t>8.3.3</t>
        </is>
      </c>
      <c r="C84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D84" s="154" t="inlineStr">
        <is>
          <t>X</t>
        </is>
      </c>
      <c r="E84" s="154" t="n"/>
      <c r="F84" s="154" t="n"/>
      <c r="G84" s="154" t="n"/>
      <c r="H84" s="144" t="inlineStr">
        <is>
          <t>• [Conforme] PSQ.022.R5: Não Conformidade - Disposição de Produtos NC</t>
        </is>
      </c>
      <c r="I84" s="155" t="n"/>
      <c r="J84" s="128" t="n"/>
      <c r="K84" s="22" t="n"/>
      <c r="L84" s="22" t="n"/>
      <c r="M84" s="22" t="n"/>
    </row>
    <row r="85" ht="20" customHeight="1" s="104">
      <c r="A85" s="24" t="n"/>
      <c r="B85" s="17" t="inlineStr">
        <is>
          <t>8.3.4</t>
        </is>
      </c>
      <c r="C85" s="25" t="inlineStr">
        <is>
          <t>A organização executa retrabalho? São realizados de acordo com procedimentos documentados? Os produtos são verificados após  o retrabalho para assegurar que ele atenda critérios de aceitação e requisitos regulatórios aplicáveis?</t>
        </is>
      </c>
      <c r="D85" s="154" t="inlineStr">
        <is>
          <t>X</t>
        </is>
      </c>
      <c r="E85" s="154" t="n"/>
      <c r="F85" s="154" t="n"/>
      <c r="G85" s="154" t="n"/>
      <c r="H85" s="144" t="inlineStr">
        <is>
          <t>• [Conforme] PSQ.022.R5: Não Conformidade - Retrabalho e Reinspeção</t>
        </is>
      </c>
      <c r="I85" s="155" t="n"/>
      <c r="J85" s="128" t="n"/>
      <c r="K85" s="22" t="n"/>
      <c r="L85" s="22" t="n"/>
      <c r="M85" s="22" t="n"/>
    </row>
    <row r="86" ht="20" customHeight="1" s="104">
      <c r="A86" s="24" t="n"/>
      <c r="B86" s="17" t="inlineStr">
        <is>
          <t>8.4</t>
        </is>
      </c>
      <c r="C86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D86" s="154" t="inlineStr">
        <is>
          <t>X</t>
        </is>
      </c>
      <c r="E86" s="154" t="n"/>
      <c r="F86" s="154" t="n"/>
      <c r="G86" s="154" t="n"/>
      <c r="H86" s="144" t="inlineStr">
        <is>
          <t>• [Conforme] PSQ.025.R1: Revisão Gerencial - Análise de Dados e Indicadores de Processos</t>
        </is>
      </c>
      <c r="I86" s="155" t="n"/>
      <c r="J86" s="128" t="n"/>
      <c r="K86" s="22" t="n"/>
      <c r="L86" s="22" t="n"/>
      <c r="M86" s="22" t="n"/>
    </row>
    <row r="87" ht="32" customHeight="1" s="104">
      <c r="A87" s="24" t="n"/>
      <c r="B87" s="17" t="inlineStr">
        <is>
          <t>8.5.1</t>
        </is>
      </c>
      <c r="C87" s="25" t="inlineStr">
        <is>
          <t xml:space="preserve">A organização identifica e implementa ações para assegurar melhoria contínua do SGQ e outros processos relacionados ao produto? </t>
        </is>
      </c>
      <c r="D87" s="154" t="n"/>
      <c r="E87" s="154" t="inlineStr">
        <is>
          <t>X</t>
        </is>
      </c>
      <c r="F87" s="154" t="n"/>
      <c r="G87" s="154" t="n"/>
      <c r="H87" s="144" t="inlineStr">
        <is>
          <t>• [Não Conforme] KPI - SERVICE RATE: Meta &gt;=95% | Realizado: Junho: 91,17%
• [Não Conforme] KPI - LATE ORDERS: Meta &lt;=2,00% | Realizado: Junho: 4,32%</t>
        </is>
      </c>
      <c r="I87" s="144" t="inlineStr">
        <is>
          <t>Abertura de Plano de Ação para desvios de metas em Junho.</t>
        </is>
      </c>
      <c r="J87" s="128" t="n"/>
      <c r="K87" s="22" t="n"/>
      <c r="L87" s="22" t="n"/>
      <c r="M87" s="22" t="n"/>
    </row>
    <row r="88" ht="20" customHeight="1" s="104">
      <c r="A88" s="24" t="n"/>
      <c r="B88" s="17" t="inlineStr">
        <is>
          <t>8.5.2</t>
        </is>
      </c>
      <c r="C88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D88" s="154" t="inlineStr">
        <is>
          <t>X</t>
        </is>
      </c>
      <c r="E88" s="154" t="n"/>
      <c r="F88" s="154" t="n"/>
      <c r="G88" s="154" t="n"/>
      <c r="H88" s="144" t="inlineStr">
        <is>
          <t>• [Conforme] PSQ.022.R5: Não Conformidade - Ações Corretivas: FOR.062: Registro de Não Conformidade (RNC)</t>
        </is>
      </c>
      <c r="I88" s="155" t="n"/>
      <c r="J88" s="128" t="n"/>
      <c r="K88" s="22" t="n"/>
      <c r="L88" s="22" t="n"/>
      <c r="M88" s="22" t="n"/>
    </row>
    <row r="89" ht="20" customHeight="1" s="104">
      <c r="A89" s="24" t="n"/>
      <c r="B89" s="17" t="inlineStr">
        <is>
          <t>8.5.3</t>
        </is>
      </c>
      <c r="C89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D89" s="154" t="inlineStr">
        <is>
          <t>X</t>
        </is>
      </c>
      <c r="E89" s="154" t="n"/>
      <c r="F89" s="154" t="n"/>
      <c r="G89" s="154" t="n"/>
      <c r="H89" s="144" t="inlineStr">
        <is>
          <t>• [Conforme] PSQ.022.R5: Não Conformidade - Ações Preventivas e Gestão de Riscos (PSQ.028)</t>
        </is>
      </c>
      <c r="I89" s="155" t="n"/>
      <c r="J89" s="128" t="n"/>
      <c r="K89" s="22" t="n"/>
      <c r="L89" s="22" t="n"/>
      <c r="M89" s="22" t="n"/>
    </row>
    <row r="90" ht="15.75" customHeight="1" s="104">
      <c r="A90" s="5" t="n"/>
      <c r="B90" s="7" t="n"/>
      <c r="C90" s="38" t="inlineStr">
        <is>
          <t>C</t>
        </is>
      </c>
      <c r="D90" s="140">
        <f>COUNTIF(D14:D89,"X")</f>
        <v/>
      </c>
      <c r="E90" s="141">
        <f>D90/($D$93)</f>
        <v/>
      </c>
      <c r="F90" s="142" t="inlineStr">
        <is>
          <t>Itens Conformes</t>
        </is>
      </c>
      <c r="G90" s="143" t="n"/>
      <c r="H90" s="144" t="inlineStr">
        <is>
          <t>• [Conforme] PSQ.022.R5: Não Conformidade - Ações Corretivas e Preventivas: A organização deve realizar o acompanhamento de todas as soluções de problemas e oportunidades de melhorias criadas para que o sistema de qualidade esteja em constante melhoria dos seus processos. Neste sentido, é obrigatório inserir todos os registros relacionados no Controle Anual de Registros: Plano de Ação, RNC, 8D, Gestão de Mudança e Revisão Gerencial.
• [Conforme] POP.1057.R0: Manual Operacional - Comunicação com o Cliente - Visolab: 2. RECLAMAÇÕES: 
2.1 Recebimento de Reclamações 
2.2 Tratativa das Reclamações:
3.DEVOLUTIVAS PARA O CLIENTE:
As devolutivas aos clientes são enviadas de acordo com o canal utilizado pelo mesmo.
• [Conforme] POP.1012.R1: Monitoramento de Realimentação do Cliente - Visolab: 2. REGISTRO DAS RECLAMAÇÕES DE CLIENTES:
2.1 Registro de Realimentação de clientes através do atendimento
3. ACOMPANHAMENTO DE RETORNOS:
4. PESQUISA ANUAL DE SATISFAÇÃO</t>
        </is>
      </c>
      <c r="I90" s="145" t="n"/>
      <c r="K90" s="5" t="n"/>
      <c r="L90" s="5" t="n"/>
      <c r="M90" s="5" t="n"/>
    </row>
    <row r="91" ht="15.75" customHeight="1" s="104">
      <c r="A91" s="5" t="n"/>
      <c r="B91" s="7" t="n"/>
      <c r="C91" s="38" t="inlineStr">
        <is>
          <t>NC</t>
        </is>
      </c>
      <c r="D91" s="140">
        <f>COUNTIF(E14:E89,"X")</f>
        <v/>
      </c>
      <c r="E91" s="141">
        <f>D91/($D$93)</f>
        <v/>
      </c>
      <c r="F91" s="142" t="inlineStr">
        <is>
          <t>Itens Não Conformes</t>
        </is>
      </c>
      <c r="G91" s="143" t="n"/>
      <c r="H91" s="144" t="inlineStr">
        <is>
          <t>• [Conforme] PSQ.024.R3: Auditoria: FOR.140: Relatório de Auditoria Interna, 
FOR.123: Agenda de Auditoria, 
FOR.167: Cronograma de Auditoria, 
FOR.143: Formulário de Check List da Auditoria ISO 1348</t>
        </is>
      </c>
      <c r="I91" s="145" t="n"/>
      <c r="K91" s="5" t="n"/>
      <c r="L91" s="5" t="n"/>
      <c r="M91" s="5" t="n"/>
    </row>
    <row r="92" ht="15.75" customHeight="1" s="104">
      <c r="A92" s="5" t="n"/>
      <c r="B92" s="7" t="n"/>
      <c r="C92" s="38" t="inlineStr">
        <is>
          <t>OM</t>
        </is>
      </c>
      <c r="D92" s="140">
        <f>COUNTIF(G14:G89,"X")</f>
        <v/>
      </c>
      <c r="E92" s="141">
        <f>D92/($D$93)</f>
        <v/>
      </c>
      <c r="F92" s="142" t="inlineStr">
        <is>
          <t>Oportunidade de Melhoria</t>
        </is>
      </c>
      <c r="G92" s="143" t="n"/>
      <c r="H92" s="144" t="inlineStr">
        <is>
          <t>• [Conforme] Evidências / Documentos Registrados: MAQ.002.R10 - Manual da Qualidade:
- Objetivos da Qualidade</t>
        </is>
      </c>
      <c r="I92" s="145" t="n"/>
      <c r="K92" s="5" t="n"/>
      <c r="L92" s="5" t="n"/>
      <c r="M92" s="5" t="n"/>
    </row>
    <row r="93" ht="15.75" customHeight="1" s="104">
      <c r="A93" s="5" t="n"/>
      <c r="B93" s="7" t="n"/>
      <c r="C93" s="38" t="inlineStr">
        <is>
          <t>TOTAL</t>
        </is>
      </c>
      <c r="D93" s="140">
        <f>SUM(D90:D92)</f>
        <v/>
      </c>
      <c r="E93" s="141">
        <f>SUM(E90:E92)</f>
        <v/>
      </c>
      <c r="F93" s="142" t="inlineStr">
        <is>
          <t>TOTAL de Itens Auditados</t>
        </is>
      </c>
      <c r="G93" s="143" t="n"/>
      <c r="H93" s="144" t="inlineStr">
        <is>
          <t>• [Conforme] Evidências / Documentos Registrados: PSQ.018.R2 - Realização de Produto; 
PSQ.017.R3 - Controle de Documentos e Registros; 
PSQ.019.R2 - Preservação de Insumo e Produto; 
PSQ.022.R5 - Não Conformidade -Ações Corretivas e Preventivas; 
PSQ.023.R4 - Treinamentos; 
PSQ.024.R3 - Auditoria; 
PSQ.026.R1 - Identificação e Rastreabilidade; 
PSQ.027.R2 - Validação; 
PSQ.028.R5 - Gestão de Risco; 
PSQ.029.R3 - Gestão de Mudança; 
PSQ.031.R0 - Gerenciamento de Claim de Produtos e Serviços; 
PSQ.032.R7 - Monitoramento de Equipamento de Medição; 
PSQ.033.R2 - Manutenção; 
PSQ.025.R1 - Revisão Gerencial; 
POP.1002.R1 - Manual Operacional - Rastreabilidade de Pedidos Visolab</t>
        </is>
      </c>
      <c r="I93" s="145" t="n"/>
      <c r="K93" s="5" t="n"/>
      <c r="L93" s="5" t="n"/>
      <c r="M93" s="5" t="n"/>
    </row>
    <row r="94" ht="15.75" customHeight="1" s="104">
      <c r="A94" s="1" t="n"/>
      <c r="B94" s="42" t="n"/>
      <c r="C94" s="42" t="n"/>
      <c r="D94" s="2" t="n"/>
      <c r="E94" s="3" t="n"/>
      <c r="F94" s="2" t="n"/>
      <c r="G94" s="2" t="n"/>
      <c r="H94" s="42" t="n"/>
      <c r="I94" s="4" t="n"/>
      <c r="J94" s="4" t="n"/>
      <c r="K94" s="5" t="n"/>
      <c r="L94" s="5" t="n"/>
      <c r="M94" s="5" t="n"/>
    </row>
  </sheetData>
  <mergeCells count="88">
    <mergeCell ref="I81:J81"/>
    <mergeCell ref="I89:J89"/>
    <mergeCell ref="B13:J13"/>
    <mergeCell ref="I26:J26"/>
    <mergeCell ref="I16:J16"/>
    <mergeCell ref="I76:J76"/>
    <mergeCell ref="I71:J71"/>
    <mergeCell ref="I66:J66"/>
    <mergeCell ref="I58:J58"/>
    <mergeCell ref="I18:J18"/>
    <mergeCell ref="I42:J42"/>
    <mergeCell ref="I83:J83"/>
    <mergeCell ref="I52:J52"/>
    <mergeCell ref="I44:J44"/>
    <mergeCell ref="B25:J25"/>
    <mergeCell ref="I20:J20"/>
    <mergeCell ref="I69:J69"/>
    <mergeCell ref="I84:J84"/>
    <mergeCell ref="I30:J30"/>
    <mergeCell ref="B11:J11"/>
    <mergeCell ref="I77:J77"/>
    <mergeCell ref="I15:J15"/>
    <mergeCell ref="I46:J46"/>
    <mergeCell ref="I86:J86"/>
    <mergeCell ref="I80:J80"/>
    <mergeCell ref="I61:J61"/>
    <mergeCell ref="I70:J70"/>
    <mergeCell ref="I57:J57"/>
    <mergeCell ref="B37:J37"/>
    <mergeCell ref="I54:J54"/>
    <mergeCell ref="I32:J32"/>
    <mergeCell ref="I72:J72"/>
    <mergeCell ref="I41:J41"/>
    <mergeCell ref="I56:J56"/>
    <mergeCell ref="C9:J9"/>
    <mergeCell ref="I24:J24"/>
    <mergeCell ref="C2:J2"/>
    <mergeCell ref="I33:J33"/>
    <mergeCell ref="I17:J17"/>
    <mergeCell ref="I88:J88"/>
    <mergeCell ref="I82:J82"/>
    <mergeCell ref="C6:H6"/>
    <mergeCell ref="I35:J35"/>
    <mergeCell ref="I19:J19"/>
    <mergeCell ref="I59:J59"/>
    <mergeCell ref="B43:J43"/>
    <mergeCell ref="I60:J60"/>
    <mergeCell ref="I45:J45"/>
    <mergeCell ref="I47:J47"/>
    <mergeCell ref="I21:J21"/>
    <mergeCell ref="I87:J87"/>
    <mergeCell ref="I62:J62"/>
    <mergeCell ref="I23:J23"/>
    <mergeCell ref="B4:J4"/>
    <mergeCell ref="C8:J8"/>
    <mergeCell ref="I64:J64"/>
    <mergeCell ref="I79:J79"/>
    <mergeCell ref="I73:J73"/>
    <mergeCell ref="I51:J51"/>
    <mergeCell ref="C5:H5"/>
    <mergeCell ref="I63:J63"/>
    <mergeCell ref="I50:J50"/>
    <mergeCell ref="I65:J65"/>
    <mergeCell ref="I34:J34"/>
    <mergeCell ref="I49:J49"/>
    <mergeCell ref="I27:J27"/>
    <mergeCell ref="I36:J36"/>
    <mergeCell ref="I85:J85"/>
    <mergeCell ref="B10:J10"/>
    <mergeCell ref="I75:J75"/>
    <mergeCell ref="I53:J53"/>
    <mergeCell ref="I22:J22"/>
    <mergeCell ref="I28:J28"/>
    <mergeCell ref="B74:J74"/>
    <mergeCell ref="C7:H7"/>
    <mergeCell ref="I12:J12"/>
    <mergeCell ref="I68:J68"/>
    <mergeCell ref="I55:J55"/>
    <mergeCell ref="I67:J67"/>
    <mergeCell ref="I5:J5"/>
    <mergeCell ref="I39:J39"/>
    <mergeCell ref="I14:J14"/>
    <mergeCell ref="I48:J48"/>
    <mergeCell ref="I29:J29"/>
    <mergeCell ref="I38:J38"/>
    <mergeCell ref="I78:J78"/>
    <mergeCell ref="I31:J31"/>
    <mergeCell ref="I40:J40"/>
  </mergeCells>
  <pageMargins left="0.2000254000508001" right="0.1666878333756668" top="0.787401575" bottom="0.787401575" header="0" footer="0"/>
  <pageSetup orientation="landscape" paperSize="9" scale="68" fitToHeight="0"/>
  <rowBreaks count="10" manualBreakCount="10">
    <brk id="20" min="0" max="12" man="1"/>
    <brk id="29" min="0" max="12" man="1"/>
    <brk id="39" min="0" max="12" man="1"/>
    <brk id="46" min="0" max="12" man="1"/>
    <brk id="53" min="0" max="12" man="1"/>
    <brk id="58" min="0" max="16383" man="1"/>
    <brk id="64" min="0" max="16383" man="1"/>
    <brk id="69" min="0" max="12" man="1"/>
    <brk id="77" min="0" max="12" man="1"/>
    <brk id="84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G1001"/>
  <sheetViews>
    <sheetView showGridLines="0" view="pageBreakPreview" zoomScale="60" zoomScaleNormal="100" workbookViewId="0">
      <selection activeCell="C22" sqref="C22"/>
    </sheetView>
  </sheetViews>
  <sheetFormatPr baseColWidth="8" defaultColWidth="12.5546875" defaultRowHeight="15" customHeight="1"/>
  <cols>
    <col width="5.44140625" customWidth="1" style="104" min="1" max="1"/>
    <col width="67.33203125" customWidth="1" style="104" min="3" max="3"/>
    <col width="63.6640625" customWidth="1" style="104" min="4" max="4"/>
    <col width="76.44140625" customWidth="1" style="104" min="5" max="5"/>
    <col width="2.88671875" customWidth="1" style="104" min="6" max="6"/>
    <col width="76.6640625" customWidth="1" style="104" min="7" max="7"/>
  </cols>
  <sheetData>
    <row r="1" ht="13.2" customHeight="1" s="104">
      <c r="C1" s="43" t="n"/>
    </row>
    <row r="2" ht="13.2" customHeight="1" s="104">
      <c r="C2" s="43" t="n"/>
    </row>
    <row r="3" ht="27.75" customHeight="1" s="104">
      <c r="B3" s="14" t="inlineStr">
        <is>
          <t>EVIDÊNCIAS COM IMAGENS</t>
        </is>
      </c>
      <c r="C3" s="127" t="n"/>
      <c r="D3" s="127" t="n"/>
      <c r="E3" s="128" t="n"/>
    </row>
    <row r="4" ht="13.2" customHeight="1" s="104">
      <c r="B4" s="17" t="n"/>
      <c r="C4" s="43" t="n"/>
      <c r="D4" s="44" t="n"/>
      <c r="E4" s="44" t="n"/>
    </row>
    <row r="5" ht="13.2" customHeight="1" s="104">
      <c r="B5" s="31" t="n"/>
      <c r="C5" s="43" t="n"/>
    </row>
    <row r="6" ht="13.2" customHeight="1" s="104">
      <c r="B6" s="17" t="n"/>
      <c r="C6" s="43" t="n"/>
    </row>
    <row r="7" ht="13.2" customHeight="1" s="104">
      <c r="B7" s="29" t="n"/>
      <c r="C7" s="43" t="n"/>
    </row>
    <row r="8" ht="13.2" customHeight="1" s="104">
      <c r="B8" s="29" t="n"/>
      <c r="C8" s="43" t="n"/>
      <c r="D8" s="45" t="n"/>
      <c r="E8" s="45" t="n"/>
      <c r="F8" s="44" t="n"/>
      <c r="G8" s="44" t="n"/>
    </row>
    <row r="9" ht="13.2" customHeight="1" s="104">
      <c r="B9" s="29" t="n"/>
      <c r="C9" s="43" t="n"/>
    </row>
    <row r="10" ht="13.2" customHeight="1" s="104">
      <c r="B10" s="17" t="n"/>
      <c r="C10" s="43" t="n"/>
    </row>
    <row r="11" ht="13.2" customHeight="1" s="104">
      <c r="B11" s="29" t="n"/>
      <c r="C11" s="43" t="n"/>
    </row>
    <row r="12" ht="13.2" customHeight="1" s="104">
      <c r="B12" s="29" t="n"/>
      <c r="C12" s="43" t="n"/>
    </row>
    <row r="13" ht="13.2" customHeight="1" s="104">
      <c r="B13" s="29" t="n"/>
      <c r="C13" s="43" t="n"/>
    </row>
    <row r="14" ht="13.2" customHeight="1" s="104">
      <c r="B14" s="29" t="n"/>
      <c r="C14" s="43" t="n"/>
      <c r="D14" s="44" t="n"/>
      <c r="E14" s="44" t="n"/>
    </row>
    <row r="15" ht="13.2" customHeight="1" s="104">
      <c r="B15" s="29" t="n"/>
      <c r="C15" s="43" t="n"/>
      <c r="D15" s="45" t="n"/>
    </row>
    <row r="16" ht="13.2" customHeight="1" s="104">
      <c r="B16" s="29" t="n"/>
      <c r="C16" s="43" t="n"/>
    </row>
    <row r="17" ht="13.2" customHeight="1" s="104">
      <c r="B17" s="29" t="n"/>
      <c r="C17" s="43" t="n"/>
      <c r="D17" s="45" t="n"/>
    </row>
    <row r="18" ht="13.2" customHeight="1" s="104">
      <c r="C18" s="43" t="n"/>
    </row>
    <row r="19" ht="13.2" customHeight="1" s="104">
      <c r="C19" s="43" t="n"/>
    </row>
    <row r="20" ht="13.2" customHeight="1" s="104">
      <c r="C20" s="43" t="n"/>
    </row>
    <row r="21" ht="13.2" customHeight="1" s="104">
      <c r="C21" s="43" t="n"/>
    </row>
    <row r="22" ht="13.2" customHeight="1" s="104">
      <c r="C22" s="43" t="n"/>
    </row>
    <row r="23" ht="13.2" customHeight="1" s="104">
      <c r="C23" s="43" t="n"/>
    </row>
    <row r="24" ht="13.2" customHeight="1" s="104">
      <c r="C24" s="43" t="n"/>
    </row>
    <row r="25" ht="13.2" customHeight="1" s="104">
      <c r="C25" s="43" t="n"/>
    </row>
    <row r="26" ht="13.2" customHeight="1" s="104">
      <c r="C26" s="43" t="n"/>
    </row>
    <row r="27" ht="13.2" customHeight="1" s="104">
      <c r="C27" s="43" t="n"/>
    </row>
    <row r="28" ht="13.2" customHeight="1" s="104">
      <c r="C28" s="43" t="n"/>
    </row>
    <row r="29" ht="13.2" customHeight="1" s="104">
      <c r="C29" s="43" t="n"/>
    </row>
    <row r="30" ht="13.2" customHeight="1" s="104">
      <c r="C30" s="43" t="n"/>
    </row>
    <row r="31" ht="13.2" customHeight="1" s="104">
      <c r="C31" s="43" t="n"/>
    </row>
    <row r="32" ht="13.2" customHeight="1" s="104">
      <c r="C32" s="43" t="n"/>
    </row>
    <row r="33" ht="13.2" customHeight="1" s="104">
      <c r="C33" s="43" t="n"/>
    </row>
    <row r="34" ht="13.2" customHeight="1" s="104">
      <c r="C34" s="43" t="n"/>
    </row>
    <row r="35" ht="13.2" customHeight="1" s="104">
      <c r="C35" s="43" t="n"/>
    </row>
    <row r="36" ht="13.2" customHeight="1" s="104">
      <c r="C36" s="43" t="n"/>
    </row>
    <row r="37" ht="13.2" customHeight="1" s="104">
      <c r="C37" s="43" t="n"/>
    </row>
    <row r="38" ht="13.2" customHeight="1" s="104">
      <c r="C38" s="43" t="n"/>
    </row>
    <row r="39" ht="13.2" customHeight="1" s="104">
      <c r="C39" s="43" t="n"/>
    </row>
    <row r="40" ht="13.2" customHeight="1" s="104">
      <c r="C40" s="43" t="n"/>
    </row>
    <row r="41" ht="13.2" customHeight="1" s="104">
      <c r="C41" s="43" t="n"/>
    </row>
    <row r="42" ht="13.2" customHeight="1" s="104">
      <c r="C42" s="43" t="n"/>
    </row>
    <row r="43" ht="13.2" customHeight="1" s="104">
      <c r="C43" s="43" t="n"/>
    </row>
    <row r="44" ht="13.2" customHeight="1" s="104">
      <c r="C44" s="43" t="n"/>
    </row>
    <row r="45" ht="13.2" customHeight="1" s="104">
      <c r="C45" s="43" t="n"/>
    </row>
    <row r="46" ht="13.2" customHeight="1" s="104">
      <c r="C46" s="43" t="n"/>
    </row>
    <row r="47" ht="13.2" customHeight="1" s="104">
      <c r="C47" s="43" t="n"/>
    </row>
    <row r="48" ht="13.2" customHeight="1" s="104">
      <c r="C48" s="43" t="n"/>
    </row>
    <row r="49" ht="13.2" customHeight="1" s="104">
      <c r="C49" s="43" t="n"/>
    </row>
    <row r="50" ht="13.2" customHeight="1" s="104">
      <c r="C50" s="43" t="n"/>
    </row>
    <row r="51" ht="13.2" customHeight="1" s="104">
      <c r="C51" s="43" t="n"/>
    </row>
    <row r="52" ht="13.2" customHeight="1" s="104">
      <c r="C52" s="43" t="n"/>
    </row>
    <row r="53" ht="13.2" customHeight="1" s="104">
      <c r="C53" s="43" t="n"/>
    </row>
    <row r="54" ht="13.2" customHeight="1" s="104">
      <c r="C54" s="43" t="n"/>
    </row>
    <row r="55" ht="13.2" customHeight="1" s="104">
      <c r="C55" s="43" t="n"/>
    </row>
    <row r="56" ht="13.2" customHeight="1" s="104">
      <c r="C56" s="43" t="n"/>
    </row>
    <row r="57" ht="13.2" customHeight="1" s="104">
      <c r="C57" s="43" t="n"/>
    </row>
    <row r="58" ht="13.2" customHeight="1" s="104">
      <c r="C58" s="43" t="n"/>
    </row>
    <row r="59" ht="13.2" customHeight="1" s="104">
      <c r="C59" s="43" t="n"/>
    </row>
    <row r="60" ht="13.2" customHeight="1" s="104">
      <c r="C60" s="43" t="n"/>
    </row>
    <row r="61" ht="13.2" customHeight="1" s="104">
      <c r="C61" s="43" t="n"/>
    </row>
    <row r="62" ht="13.2" customHeight="1" s="104">
      <c r="C62" s="43" t="n"/>
    </row>
    <row r="63" ht="13.2" customHeight="1" s="104">
      <c r="C63" s="43" t="n"/>
    </row>
    <row r="64" ht="13.2" customHeight="1" s="104">
      <c r="C64" s="43" t="n"/>
    </row>
    <row r="65" ht="13.2" customHeight="1" s="104">
      <c r="C65" s="43" t="n"/>
    </row>
    <row r="66" ht="13.2" customHeight="1" s="104">
      <c r="C66" s="43" t="n"/>
    </row>
    <row r="67" ht="13.2" customHeight="1" s="104">
      <c r="C67" s="43" t="n"/>
    </row>
    <row r="68" ht="13.2" customHeight="1" s="104">
      <c r="C68" s="43" t="n"/>
    </row>
    <row r="69" ht="13.2" customHeight="1" s="104">
      <c r="C69" s="43" t="n"/>
    </row>
    <row r="70" ht="13.2" customHeight="1" s="104">
      <c r="C70" s="43" t="n"/>
    </row>
    <row r="71" ht="13.2" customHeight="1" s="104">
      <c r="C71" s="43" t="n"/>
    </row>
    <row r="72" ht="13.2" customHeight="1" s="104">
      <c r="C72" s="43" t="n"/>
    </row>
    <row r="73" ht="13.2" customHeight="1" s="104">
      <c r="C73" s="43" t="n"/>
    </row>
    <row r="74" ht="13.2" customHeight="1" s="104">
      <c r="C74" s="43" t="n"/>
    </row>
    <row r="75" ht="13.2" customHeight="1" s="104">
      <c r="C75" s="43" t="n"/>
    </row>
    <row r="76" ht="13.2" customHeight="1" s="104">
      <c r="C76" s="43" t="n"/>
    </row>
    <row r="77" ht="13.2" customHeight="1" s="104">
      <c r="C77" s="43" t="n"/>
    </row>
    <row r="78" ht="13.2" customHeight="1" s="104">
      <c r="C78" s="43" t="n"/>
    </row>
    <row r="79" ht="13.2" customHeight="1" s="104">
      <c r="C79" s="43" t="n"/>
    </row>
    <row r="80" ht="13.2" customHeight="1" s="104">
      <c r="C80" s="43" t="n"/>
    </row>
    <row r="81" ht="13.2" customHeight="1" s="104">
      <c r="C81" s="43" t="n"/>
    </row>
    <row r="82" ht="13.2" customHeight="1" s="104">
      <c r="C82" s="43" t="n"/>
    </row>
    <row r="83" ht="13.2" customHeight="1" s="104">
      <c r="C83" s="43" t="n"/>
    </row>
    <row r="84" ht="13.2" customHeight="1" s="104">
      <c r="C84" s="43" t="n"/>
    </row>
    <row r="85" ht="13.2" customHeight="1" s="104">
      <c r="C85" s="43" t="n"/>
    </row>
    <row r="86" ht="13.2" customHeight="1" s="104">
      <c r="C86" s="43" t="n"/>
    </row>
    <row r="87" ht="13.2" customHeight="1" s="104">
      <c r="C87" s="43" t="n"/>
    </row>
    <row r="88" ht="13.2" customHeight="1" s="104">
      <c r="C88" s="43" t="n"/>
    </row>
    <row r="89" ht="13.2" customHeight="1" s="104">
      <c r="C89" s="43" t="n"/>
    </row>
    <row r="90" ht="13.2" customHeight="1" s="104">
      <c r="C90" s="43" t="n"/>
    </row>
    <row r="91" ht="13.2" customHeight="1" s="104">
      <c r="C91" s="43" t="n"/>
    </row>
    <row r="92" ht="13.2" customHeight="1" s="104">
      <c r="C92" s="43" t="n"/>
    </row>
    <row r="93" ht="13.2" customHeight="1" s="104">
      <c r="C93" s="43" t="n"/>
    </row>
    <row r="94" ht="13.2" customHeight="1" s="104">
      <c r="C94" s="43" t="n"/>
    </row>
    <row r="95" ht="13.2" customHeight="1" s="104">
      <c r="C95" s="43" t="n"/>
    </row>
    <row r="96" ht="13.2" customHeight="1" s="104">
      <c r="C96" s="43" t="n"/>
    </row>
    <row r="97" ht="13.2" customHeight="1" s="104">
      <c r="C97" s="43" t="n"/>
    </row>
    <row r="98" ht="13.2" customHeight="1" s="104">
      <c r="C98" s="43" t="n"/>
    </row>
    <row r="99" ht="13.2" customHeight="1" s="104">
      <c r="C99" s="43" t="n"/>
    </row>
    <row r="100" ht="13.2" customHeight="1" s="104">
      <c r="C100" s="43" t="n"/>
    </row>
    <row r="101" ht="13.2" customHeight="1" s="104">
      <c r="C101" s="43" t="n"/>
    </row>
    <row r="102" ht="13.2" customHeight="1" s="104">
      <c r="C102" s="43" t="n"/>
    </row>
    <row r="103" ht="13.2" customHeight="1" s="104">
      <c r="C103" s="43" t="n"/>
    </row>
    <row r="104" ht="13.2" customHeight="1" s="104">
      <c r="C104" s="43" t="n"/>
    </row>
    <row r="105" ht="13.2" customHeight="1" s="104">
      <c r="C105" s="43" t="n"/>
    </row>
    <row r="106" ht="13.2" customHeight="1" s="104">
      <c r="C106" s="43" t="n"/>
    </row>
    <row r="107" ht="13.2" customHeight="1" s="104">
      <c r="C107" s="43" t="n"/>
    </row>
    <row r="108" ht="13.2" customHeight="1" s="104">
      <c r="C108" s="43" t="n"/>
    </row>
    <row r="109" ht="13.2" customHeight="1" s="104">
      <c r="C109" s="43" t="n"/>
    </row>
    <row r="110" ht="13.2" customHeight="1" s="104">
      <c r="C110" s="43" t="n"/>
    </row>
    <row r="111" ht="13.2" customHeight="1" s="104">
      <c r="C111" s="43" t="n"/>
    </row>
    <row r="112" ht="13.2" customHeight="1" s="104">
      <c r="C112" s="43" t="n"/>
    </row>
    <row r="113" ht="13.2" customHeight="1" s="104">
      <c r="C113" s="43" t="n"/>
    </row>
    <row r="114" ht="13.2" customHeight="1" s="104">
      <c r="C114" s="43" t="n"/>
    </row>
    <row r="115" ht="13.2" customHeight="1" s="104">
      <c r="C115" s="43" t="n"/>
    </row>
    <row r="116" ht="13.2" customHeight="1" s="104">
      <c r="C116" s="43" t="n"/>
    </row>
    <row r="117" ht="13.2" customHeight="1" s="104">
      <c r="C117" s="43" t="n"/>
    </row>
    <row r="118" ht="13.2" customHeight="1" s="104">
      <c r="C118" s="43" t="n"/>
    </row>
    <row r="119" ht="13.2" customHeight="1" s="104">
      <c r="C119" s="43" t="n"/>
    </row>
    <row r="120" ht="13.2" customHeight="1" s="104">
      <c r="C120" s="43" t="n"/>
    </row>
    <row r="121" ht="13.2" customHeight="1" s="104">
      <c r="C121" s="43" t="n"/>
    </row>
    <row r="122" ht="13.2" customHeight="1" s="104">
      <c r="C122" s="43" t="n"/>
    </row>
    <row r="123" ht="13.2" customHeight="1" s="104">
      <c r="C123" s="43" t="n"/>
    </row>
    <row r="124" ht="13.2" customHeight="1" s="104">
      <c r="C124" s="43" t="n"/>
    </row>
    <row r="125" ht="13.2" customHeight="1" s="104">
      <c r="C125" s="43" t="n"/>
    </row>
    <row r="126" ht="13.2" customHeight="1" s="104">
      <c r="C126" s="43" t="n"/>
    </row>
    <row r="127" ht="13.2" customHeight="1" s="104">
      <c r="C127" s="43" t="n"/>
    </row>
    <row r="128" ht="13.2" customHeight="1" s="104">
      <c r="C128" s="43" t="n"/>
    </row>
    <row r="129" ht="13.2" customHeight="1" s="104">
      <c r="C129" s="43" t="n"/>
    </row>
    <row r="130" ht="13.2" customHeight="1" s="104">
      <c r="C130" s="43" t="n"/>
    </row>
    <row r="131" ht="13.2" customHeight="1" s="104">
      <c r="C131" s="43" t="n"/>
    </row>
    <row r="132" ht="13.2" customHeight="1" s="104">
      <c r="C132" s="43" t="n"/>
    </row>
    <row r="133" ht="13.2" customHeight="1" s="104">
      <c r="C133" s="43" t="n"/>
    </row>
    <row r="134" ht="13.2" customHeight="1" s="104">
      <c r="C134" s="43" t="n"/>
    </row>
    <row r="135" ht="13.2" customHeight="1" s="104">
      <c r="C135" s="43" t="n"/>
    </row>
    <row r="136" ht="13.2" customHeight="1" s="104">
      <c r="C136" s="43" t="n"/>
    </row>
    <row r="137" ht="13.2" customHeight="1" s="104">
      <c r="C137" s="43" t="n"/>
    </row>
    <row r="138" ht="13.2" customHeight="1" s="104">
      <c r="C138" s="43" t="n"/>
    </row>
    <row r="139" ht="13.2" customHeight="1" s="104">
      <c r="C139" s="43" t="n"/>
    </row>
    <row r="140" ht="13.2" customHeight="1" s="104">
      <c r="C140" s="43" t="n"/>
    </row>
    <row r="141" ht="13.2" customHeight="1" s="104">
      <c r="C141" s="43" t="n"/>
    </row>
    <row r="142" ht="13.2" customHeight="1" s="104">
      <c r="C142" s="43" t="n"/>
    </row>
    <row r="143" ht="13.2" customHeight="1" s="104">
      <c r="C143" s="43" t="n"/>
    </row>
    <row r="144" ht="13.2" customHeight="1" s="104">
      <c r="C144" s="43" t="n"/>
    </row>
    <row r="145" ht="13.2" customHeight="1" s="104">
      <c r="C145" s="43" t="n"/>
    </row>
    <row r="146" ht="13.2" customHeight="1" s="104">
      <c r="C146" s="43" t="n"/>
    </row>
    <row r="147" ht="13.2" customHeight="1" s="104">
      <c r="C147" s="43" t="n"/>
    </row>
    <row r="148" ht="13.2" customHeight="1" s="104">
      <c r="C148" s="43" t="n"/>
    </row>
    <row r="149" ht="13.2" customHeight="1" s="104">
      <c r="C149" s="43" t="n"/>
    </row>
    <row r="150" ht="13.2" customHeight="1" s="104">
      <c r="C150" s="43" t="n"/>
    </row>
    <row r="151" ht="13.2" customHeight="1" s="104">
      <c r="C151" s="43" t="n"/>
    </row>
    <row r="152" ht="13.2" customHeight="1" s="104">
      <c r="C152" s="43" t="n"/>
    </row>
    <row r="153" ht="13.2" customHeight="1" s="104">
      <c r="C153" s="43" t="n"/>
    </row>
    <row r="154" ht="13.2" customHeight="1" s="104">
      <c r="C154" s="43" t="n"/>
    </row>
    <row r="155" ht="13.2" customHeight="1" s="104">
      <c r="C155" s="43" t="n"/>
    </row>
    <row r="156" ht="13.2" customHeight="1" s="104">
      <c r="C156" s="43" t="n"/>
    </row>
    <row r="157" ht="13.2" customHeight="1" s="104">
      <c r="C157" s="43" t="n"/>
    </row>
    <row r="158" ht="13.2" customHeight="1" s="104">
      <c r="C158" s="43" t="n"/>
    </row>
    <row r="159" ht="13.2" customHeight="1" s="104">
      <c r="C159" s="43" t="n"/>
    </row>
    <row r="160" ht="13.2" customHeight="1" s="104">
      <c r="C160" s="43" t="n"/>
    </row>
    <row r="161" ht="13.2" customHeight="1" s="104">
      <c r="C161" s="43" t="n"/>
    </row>
    <row r="162" ht="13.2" customHeight="1" s="104">
      <c r="C162" s="43" t="n"/>
    </row>
    <row r="163" ht="13.2" customHeight="1" s="104">
      <c r="C163" s="43" t="n"/>
    </row>
    <row r="164" ht="13.2" customHeight="1" s="104">
      <c r="C164" s="43" t="n"/>
    </row>
    <row r="165" ht="13.2" customHeight="1" s="104">
      <c r="C165" s="43" t="n"/>
    </row>
    <row r="166" ht="13.2" customHeight="1" s="104">
      <c r="C166" s="43" t="n"/>
    </row>
    <row r="167" ht="13.2" customHeight="1" s="104">
      <c r="C167" s="43" t="n"/>
    </row>
    <row r="168" ht="13.2" customHeight="1" s="104">
      <c r="C168" s="43" t="n"/>
    </row>
    <row r="169" ht="13.2" customHeight="1" s="104">
      <c r="C169" s="43" t="n"/>
    </row>
    <row r="170" ht="13.2" customHeight="1" s="104">
      <c r="C170" s="43" t="n"/>
    </row>
    <row r="171" ht="13.2" customHeight="1" s="104">
      <c r="C171" s="43" t="n"/>
    </row>
    <row r="172" ht="13.2" customHeight="1" s="104">
      <c r="C172" s="43" t="n"/>
    </row>
    <row r="173" ht="13.2" customHeight="1" s="104">
      <c r="C173" s="43" t="n"/>
    </row>
    <row r="174" ht="13.2" customHeight="1" s="104">
      <c r="C174" s="43" t="n"/>
    </row>
    <row r="175" ht="13.2" customHeight="1" s="104">
      <c r="C175" s="43" t="n"/>
    </row>
    <row r="176" ht="13.2" customHeight="1" s="104">
      <c r="C176" s="43" t="n"/>
    </row>
    <row r="177" ht="13.2" customHeight="1" s="104">
      <c r="C177" s="43" t="n"/>
    </row>
    <row r="178" ht="13.2" customHeight="1" s="104">
      <c r="C178" s="43" t="n"/>
    </row>
    <row r="179" ht="13.2" customHeight="1" s="104">
      <c r="C179" s="43" t="n"/>
    </row>
    <row r="180" ht="13.2" customHeight="1" s="104">
      <c r="C180" s="43" t="n"/>
    </row>
    <row r="181" ht="13.2" customHeight="1" s="104">
      <c r="C181" s="43" t="n"/>
    </row>
    <row r="182" ht="13.2" customHeight="1" s="104">
      <c r="C182" s="43" t="n"/>
    </row>
    <row r="183" ht="13.2" customHeight="1" s="104">
      <c r="C183" s="43" t="n"/>
    </row>
    <row r="184" ht="13.2" customHeight="1" s="104">
      <c r="C184" s="43" t="n"/>
    </row>
    <row r="185" ht="13.2" customHeight="1" s="104">
      <c r="C185" s="43" t="n"/>
    </row>
    <row r="186" ht="13.2" customHeight="1" s="104">
      <c r="C186" s="43" t="n"/>
    </row>
    <row r="187" ht="13.2" customHeight="1" s="104">
      <c r="C187" s="43" t="n"/>
    </row>
    <row r="188" ht="13.2" customHeight="1" s="104">
      <c r="C188" s="43" t="n"/>
    </row>
    <row r="189" ht="13.2" customHeight="1" s="104">
      <c r="C189" s="43" t="n"/>
    </row>
    <row r="190" ht="13.2" customHeight="1" s="104">
      <c r="C190" s="43" t="n"/>
    </row>
    <row r="191" ht="13.2" customHeight="1" s="104">
      <c r="C191" s="43" t="n"/>
    </row>
    <row r="192" ht="13.2" customHeight="1" s="104">
      <c r="C192" s="43" t="n"/>
    </row>
    <row r="193" ht="13.2" customHeight="1" s="104">
      <c r="C193" s="43" t="n"/>
    </row>
    <row r="194" ht="13.2" customHeight="1" s="104">
      <c r="C194" s="43" t="n"/>
    </row>
    <row r="195" ht="13.2" customHeight="1" s="104">
      <c r="C195" s="43" t="n"/>
    </row>
    <row r="196" ht="13.2" customHeight="1" s="104">
      <c r="C196" s="43" t="n"/>
    </row>
    <row r="197" ht="13.2" customHeight="1" s="104">
      <c r="C197" s="43" t="n"/>
    </row>
    <row r="198" ht="13.2" customHeight="1" s="104">
      <c r="C198" s="43" t="n"/>
    </row>
    <row r="199" ht="13.2" customHeight="1" s="104">
      <c r="C199" s="43" t="n"/>
    </row>
    <row r="200" ht="13.2" customHeight="1" s="104">
      <c r="C200" s="43" t="n"/>
    </row>
    <row r="201" ht="13.2" customHeight="1" s="104">
      <c r="C201" s="43" t="n"/>
    </row>
    <row r="202" ht="13.2" customHeight="1" s="104">
      <c r="C202" s="43" t="n"/>
    </row>
    <row r="203" ht="13.2" customHeight="1" s="104">
      <c r="C203" s="43" t="n"/>
    </row>
    <row r="204" ht="13.2" customHeight="1" s="104">
      <c r="C204" s="43" t="n"/>
    </row>
    <row r="205" ht="13.2" customHeight="1" s="104">
      <c r="C205" s="43" t="n"/>
    </row>
    <row r="206" ht="13.2" customHeight="1" s="104">
      <c r="C206" s="43" t="n"/>
    </row>
    <row r="207" ht="13.2" customHeight="1" s="104">
      <c r="C207" s="43" t="n"/>
    </row>
    <row r="208" ht="13.2" customHeight="1" s="104">
      <c r="C208" s="43" t="n"/>
    </row>
    <row r="209" ht="13.2" customHeight="1" s="104">
      <c r="C209" s="43" t="n"/>
    </row>
    <row r="210" ht="13.2" customHeight="1" s="104">
      <c r="C210" s="43" t="n"/>
    </row>
    <row r="211" ht="13.2" customHeight="1" s="104">
      <c r="C211" s="43" t="n"/>
    </row>
    <row r="212" ht="13.2" customHeight="1" s="104">
      <c r="C212" s="43" t="n"/>
    </row>
    <row r="213" ht="13.2" customHeight="1" s="104">
      <c r="C213" s="43" t="n"/>
    </row>
    <row r="214" ht="13.2" customHeight="1" s="104">
      <c r="C214" s="43" t="n"/>
    </row>
    <row r="215" ht="13.2" customHeight="1" s="104">
      <c r="C215" s="43" t="n"/>
    </row>
    <row r="216" ht="13.2" customHeight="1" s="104">
      <c r="C216" s="43" t="n"/>
    </row>
    <row r="217" ht="13.2" customHeight="1" s="104">
      <c r="C217" s="43" t="n"/>
    </row>
    <row r="218" ht="13.2" customHeight="1" s="104">
      <c r="C218" s="43" t="n"/>
    </row>
    <row r="219" ht="13.2" customHeight="1" s="104">
      <c r="C219" s="43" t="n"/>
    </row>
    <row r="220" ht="13.2" customHeight="1" s="104">
      <c r="C220" s="43" t="n"/>
    </row>
    <row r="221" ht="13.2" customHeight="1" s="104">
      <c r="C221" s="43" t="n"/>
    </row>
    <row r="222" ht="13.2" customHeight="1" s="104">
      <c r="C222" s="43" t="n"/>
    </row>
    <row r="223" ht="13.2" customHeight="1" s="104">
      <c r="C223" s="43" t="n"/>
    </row>
    <row r="224" ht="13.2" customHeight="1" s="104">
      <c r="C224" s="43" t="n"/>
    </row>
    <row r="225" ht="13.2" customHeight="1" s="104">
      <c r="C225" s="43" t="n"/>
    </row>
    <row r="226" ht="13.2" customHeight="1" s="104">
      <c r="C226" s="43" t="n"/>
    </row>
    <row r="227" ht="13.2" customHeight="1" s="104">
      <c r="C227" s="43" t="n"/>
    </row>
    <row r="228" ht="13.2" customHeight="1" s="104">
      <c r="C228" s="43" t="n"/>
    </row>
    <row r="229" ht="13.2" customHeight="1" s="104">
      <c r="C229" s="43" t="n"/>
    </row>
    <row r="230" ht="13.2" customHeight="1" s="104">
      <c r="C230" s="43" t="n"/>
    </row>
    <row r="231" ht="13.2" customHeight="1" s="104">
      <c r="C231" s="43" t="n"/>
    </row>
    <row r="232" ht="13.2" customHeight="1" s="104">
      <c r="C232" s="43" t="n"/>
    </row>
    <row r="233" ht="13.2" customHeight="1" s="104">
      <c r="C233" s="43" t="n"/>
    </row>
    <row r="234" ht="13.2" customHeight="1" s="104">
      <c r="C234" s="43" t="n"/>
    </row>
    <row r="235" ht="13.2" customHeight="1" s="104">
      <c r="C235" s="43" t="n"/>
    </row>
    <row r="236" ht="13.2" customHeight="1" s="104">
      <c r="C236" s="43" t="n"/>
    </row>
    <row r="237" ht="13.2" customHeight="1" s="104">
      <c r="C237" s="43" t="n"/>
    </row>
    <row r="238" ht="13.2" customHeight="1" s="104">
      <c r="C238" s="43" t="n"/>
    </row>
    <row r="239" ht="13.2" customHeight="1" s="104">
      <c r="C239" s="43" t="n"/>
    </row>
    <row r="240" ht="13.2" customHeight="1" s="104">
      <c r="C240" s="43" t="n"/>
    </row>
    <row r="241" ht="13.2" customHeight="1" s="104">
      <c r="C241" s="43" t="n"/>
    </row>
    <row r="242" ht="13.2" customHeight="1" s="104">
      <c r="C242" s="43" t="n"/>
    </row>
    <row r="243" ht="13.2" customHeight="1" s="104">
      <c r="C243" s="43" t="n"/>
    </row>
    <row r="244" ht="13.2" customHeight="1" s="104">
      <c r="C244" s="43" t="n"/>
    </row>
    <row r="245" ht="13.2" customHeight="1" s="104">
      <c r="C245" s="43" t="n"/>
    </row>
    <row r="246" ht="13.2" customHeight="1" s="104">
      <c r="C246" s="43" t="n"/>
    </row>
    <row r="247" ht="13.2" customHeight="1" s="104">
      <c r="C247" s="43" t="n"/>
    </row>
    <row r="248" ht="13.2" customHeight="1" s="104">
      <c r="C248" s="43" t="n"/>
    </row>
    <row r="249" ht="13.2" customHeight="1" s="104">
      <c r="C249" s="43" t="n"/>
    </row>
    <row r="250" ht="13.2" customHeight="1" s="104">
      <c r="C250" s="43" t="n"/>
    </row>
    <row r="251" ht="13.2" customHeight="1" s="104">
      <c r="C251" s="43" t="n"/>
    </row>
    <row r="252" ht="13.2" customHeight="1" s="104">
      <c r="C252" s="43" t="n"/>
    </row>
    <row r="253" ht="13.2" customHeight="1" s="104">
      <c r="C253" s="43" t="n"/>
    </row>
    <row r="254" ht="13.2" customHeight="1" s="104">
      <c r="C254" s="43" t="n"/>
    </row>
    <row r="255" ht="13.2" customHeight="1" s="104">
      <c r="C255" s="43" t="n"/>
    </row>
    <row r="256" ht="13.2" customHeight="1" s="104">
      <c r="C256" s="43" t="n"/>
    </row>
    <row r="257" ht="13.2" customHeight="1" s="104">
      <c r="C257" s="43" t="n"/>
    </row>
    <row r="258" ht="13.2" customHeight="1" s="104">
      <c r="C258" s="43" t="n"/>
    </row>
    <row r="259" ht="13.2" customHeight="1" s="104">
      <c r="C259" s="43" t="n"/>
    </row>
    <row r="260" ht="13.2" customHeight="1" s="104">
      <c r="C260" s="43" t="n"/>
    </row>
    <row r="261" ht="13.2" customHeight="1" s="104">
      <c r="C261" s="43" t="n"/>
    </row>
    <row r="262" ht="13.2" customHeight="1" s="104">
      <c r="C262" s="43" t="n"/>
    </row>
    <row r="263" ht="13.2" customHeight="1" s="104">
      <c r="C263" s="43" t="n"/>
    </row>
    <row r="264" ht="13.2" customHeight="1" s="104">
      <c r="C264" s="43" t="n"/>
    </row>
    <row r="265" ht="13.2" customHeight="1" s="104">
      <c r="C265" s="43" t="n"/>
    </row>
    <row r="266" ht="13.2" customHeight="1" s="104">
      <c r="C266" s="43" t="n"/>
    </row>
    <row r="267" ht="13.2" customHeight="1" s="104">
      <c r="C267" s="43" t="n"/>
    </row>
    <row r="268" ht="13.2" customHeight="1" s="104">
      <c r="C268" s="43" t="n"/>
    </row>
    <row r="269" ht="13.2" customHeight="1" s="104">
      <c r="C269" s="43" t="n"/>
    </row>
    <row r="270" ht="13.2" customHeight="1" s="104">
      <c r="C270" s="43" t="n"/>
    </row>
    <row r="271" ht="13.2" customHeight="1" s="104">
      <c r="C271" s="43" t="n"/>
    </row>
    <row r="272" ht="13.2" customHeight="1" s="104">
      <c r="C272" s="43" t="n"/>
    </row>
    <row r="273" ht="13.2" customHeight="1" s="104">
      <c r="C273" s="43" t="n"/>
    </row>
    <row r="274" ht="13.2" customHeight="1" s="104">
      <c r="C274" s="43" t="n"/>
    </row>
    <row r="275" ht="13.2" customHeight="1" s="104">
      <c r="C275" s="43" t="n"/>
    </row>
    <row r="276" ht="13.2" customHeight="1" s="104">
      <c r="C276" s="43" t="n"/>
    </row>
    <row r="277" ht="13.2" customHeight="1" s="104">
      <c r="C277" s="43" t="n"/>
    </row>
    <row r="278" ht="13.2" customHeight="1" s="104">
      <c r="C278" s="43" t="n"/>
    </row>
    <row r="279" ht="13.2" customHeight="1" s="104">
      <c r="C279" s="43" t="n"/>
    </row>
    <row r="280" ht="13.2" customHeight="1" s="104">
      <c r="C280" s="43" t="n"/>
    </row>
    <row r="281" ht="13.2" customHeight="1" s="104">
      <c r="C281" s="43" t="n"/>
    </row>
    <row r="282" ht="13.2" customHeight="1" s="104">
      <c r="C282" s="43" t="n"/>
    </row>
    <row r="283" ht="13.2" customHeight="1" s="104">
      <c r="C283" s="43" t="n"/>
    </row>
    <row r="284" ht="13.2" customHeight="1" s="104">
      <c r="C284" s="43" t="n"/>
    </row>
    <row r="285" ht="13.2" customHeight="1" s="104">
      <c r="C285" s="43" t="n"/>
    </row>
    <row r="286" ht="13.2" customHeight="1" s="104">
      <c r="C286" s="43" t="n"/>
    </row>
    <row r="287" ht="13.2" customHeight="1" s="104">
      <c r="C287" s="43" t="n"/>
    </row>
    <row r="288" ht="13.2" customHeight="1" s="104">
      <c r="C288" s="43" t="n"/>
    </row>
    <row r="289" ht="13.2" customHeight="1" s="104">
      <c r="C289" s="43" t="n"/>
    </row>
    <row r="290" ht="13.2" customHeight="1" s="104">
      <c r="C290" s="43" t="n"/>
    </row>
    <row r="291" ht="13.2" customHeight="1" s="104">
      <c r="C291" s="43" t="n"/>
    </row>
    <row r="292" ht="13.2" customHeight="1" s="104">
      <c r="C292" s="43" t="n"/>
    </row>
    <row r="293" ht="13.2" customHeight="1" s="104">
      <c r="C293" s="43" t="n"/>
    </row>
    <row r="294" ht="13.2" customHeight="1" s="104">
      <c r="C294" s="43" t="n"/>
    </row>
    <row r="295" ht="13.2" customHeight="1" s="104">
      <c r="C295" s="43" t="n"/>
    </row>
    <row r="296" ht="13.2" customHeight="1" s="104">
      <c r="C296" s="43" t="n"/>
    </row>
    <row r="297" ht="13.2" customHeight="1" s="104">
      <c r="C297" s="43" t="n"/>
    </row>
    <row r="298" ht="13.2" customHeight="1" s="104">
      <c r="C298" s="43" t="n"/>
    </row>
    <row r="299" ht="13.2" customHeight="1" s="104">
      <c r="C299" s="43" t="n"/>
    </row>
    <row r="300" ht="13.2" customHeight="1" s="104">
      <c r="C300" s="43" t="n"/>
    </row>
    <row r="301" ht="13.2" customHeight="1" s="104">
      <c r="C301" s="43" t="n"/>
    </row>
    <row r="302" ht="13.2" customHeight="1" s="104">
      <c r="C302" s="43" t="n"/>
    </row>
    <row r="303" ht="13.2" customHeight="1" s="104">
      <c r="C303" s="43" t="n"/>
    </row>
    <row r="304" ht="13.2" customHeight="1" s="104">
      <c r="C304" s="43" t="n"/>
    </row>
    <row r="305" ht="13.2" customHeight="1" s="104">
      <c r="C305" s="43" t="n"/>
    </row>
    <row r="306" ht="13.2" customHeight="1" s="104">
      <c r="C306" s="43" t="n"/>
    </row>
    <row r="307" ht="13.2" customHeight="1" s="104">
      <c r="C307" s="43" t="n"/>
    </row>
    <row r="308" ht="13.2" customHeight="1" s="104">
      <c r="C308" s="43" t="n"/>
    </row>
    <row r="309" ht="13.2" customHeight="1" s="104">
      <c r="C309" s="43" t="n"/>
    </row>
    <row r="310" ht="13.2" customHeight="1" s="104">
      <c r="C310" s="43" t="n"/>
    </row>
    <row r="311" ht="13.2" customHeight="1" s="104">
      <c r="C311" s="43" t="n"/>
    </row>
    <row r="312" ht="13.2" customHeight="1" s="104">
      <c r="C312" s="43" t="n"/>
    </row>
    <row r="313" ht="13.2" customHeight="1" s="104">
      <c r="C313" s="43" t="n"/>
    </row>
    <row r="314" ht="13.2" customHeight="1" s="104">
      <c r="C314" s="43" t="n"/>
    </row>
    <row r="315" ht="13.2" customHeight="1" s="104">
      <c r="C315" s="43" t="n"/>
    </row>
    <row r="316" ht="13.2" customHeight="1" s="104">
      <c r="C316" s="43" t="n"/>
    </row>
    <row r="317" ht="13.2" customHeight="1" s="104">
      <c r="C317" s="43" t="n"/>
    </row>
    <row r="318" ht="13.2" customHeight="1" s="104">
      <c r="C318" s="43" t="n"/>
    </row>
    <row r="319" ht="13.2" customHeight="1" s="104">
      <c r="C319" s="43" t="n"/>
    </row>
    <row r="320" ht="13.2" customHeight="1" s="104">
      <c r="C320" s="43" t="n"/>
    </row>
    <row r="321" ht="13.2" customHeight="1" s="104">
      <c r="C321" s="43" t="n"/>
    </row>
    <row r="322" ht="13.2" customHeight="1" s="104">
      <c r="C322" s="43" t="n"/>
    </row>
    <row r="323" ht="13.2" customHeight="1" s="104">
      <c r="C323" s="43" t="n"/>
    </row>
    <row r="324" ht="13.2" customHeight="1" s="104">
      <c r="C324" s="43" t="n"/>
    </row>
    <row r="325" ht="13.2" customHeight="1" s="104">
      <c r="C325" s="43" t="n"/>
    </row>
    <row r="326" ht="13.2" customHeight="1" s="104">
      <c r="C326" s="43" t="n"/>
    </row>
    <row r="327" ht="13.2" customHeight="1" s="104">
      <c r="C327" s="43" t="n"/>
    </row>
    <row r="328" ht="13.2" customHeight="1" s="104">
      <c r="C328" s="43" t="n"/>
    </row>
    <row r="329" ht="13.2" customHeight="1" s="104">
      <c r="C329" s="43" t="n"/>
    </row>
    <row r="330" ht="13.2" customHeight="1" s="104">
      <c r="C330" s="43" t="n"/>
    </row>
    <row r="331" ht="13.2" customHeight="1" s="104">
      <c r="C331" s="43" t="n"/>
    </row>
    <row r="332" ht="13.2" customHeight="1" s="104">
      <c r="C332" s="43" t="n"/>
    </row>
    <row r="333" ht="13.2" customHeight="1" s="104">
      <c r="C333" s="43" t="n"/>
    </row>
    <row r="334" ht="13.2" customHeight="1" s="104">
      <c r="C334" s="43" t="n"/>
    </row>
    <row r="335" ht="13.2" customHeight="1" s="104">
      <c r="C335" s="43" t="n"/>
    </row>
    <row r="336" ht="13.2" customHeight="1" s="104">
      <c r="C336" s="43" t="n"/>
    </row>
    <row r="337" ht="13.2" customHeight="1" s="104">
      <c r="C337" s="43" t="n"/>
    </row>
    <row r="338" ht="13.2" customHeight="1" s="104">
      <c r="C338" s="43" t="n"/>
    </row>
    <row r="339" ht="13.2" customHeight="1" s="104">
      <c r="C339" s="43" t="n"/>
    </row>
    <row r="340" ht="13.2" customHeight="1" s="104">
      <c r="C340" s="43" t="n"/>
    </row>
    <row r="341" ht="13.2" customHeight="1" s="104">
      <c r="C341" s="43" t="n"/>
    </row>
    <row r="342" ht="13.2" customHeight="1" s="104">
      <c r="C342" s="43" t="n"/>
    </row>
    <row r="343" ht="13.2" customHeight="1" s="104">
      <c r="C343" s="43" t="n"/>
    </row>
    <row r="344" ht="13.2" customHeight="1" s="104">
      <c r="C344" s="43" t="n"/>
    </row>
    <row r="345" ht="13.2" customHeight="1" s="104">
      <c r="C345" s="43" t="n"/>
    </row>
    <row r="346" ht="13.2" customHeight="1" s="104">
      <c r="C346" s="43" t="n"/>
    </row>
    <row r="347" ht="13.2" customHeight="1" s="104">
      <c r="C347" s="43" t="n"/>
    </row>
    <row r="348" ht="13.2" customHeight="1" s="104">
      <c r="C348" s="43" t="n"/>
    </row>
    <row r="349" ht="13.2" customHeight="1" s="104">
      <c r="C349" s="43" t="n"/>
    </row>
    <row r="350" ht="13.2" customHeight="1" s="104">
      <c r="C350" s="43" t="n"/>
    </row>
    <row r="351" ht="13.2" customHeight="1" s="104">
      <c r="C351" s="43" t="n"/>
    </row>
    <row r="352" ht="13.2" customHeight="1" s="104">
      <c r="C352" s="43" t="n"/>
    </row>
    <row r="353" ht="13.2" customHeight="1" s="104">
      <c r="C353" s="43" t="n"/>
    </row>
    <row r="354" ht="13.2" customHeight="1" s="104">
      <c r="C354" s="43" t="n"/>
    </row>
    <row r="355" ht="13.2" customHeight="1" s="104">
      <c r="C355" s="43" t="n"/>
    </row>
    <row r="356" ht="13.2" customHeight="1" s="104">
      <c r="C356" s="43" t="n"/>
    </row>
    <row r="357" ht="13.2" customHeight="1" s="104">
      <c r="C357" s="43" t="n"/>
    </row>
    <row r="358" ht="13.2" customHeight="1" s="104">
      <c r="C358" s="43" t="n"/>
    </row>
    <row r="359" ht="13.2" customHeight="1" s="104">
      <c r="C359" s="43" t="n"/>
    </row>
    <row r="360" ht="13.2" customHeight="1" s="104">
      <c r="C360" s="43" t="n"/>
    </row>
    <row r="361" ht="13.2" customHeight="1" s="104">
      <c r="C361" s="43" t="n"/>
    </row>
    <row r="362" ht="13.2" customHeight="1" s="104">
      <c r="C362" s="43" t="n"/>
    </row>
    <row r="363" ht="13.2" customHeight="1" s="104">
      <c r="C363" s="43" t="n"/>
    </row>
    <row r="364" ht="13.2" customHeight="1" s="104">
      <c r="C364" s="43" t="n"/>
    </row>
    <row r="365" ht="13.2" customHeight="1" s="104">
      <c r="C365" s="43" t="n"/>
    </row>
    <row r="366" ht="13.2" customHeight="1" s="104">
      <c r="C366" s="43" t="n"/>
    </row>
    <row r="367" ht="13.2" customHeight="1" s="104">
      <c r="C367" s="43" t="n"/>
    </row>
    <row r="368" ht="13.2" customHeight="1" s="104">
      <c r="C368" s="43" t="n"/>
    </row>
    <row r="369" ht="13.2" customHeight="1" s="104">
      <c r="C369" s="43" t="n"/>
    </row>
    <row r="370" ht="13.2" customHeight="1" s="104">
      <c r="C370" s="43" t="n"/>
    </row>
    <row r="371" ht="13.2" customHeight="1" s="104">
      <c r="C371" s="43" t="n"/>
    </row>
    <row r="372" ht="13.2" customHeight="1" s="104">
      <c r="C372" s="43" t="n"/>
    </row>
    <row r="373" ht="13.2" customHeight="1" s="104">
      <c r="C373" s="43" t="n"/>
    </row>
    <row r="374" ht="13.2" customHeight="1" s="104">
      <c r="C374" s="43" t="n"/>
    </row>
    <row r="375" ht="13.2" customHeight="1" s="104">
      <c r="C375" s="43" t="n"/>
    </row>
    <row r="376" ht="13.2" customHeight="1" s="104">
      <c r="C376" s="43" t="n"/>
    </row>
    <row r="377" ht="13.2" customHeight="1" s="104">
      <c r="C377" s="43" t="n"/>
    </row>
    <row r="378" ht="13.2" customHeight="1" s="104">
      <c r="C378" s="43" t="n"/>
    </row>
    <row r="379" ht="13.2" customHeight="1" s="104">
      <c r="C379" s="43" t="n"/>
    </row>
    <row r="380" ht="13.2" customHeight="1" s="104">
      <c r="C380" s="43" t="n"/>
    </row>
    <row r="381" ht="13.2" customHeight="1" s="104">
      <c r="C381" s="43" t="n"/>
    </row>
    <row r="382" ht="13.2" customHeight="1" s="104">
      <c r="C382" s="43" t="n"/>
    </row>
    <row r="383" ht="13.2" customHeight="1" s="104">
      <c r="C383" s="43" t="n"/>
    </row>
    <row r="384" ht="13.2" customHeight="1" s="104">
      <c r="C384" s="43" t="n"/>
    </row>
    <row r="385" ht="13.2" customHeight="1" s="104">
      <c r="C385" s="43" t="n"/>
    </row>
    <row r="386" ht="13.2" customHeight="1" s="104">
      <c r="C386" s="43" t="n"/>
    </row>
    <row r="387" ht="13.2" customHeight="1" s="104">
      <c r="C387" s="43" t="n"/>
    </row>
    <row r="388" ht="13.2" customHeight="1" s="104">
      <c r="C388" s="43" t="n"/>
    </row>
    <row r="389" ht="13.2" customHeight="1" s="104">
      <c r="C389" s="43" t="n"/>
    </row>
    <row r="390" ht="13.2" customHeight="1" s="104">
      <c r="C390" s="43" t="n"/>
    </row>
    <row r="391" ht="13.2" customHeight="1" s="104">
      <c r="C391" s="43" t="n"/>
    </row>
    <row r="392" ht="13.2" customHeight="1" s="104">
      <c r="C392" s="43" t="n"/>
    </row>
    <row r="393" ht="13.2" customHeight="1" s="104">
      <c r="C393" s="43" t="n"/>
    </row>
    <row r="394" ht="13.2" customHeight="1" s="104">
      <c r="C394" s="43" t="n"/>
    </row>
    <row r="395" ht="13.2" customHeight="1" s="104">
      <c r="C395" s="43" t="n"/>
    </row>
    <row r="396" ht="13.2" customHeight="1" s="104">
      <c r="C396" s="43" t="n"/>
    </row>
    <row r="397" ht="13.2" customHeight="1" s="104">
      <c r="C397" s="43" t="n"/>
    </row>
    <row r="398" ht="13.2" customHeight="1" s="104">
      <c r="C398" s="43" t="n"/>
    </row>
    <row r="399" ht="13.2" customHeight="1" s="104">
      <c r="C399" s="43" t="n"/>
    </row>
    <row r="400" ht="13.2" customHeight="1" s="104">
      <c r="C400" s="43" t="n"/>
    </row>
    <row r="401" ht="13.2" customHeight="1" s="104">
      <c r="C401" s="43" t="n"/>
    </row>
    <row r="402" ht="13.2" customHeight="1" s="104">
      <c r="C402" s="43" t="n"/>
    </row>
    <row r="403" ht="13.2" customHeight="1" s="104">
      <c r="C403" s="43" t="n"/>
    </row>
    <row r="404" ht="13.2" customHeight="1" s="104">
      <c r="C404" s="43" t="n"/>
    </row>
    <row r="405" ht="13.2" customHeight="1" s="104">
      <c r="C405" s="43" t="n"/>
    </row>
    <row r="406" ht="13.2" customHeight="1" s="104">
      <c r="C406" s="43" t="n"/>
    </row>
    <row r="407" ht="13.2" customHeight="1" s="104">
      <c r="C407" s="43" t="n"/>
    </row>
    <row r="408" ht="13.2" customHeight="1" s="104">
      <c r="C408" s="43" t="n"/>
    </row>
    <row r="409" ht="13.2" customHeight="1" s="104">
      <c r="C409" s="43" t="n"/>
    </row>
    <row r="410" ht="13.2" customHeight="1" s="104">
      <c r="C410" s="43" t="n"/>
    </row>
    <row r="411" ht="13.2" customHeight="1" s="104">
      <c r="C411" s="43" t="n"/>
    </row>
    <row r="412" ht="13.2" customHeight="1" s="104">
      <c r="C412" s="43" t="n"/>
    </row>
    <row r="413" ht="13.2" customHeight="1" s="104">
      <c r="C413" s="43" t="n"/>
    </row>
    <row r="414" ht="13.2" customHeight="1" s="104">
      <c r="C414" s="43" t="n"/>
    </row>
    <row r="415" ht="13.2" customHeight="1" s="104">
      <c r="C415" s="43" t="n"/>
    </row>
    <row r="416" ht="13.2" customHeight="1" s="104">
      <c r="C416" s="43" t="n"/>
    </row>
    <row r="417" ht="13.2" customHeight="1" s="104">
      <c r="C417" s="43" t="n"/>
    </row>
    <row r="418" ht="13.2" customHeight="1" s="104">
      <c r="C418" s="43" t="n"/>
    </row>
    <row r="419" ht="13.2" customHeight="1" s="104">
      <c r="C419" s="43" t="n"/>
    </row>
    <row r="420" ht="13.2" customHeight="1" s="104">
      <c r="C420" s="43" t="n"/>
    </row>
    <row r="421" ht="13.2" customHeight="1" s="104">
      <c r="C421" s="43" t="n"/>
    </row>
    <row r="422" ht="13.2" customHeight="1" s="104">
      <c r="C422" s="43" t="n"/>
    </row>
    <row r="423" ht="13.2" customHeight="1" s="104">
      <c r="C423" s="43" t="n"/>
    </row>
    <row r="424" ht="13.2" customHeight="1" s="104">
      <c r="C424" s="43" t="n"/>
    </row>
    <row r="425" ht="13.2" customHeight="1" s="104">
      <c r="C425" s="43" t="n"/>
    </row>
    <row r="426" ht="13.2" customHeight="1" s="104">
      <c r="C426" s="43" t="n"/>
    </row>
    <row r="427" ht="13.2" customHeight="1" s="104">
      <c r="C427" s="43" t="n"/>
    </row>
    <row r="428" ht="13.2" customHeight="1" s="104">
      <c r="C428" s="43" t="n"/>
    </row>
    <row r="429" ht="13.2" customHeight="1" s="104">
      <c r="C429" s="43" t="n"/>
    </row>
    <row r="430" ht="13.2" customHeight="1" s="104">
      <c r="C430" s="43" t="n"/>
    </row>
    <row r="431" ht="13.2" customHeight="1" s="104">
      <c r="C431" s="43" t="n"/>
    </row>
    <row r="432" ht="13.2" customHeight="1" s="104">
      <c r="C432" s="43" t="n"/>
    </row>
    <row r="433" ht="13.2" customHeight="1" s="104">
      <c r="C433" s="43" t="n"/>
    </row>
    <row r="434" ht="13.2" customHeight="1" s="104">
      <c r="C434" s="43" t="n"/>
    </row>
    <row r="435" ht="13.2" customHeight="1" s="104">
      <c r="C435" s="43" t="n"/>
    </row>
    <row r="436" ht="13.2" customHeight="1" s="104">
      <c r="C436" s="43" t="n"/>
    </row>
    <row r="437" ht="13.2" customHeight="1" s="104">
      <c r="C437" s="43" t="n"/>
    </row>
    <row r="438" ht="13.2" customHeight="1" s="104">
      <c r="C438" s="43" t="n"/>
    </row>
    <row r="439" ht="13.2" customHeight="1" s="104">
      <c r="C439" s="43" t="n"/>
    </row>
    <row r="440" ht="13.2" customHeight="1" s="104">
      <c r="C440" s="43" t="n"/>
    </row>
    <row r="441" ht="13.2" customHeight="1" s="104">
      <c r="C441" s="43" t="n"/>
    </row>
    <row r="442" ht="13.2" customHeight="1" s="104">
      <c r="C442" s="43" t="n"/>
    </row>
    <row r="443" ht="13.2" customHeight="1" s="104">
      <c r="C443" s="43" t="n"/>
    </row>
    <row r="444" ht="13.2" customHeight="1" s="104">
      <c r="C444" s="43" t="n"/>
    </row>
    <row r="445" ht="13.2" customHeight="1" s="104">
      <c r="C445" s="43" t="n"/>
    </row>
    <row r="446" ht="13.2" customHeight="1" s="104">
      <c r="C446" s="43" t="n"/>
    </row>
    <row r="447" ht="13.2" customHeight="1" s="104">
      <c r="C447" s="43" t="n"/>
    </row>
    <row r="448" ht="13.2" customHeight="1" s="104">
      <c r="C448" s="43" t="n"/>
    </row>
    <row r="449" ht="13.2" customHeight="1" s="104">
      <c r="C449" s="43" t="n"/>
    </row>
    <row r="450" ht="13.2" customHeight="1" s="104">
      <c r="C450" s="43" t="n"/>
    </row>
    <row r="451" ht="13.2" customHeight="1" s="104">
      <c r="C451" s="43" t="n"/>
    </row>
    <row r="452" ht="13.2" customHeight="1" s="104">
      <c r="C452" s="43" t="n"/>
    </row>
    <row r="453" ht="13.2" customHeight="1" s="104">
      <c r="C453" s="43" t="n"/>
    </row>
    <row r="454" ht="13.2" customHeight="1" s="104">
      <c r="C454" s="43" t="n"/>
    </row>
    <row r="455" ht="13.2" customHeight="1" s="104">
      <c r="C455" s="43" t="n"/>
    </row>
    <row r="456" ht="13.2" customHeight="1" s="104">
      <c r="C456" s="43" t="n"/>
    </row>
    <row r="457" ht="13.2" customHeight="1" s="104">
      <c r="C457" s="43" t="n"/>
    </row>
    <row r="458" ht="13.2" customHeight="1" s="104">
      <c r="C458" s="43" t="n"/>
    </row>
    <row r="459" ht="13.2" customHeight="1" s="104">
      <c r="C459" s="43" t="n"/>
    </row>
    <row r="460" ht="13.2" customHeight="1" s="104">
      <c r="C460" s="43" t="n"/>
    </row>
    <row r="461" ht="13.2" customHeight="1" s="104">
      <c r="C461" s="43" t="n"/>
    </row>
    <row r="462" ht="13.2" customHeight="1" s="104">
      <c r="C462" s="43" t="n"/>
    </row>
    <row r="463" ht="13.2" customHeight="1" s="104">
      <c r="C463" s="43" t="n"/>
    </row>
    <row r="464" ht="13.2" customHeight="1" s="104">
      <c r="C464" s="43" t="n"/>
    </row>
    <row r="465" ht="13.2" customHeight="1" s="104">
      <c r="C465" s="43" t="n"/>
    </row>
    <row r="466" ht="13.2" customHeight="1" s="104">
      <c r="C466" s="43" t="n"/>
    </row>
    <row r="467" ht="13.2" customHeight="1" s="104">
      <c r="C467" s="43" t="n"/>
    </row>
    <row r="468" ht="13.2" customHeight="1" s="104">
      <c r="C468" s="43" t="n"/>
    </row>
    <row r="469" ht="13.2" customHeight="1" s="104">
      <c r="C469" s="43" t="n"/>
    </row>
    <row r="470" ht="13.2" customHeight="1" s="104">
      <c r="C470" s="43" t="n"/>
    </row>
    <row r="471" ht="13.2" customHeight="1" s="104">
      <c r="C471" s="43" t="n"/>
    </row>
    <row r="472" ht="13.2" customHeight="1" s="104">
      <c r="C472" s="43" t="n"/>
    </row>
    <row r="473" ht="13.2" customHeight="1" s="104">
      <c r="C473" s="43" t="n"/>
    </row>
    <row r="474" ht="13.2" customHeight="1" s="104">
      <c r="C474" s="43" t="n"/>
    </row>
    <row r="475" ht="13.2" customHeight="1" s="104">
      <c r="C475" s="43" t="n"/>
    </row>
    <row r="476" ht="13.2" customHeight="1" s="104">
      <c r="C476" s="43" t="n"/>
    </row>
    <row r="477" ht="13.2" customHeight="1" s="104">
      <c r="C477" s="43" t="n"/>
    </row>
    <row r="478" ht="13.2" customHeight="1" s="104">
      <c r="C478" s="43" t="n"/>
    </row>
    <row r="479" ht="13.2" customHeight="1" s="104">
      <c r="C479" s="43" t="n"/>
    </row>
    <row r="480" ht="13.2" customHeight="1" s="104">
      <c r="C480" s="43" t="n"/>
    </row>
    <row r="481" ht="13.2" customHeight="1" s="104">
      <c r="C481" s="43" t="n"/>
    </row>
    <row r="482" ht="13.2" customHeight="1" s="104">
      <c r="C482" s="43" t="n"/>
    </row>
    <row r="483" ht="13.2" customHeight="1" s="104">
      <c r="C483" s="43" t="n"/>
    </row>
    <row r="484" ht="13.2" customHeight="1" s="104">
      <c r="C484" s="43" t="n"/>
    </row>
    <row r="485" ht="13.2" customHeight="1" s="104">
      <c r="C485" s="43" t="n"/>
    </row>
    <row r="486" ht="13.2" customHeight="1" s="104">
      <c r="C486" s="43" t="n"/>
    </row>
    <row r="487" ht="13.2" customHeight="1" s="104">
      <c r="C487" s="43" t="n"/>
    </row>
    <row r="488" ht="13.2" customHeight="1" s="104">
      <c r="C488" s="43" t="n"/>
    </row>
    <row r="489" ht="13.2" customHeight="1" s="104">
      <c r="C489" s="43" t="n"/>
    </row>
    <row r="490" ht="13.2" customHeight="1" s="104">
      <c r="C490" s="43" t="n"/>
    </row>
    <row r="491" ht="13.2" customHeight="1" s="104">
      <c r="C491" s="43" t="n"/>
    </row>
    <row r="492" ht="13.2" customHeight="1" s="104">
      <c r="C492" s="43" t="n"/>
    </row>
    <row r="493" ht="13.2" customHeight="1" s="104">
      <c r="C493" s="43" t="n"/>
    </row>
    <row r="494" ht="13.2" customHeight="1" s="104">
      <c r="C494" s="43" t="n"/>
    </row>
    <row r="495" ht="13.2" customHeight="1" s="104">
      <c r="C495" s="43" t="n"/>
    </row>
    <row r="496" ht="13.2" customHeight="1" s="104">
      <c r="C496" s="43" t="n"/>
    </row>
    <row r="497" ht="13.2" customHeight="1" s="104">
      <c r="C497" s="43" t="n"/>
    </row>
    <row r="498" ht="13.2" customHeight="1" s="104">
      <c r="C498" s="43" t="n"/>
    </row>
    <row r="499" ht="13.2" customHeight="1" s="104">
      <c r="C499" s="43" t="n"/>
    </row>
    <row r="500" ht="13.2" customHeight="1" s="104">
      <c r="C500" s="43" t="n"/>
    </row>
    <row r="501" ht="13.2" customHeight="1" s="104">
      <c r="C501" s="43" t="n"/>
    </row>
    <row r="502" ht="13.2" customHeight="1" s="104">
      <c r="C502" s="43" t="n"/>
    </row>
    <row r="503" ht="13.2" customHeight="1" s="104">
      <c r="C503" s="43" t="n"/>
    </row>
    <row r="504" ht="13.2" customHeight="1" s="104">
      <c r="C504" s="43" t="n"/>
    </row>
    <row r="505" ht="13.2" customHeight="1" s="104">
      <c r="C505" s="43" t="n"/>
    </row>
    <row r="506" ht="13.2" customHeight="1" s="104">
      <c r="C506" s="43" t="n"/>
    </row>
    <row r="507" ht="13.2" customHeight="1" s="104">
      <c r="C507" s="43" t="n"/>
    </row>
    <row r="508" ht="13.2" customHeight="1" s="104">
      <c r="C508" s="43" t="n"/>
    </row>
    <row r="509" ht="13.2" customHeight="1" s="104">
      <c r="C509" s="43" t="n"/>
    </row>
    <row r="510" ht="13.2" customHeight="1" s="104">
      <c r="C510" s="43" t="n"/>
    </row>
    <row r="511" ht="13.2" customHeight="1" s="104">
      <c r="C511" s="43" t="n"/>
    </row>
    <row r="512" ht="13.2" customHeight="1" s="104">
      <c r="C512" s="43" t="n"/>
    </row>
    <row r="513" ht="13.2" customHeight="1" s="104">
      <c r="C513" s="43" t="n"/>
    </row>
    <row r="514" ht="13.2" customHeight="1" s="104">
      <c r="C514" s="43" t="n"/>
    </row>
    <row r="515" ht="13.2" customHeight="1" s="104">
      <c r="C515" s="43" t="n"/>
    </row>
    <row r="516" ht="13.2" customHeight="1" s="104">
      <c r="C516" s="43" t="n"/>
    </row>
    <row r="517" ht="13.2" customHeight="1" s="104">
      <c r="C517" s="43" t="n"/>
    </row>
    <row r="518" ht="13.2" customHeight="1" s="104">
      <c r="C518" s="43" t="n"/>
    </row>
    <row r="519" ht="13.2" customHeight="1" s="104">
      <c r="C519" s="43" t="n"/>
    </row>
    <row r="520" ht="13.2" customHeight="1" s="104">
      <c r="C520" s="43" t="n"/>
    </row>
    <row r="521" ht="13.2" customHeight="1" s="104">
      <c r="C521" s="43" t="n"/>
    </row>
    <row r="522" ht="13.2" customHeight="1" s="104">
      <c r="C522" s="43" t="n"/>
    </row>
    <row r="523" ht="13.2" customHeight="1" s="104">
      <c r="C523" s="43" t="n"/>
    </row>
    <row r="524" ht="13.2" customHeight="1" s="104">
      <c r="C524" s="43" t="n"/>
    </row>
    <row r="525" ht="13.2" customHeight="1" s="104">
      <c r="C525" s="43" t="n"/>
    </row>
    <row r="526" ht="13.2" customHeight="1" s="104">
      <c r="C526" s="43" t="n"/>
    </row>
    <row r="527" ht="13.2" customHeight="1" s="104">
      <c r="C527" s="43" t="n"/>
    </row>
    <row r="528" ht="13.2" customHeight="1" s="104">
      <c r="C528" s="43" t="n"/>
    </row>
    <row r="529" ht="13.2" customHeight="1" s="104">
      <c r="C529" s="43" t="n"/>
    </row>
    <row r="530" ht="13.2" customHeight="1" s="104">
      <c r="C530" s="43" t="n"/>
    </row>
    <row r="531" ht="13.2" customHeight="1" s="104">
      <c r="C531" s="43" t="n"/>
    </row>
    <row r="532" ht="13.2" customHeight="1" s="104">
      <c r="C532" s="43" t="n"/>
    </row>
    <row r="533" ht="13.2" customHeight="1" s="104">
      <c r="C533" s="43" t="n"/>
    </row>
    <row r="534" ht="13.2" customHeight="1" s="104">
      <c r="C534" s="43" t="n"/>
    </row>
    <row r="535" ht="13.2" customHeight="1" s="104">
      <c r="C535" s="43" t="n"/>
    </row>
    <row r="536" ht="13.2" customHeight="1" s="104">
      <c r="C536" s="43" t="n"/>
    </row>
    <row r="537" ht="13.2" customHeight="1" s="104">
      <c r="C537" s="43" t="n"/>
    </row>
    <row r="538" ht="13.2" customHeight="1" s="104">
      <c r="C538" s="43" t="n"/>
    </row>
    <row r="539" ht="13.2" customHeight="1" s="104">
      <c r="C539" s="43" t="n"/>
    </row>
    <row r="540" ht="13.2" customHeight="1" s="104">
      <c r="C540" s="43" t="n"/>
    </row>
    <row r="541" ht="13.2" customHeight="1" s="104">
      <c r="C541" s="43" t="n"/>
    </row>
    <row r="542" ht="13.2" customHeight="1" s="104">
      <c r="C542" s="43" t="n"/>
    </row>
    <row r="543" ht="13.2" customHeight="1" s="104">
      <c r="C543" s="43" t="n"/>
    </row>
    <row r="544" ht="13.2" customHeight="1" s="104">
      <c r="C544" s="43" t="n"/>
    </row>
    <row r="545" ht="13.2" customHeight="1" s="104">
      <c r="C545" s="43" t="n"/>
    </row>
    <row r="546" ht="13.2" customHeight="1" s="104">
      <c r="C546" s="43" t="n"/>
    </row>
    <row r="547" ht="13.2" customHeight="1" s="104">
      <c r="C547" s="43" t="n"/>
    </row>
    <row r="548" ht="13.2" customHeight="1" s="104">
      <c r="C548" s="43" t="n"/>
    </row>
    <row r="549" ht="13.2" customHeight="1" s="104">
      <c r="C549" s="43" t="n"/>
    </row>
    <row r="550" ht="13.2" customHeight="1" s="104">
      <c r="C550" s="43" t="n"/>
    </row>
    <row r="551" ht="13.2" customHeight="1" s="104">
      <c r="C551" s="43" t="n"/>
    </row>
    <row r="552" ht="13.2" customHeight="1" s="104">
      <c r="C552" s="43" t="n"/>
    </row>
    <row r="553" ht="13.2" customHeight="1" s="104">
      <c r="C553" s="43" t="n"/>
    </row>
    <row r="554" ht="13.2" customHeight="1" s="104">
      <c r="C554" s="43" t="n"/>
    </row>
    <row r="555" ht="13.2" customHeight="1" s="104">
      <c r="C555" s="43" t="n"/>
    </row>
    <row r="556" ht="13.2" customHeight="1" s="104">
      <c r="C556" s="43" t="n"/>
    </row>
    <row r="557" ht="13.2" customHeight="1" s="104">
      <c r="C557" s="43" t="n"/>
    </row>
    <row r="558" ht="13.2" customHeight="1" s="104">
      <c r="C558" s="43" t="n"/>
    </row>
    <row r="559" ht="13.2" customHeight="1" s="104">
      <c r="C559" s="43" t="n"/>
    </row>
    <row r="560" ht="13.2" customHeight="1" s="104">
      <c r="C560" s="43" t="n"/>
    </row>
    <row r="561" ht="13.2" customHeight="1" s="104">
      <c r="C561" s="43" t="n"/>
    </row>
    <row r="562" ht="13.2" customHeight="1" s="104">
      <c r="C562" s="43" t="n"/>
    </row>
    <row r="563" ht="13.2" customHeight="1" s="104">
      <c r="C563" s="43" t="n"/>
    </row>
    <row r="564" ht="13.2" customHeight="1" s="104">
      <c r="C564" s="43" t="n"/>
    </row>
    <row r="565" ht="13.2" customHeight="1" s="104">
      <c r="C565" s="43" t="n"/>
    </row>
    <row r="566" ht="13.2" customHeight="1" s="104">
      <c r="C566" s="43" t="n"/>
    </row>
    <row r="567" ht="13.2" customHeight="1" s="104">
      <c r="C567" s="43" t="n"/>
    </row>
    <row r="568" ht="13.2" customHeight="1" s="104">
      <c r="C568" s="43" t="n"/>
    </row>
    <row r="569" ht="13.2" customHeight="1" s="104">
      <c r="C569" s="43" t="n"/>
    </row>
    <row r="570" ht="13.2" customHeight="1" s="104">
      <c r="C570" s="43" t="n"/>
    </row>
    <row r="571" ht="13.2" customHeight="1" s="104">
      <c r="C571" s="43" t="n"/>
    </row>
    <row r="572" ht="13.2" customHeight="1" s="104">
      <c r="C572" s="43" t="n"/>
    </row>
    <row r="573" ht="13.2" customHeight="1" s="104">
      <c r="C573" s="43" t="n"/>
    </row>
    <row r="574" ht="13.2" customHeight="1" s="104">
      <c r="C574" s="43" t="n"/>
    </row>
    <row r="575" ht="13.2" customHeight="1" s="104">
      <c r="C575" s="43" t="n"/>
    </row>
    <row r="576" ht="13.2" customHeight="1" s="104">
      <c r="C576" s="43" t="n"/>
    </row>
    <row r="577" ht="13.2" customHeight="1" s="104">
      <c r="C577" s="43" t="n"/>
    </row>
    <row r="578" ht="13.2" customHeight="1" s="104">
      <c r="C578" s="43" t="n"/>
    </row>
    <row r="579" ht="13.2" customHeight="1" s="104">
      <c r="C579" s="43" t="n"/>
    </row>
    <row r="580" ht="13.2" customHeight="1" s="104">
      <c r="C580" s="43" t="n"/>
    </row>
    <row r="581" ht="13.2" customHeight="1" s="104">
      <c r="C581" s="43" t="n"/>
    </row>
    <row r="582" ht="13.2" customHeight="1" s="104">
      <c r="C582" s="43" t="n"/>
    </row>
    <row r="583" ht="13.2" customHeight="1" s="104">
      <c r="C583" s="43" t="n"/>
    </row>
    <row r="584" ht="13.2" customHeight="1" s="104">
      <c r="C584" s="43" t="n"/>
    </row>
    <row r="585" ht="13.2" customHeight="1" s="104">
      <c r="C585" s="43" t="n"/>
    </row>
    <row r="586" ht="13.2" customHeight="1" s="104">
      <c r="C586" s="43" t="n"/>
    </row>
    <row r="587" ht="13.2" customHeight="1" s="104">
      <c r="C587" s="43" t="n"/>
    </row>
    <row r="588" ht="13.2" customHeight="1" s="104">
      <c r="C588" s="43" t="n"/>
    </row>
    <row r="589" ht="13.2" customHeight="1" s="104">
      <c r="C589" s="43" t="n"/>
    </row>
    <row r="590" ht="13.2" customHeight="1" s="104">
      <c r="C590" s="43" t="n"/>
    </row>
    <row r="591" ht="13.2" customHeight="1" s="104">
      <c r="C591" s="43" t="n"/>
    </row>
    <row r="592" ht="13.2" customHeight="1" s="104">
      <c r="C592" s="43" t="n"/>
    </row>
    <row r="593" ht="13.2" customHeight="1" s="104">
      <c r="C593" s="43" t="n"/>
    </row>
    <row r="594" ht="13.2" customHeight="1" s="104">
      <c r="C594" s="43" t="n"/>
    </row>
    <row r="595" ht="13.2" customHeight="1" s="104">
      <c r="C595" s="43" t="n"/>
    </row>
    <row r="596" ht="13.2" customHeight="1" s="104">
      <c r="C596" s="43" t="n"/>
    </row>
    <row r="597" ht="13.2" customHeight="1" s="104">
      <c r="C597" s="43" t="n"/>
    </row>
    <row r="598" ht="13.2" customHeight="1" s="104">
      <c r="C598" s="43" t="n"/>
    </row>
    <row r="599" ht="13.2" customHeight="1" s="104">
      <c r="C599" s="43" t="n"/>
    </row>
    <row r="600" ht="13.2" customHeight="1" s="104">
      <c r="C600" s="43" t="n"/>
    </row>
    <row r="601" ht="13.2" customHeight="1" s="104">
      <c r="C601" s="43" t="n"/>
    </row>
    <row r="602" ht="13.2" customHeight="1" s="104">
      <c r="C602" s="43" t="n"/>
    </row>
    <row r="603" ht="13.2" customHeight="1" s="104">
      <c r="C603" s="43" t="n"/>
    </row>
    <row r="604" ht="13.2" customHeight="1" s="104">
      <c r="C604" s="43" t="n"/>
    </row>
    <row r="605" ht="13.2" customHeight="1" s="104">
      <c r="C605" s="43" t="n"/>
    </row>
    <row r="606" ht="13.2" customHeight="1" s="104">
      <c r="C606" s="43" t="n"/>
    </row>
    <row r="607" ht="13.2" customHeight="1" s="104">
      <c r="C607" s="43" t="n"/>
    </row>
    <row r="608" ht="13.2" customHeight="1" s="104">
      <c r="C608" s="43" t="n"/>
    </row>
    <row r="609" ht="13.2" customHeight="1" s="104">
      <c r="C609" s="43" t="n"/>
    </row>
    <row r="610" ht="13.2" customHeight="1" s="104">
      <c r="C610" s="43" t="n"/>
    </row>
    <row r="611" ht="13.2" customHeight="1" s="104">
      <c r="C611" s="43" t="n"/>
    </row>
    <row r="612" ht="13.2" customHeight="1" s="104">
      <c r="C612" s="43" t="n"/>
    </row>
    <row r="613" ht="13.2" customHeight="1" s="104">
      <c r="C613" s="43" t="n"/>
    </row>
    <row r="614" ht="13.2" customHeight="1" s="104">
      <c r="C614" s="43" t="n"/>
    </row>
    <row r="615" ht="13.2" customHeight="1" s="104">
      <c r="C615" s="43" t="n"/>
    </row>
    <row r="616" ht="13.2" customHeight="1" s="104">
      <c r="C616" s="43" t="n"/>
    </row>
    <row r="617" ht="13.2" customHeight="1" s="104">
      <c r="C617" s="43" t="n"/>
    </row>
    <row r="618" ht="13.2" customHeight="1" s="104">
      <c r="C618" s="43" t="n"/>
    </row>
    <row r="619" ht="13.2" customHeight="1" s="104">
      <c r="C619" s="43" t="n"/>
    </row>
    <row r="620" ht="13.2" customHeight="1" s="104">
      <c r="C620" s="43" t="n"/>
    </row>
    <row r="621" ht="13.2" customHeight="1" s="104">
      <c r="C621" s="43" t="n"/>
    </row>
    <row r="622" ht="13.2" customHeight="1" s="104">
      <c r="C622" s="43" t="n"/>
    </row>
    <row r="623" ht="13.2" customHeight="1" s="104">
      <c r="C623" s="43" t="n"/>
    </row>
    <row r="624" ht="13.2" customHeight="1" s="104">
      <c r="C624" s="43" t="n"/>
    </row>
    <row r="625" ht="13.2" customHeight="1" s="104">
      <c r="C625" s="43" t="n"/>
    </row>
    <row r="626" ht="13.2" customHeight="1" s="104">
      <c r="C626" s="43" t="n"/>
    </row>
    <row r="627" ht="13.2" customHeight="1" s="104">
      <c r="C627" s="43" t="n"/>
    </row>
    <row r="628" ht="13.2" customHeight="1" s="104">
      <c r="C628" s="43" t="n"/>
    </row>
    <row r="629" ht="13.2" customHeight="1" s="104">
      <c r="C629" s="43" t="n"/>
    </row>
    <row r="630" ht="13.2" customHeight="1" s="104">
      <c r="C630" s="43" t="n"/>
    </row>
    <row r="631" ht="13.2" customHeight="1" s="104">
      <c r="C631" s="43" t="n"/>
    </row>
    <row r="632" ht="13.2" customHeight="1" s="104">
      <c r="C632" s="43" t="n"/>
    </row>
    <row r="633" ht="13.2" customHeight="1" s="104">
      <c r="C633" s="43" t="n"/>
    </row>
    <row r="634" ht="13.2" customHeight="1" s="104">
      <c r="C634" s="43" t="n"/>
    </row>
    <row r="635" ht="13.2" customHeight="1" s="104">
      <c r="C635" s="43" t="n"/>
    </row>
    <row r="636" ht="13.2" customHeight="1" s="104">
      <c r="C636" s="43" t="n"/>
    </row>
    <row r="637" ht="13.2" customHeight="1" s="104">
      <c r="C637" s="43" t="n"/>
    </row>
    <row r="638" ht="13.2" customHeight="1" s="104">
      <c r="C638" s="43" t="n"/>
    </row>
    <row r="639" ht="13.2" customHeight="1" s="104">
      <c r="C639" s="43" t="n"/>
    </row>
    <row r="640" ht="13.2" customHeight="1" s="104">
      <c r="C640" s="43" t="n"/>
    </row>
    <row r="641" ht="13.2" customHeight="1" s="104">
      <c r="C641" s="43" t="n"/>
    </row>
    <row r="642" ht="13.2" customHeight="1" s="104">
      <c r="C642" s="43" t="n"/>
    </row>
    <row r="643" ht="13.2" customHeight="1" s="104">
      <c r="C643" s="43" t="n"/>
    </row>
    <row r="644" ht="13.2" customHeight="1" s="104">
      <c r="C644" s="43" t="n"/>
    </row>
    <row r="645" ht="13.2" customHeight="1" s="104">
      <c r="C645" s="43" t="n"/>
    </row>
    <row r="646" ht="13.2" customHeight="1" s="104">
      <c r="C646" s="43" t="n"/>
    </row>
    <row r="647" ht="13.2" customHeight="1" s="104">
      <c r="C647" s="43" t="n"/>
    </row>
    <row r="648" ht="13.2" customHeight="1" s="104">
      <c r="C648" s="43" t="n"/>
    </row>
    <row r="649" ht="13.2" customHeight="1" s="104">
      <c r="C649" s="43" t="n"/>
    </row>
    <row r="650" ht="13.2" customHeight="1" s="104">
      <c r="C650" s="43" t="n"/>
    </row>
    <row r="651" ht="13.2" customHeight="1" s="104">
      <c r="C651" s="43" t="n"/>
    </row>
    <row r="652" ht="13.2" customHeight="1" s="104">
      <c r="C652" s="43" t="n"/>
    </row>
    <row r="653" ht="13.2" customHeight="1" s="104">
      <c r="C653" s="43" t="n"/>
    </row>
    <row r="654" ht="13.2" customHeight="1" s="104">
      <c r="C654" s="43" t="n"/>
    </row>
    <row r="655" ht="13.2" customHeight="1" s="104">
      <c r="C655" s="43" t="n"/>
    </row>
    <row r="656" ht="13.2" customHeight="1" s="104">
      <c r="C656" s="43" t="n"/>
    </row>
    <row r="657" ht="13.2" customHeight="1" s="104">
      <c r="C657" s="43" t="n"/>
    </row>
    <row r="658" ht="13.2" customHeight="1" s="104">
      <c r="C658" s="43" t="n"/>
    </row>
    <row r="659" ht="13.2" customHeight="1" s="104">
      <c r="C659" s="43" t="n"/>
    </row>
    <row r="660" ht="13.2" customHeight="1" s="104">
      <c r="C660" s="43" t="n"/>
    </row>
    <row r="661" ht="13.2" customHeight="1" s="104">
      <c r="C661" s="43" t="n"/>
    </row>
    <row r="662" ht="13.2" customHeight="1" s="104">
      <c r="C662" s="43" t="n"/>
    </row>
    <row r="663" ht="13.2" customHeight="1" s="104">
      <c r="C663" s="43" t="n"/>
    </row>
    <row r="664" ht="13.2" customHeight="1" s="104">
      <c r="C664" s="43" t="n"/>
    </row>
    <row r="665" ht="13.2" customHeight="1" s="104">
      <c r="C665" s="43" t="n"/>
    </row>
    <row r="666" ht="13.2" customHeight="1" s="104">
      <c r="C666" s="43" t="n"/>
    </row>
    <row r="667" ht="13.2" customHeight="1" s="104">
      <c r="C667" s="43" t="n"/>
    </row>
    <row r="668" ht="13.2" customHeight="1" s="104">
      <c r="C668" s="43" t="n"/>
    </row>
    <row r="669" ht="13.2" customHeight="1" s="104">
      <c r="C669" s="43" t="n"/>
    </row>
    <row r="670" ht="13.2" customHeight="1" s="104">
      <c r="C670" s="43" t="n"/>
    </row>
    <row r="671" ht="13.2" customHeight="1" s="104">
      <c r="C671" s="43" t="n"/>
    </row>
    <row r="672" ht="13.2" customHeight="1" s="104">
      <c r="C672" s="43" t="n"/>
    </row>
    <row r="673" ht="13.2" customHeight="1" s="104">
      <c r="C673" s="43" t="n"/>
    </row>
    <row r="674" ht="13.2" customHeight="1" s="104">
      <c r="C674" s="43" t="n"/>
    </row>
    <row r="675" ht="13.2" customHeight="1" s="104">
      <c r="C675" s="43" t="n"/>
    </row>
    <row r="676" ht="13.2" customHeight="1" s="104">
      <c r="C676" s="43" t="n"/>
    </row>
    <row r="677" ht="13.2" customHeight="1" s="104">
      <c r="C677" s="43" t="n"/>
    </row>
    <row r="678" ht="13.2" customHeight="1" s="104">
      <c r="C678" s="43" t="n"/>
    </row>
    <row r="679" ht="13.2" customHeight="1" s="104">
      <c r="C679" s="43" t="n"/>
    </row>
    <row r="680" ht="13.2" customHeight="1" s="104">
      <c r="C680" s="43" t="n"/>
    </row>
    <row r="681" ht="13.2" customHeight="1" s="104">
      <c r="C681" s="43" t="n"/>
    </row>
    <row r="682" ht="13.2" customHeight="1" s="104">
      <c r="C682" s="43" t="n"/>
    </row>
    <row r="683" ht="13.2" customHeight="1" s="104">
      <c r="C683" s="43" t="n"/>
    </row>
    <row r="684" ht="13.2" customHeight="1" s="104">
      <c r="C684" s="43" t="n"/>
    </row>
    <row r="685" ht="13.2" customHeight="1" s="104">
      <c r="C685" s="43" t="n"/>
    </row>
    <row r="686" ht="13.2" customHeight="1" s="104">
      <c r="C686" s="43" t="n"/>
    </row>
    <row r="687" ht="13.2" customHeight="1" s="104">
      <c r="C687" s="43" t="n"/>
    </row>
    <row r="688" ht="13.2" customHeight="1" s="104">
      <c r="C688" s="43" t="n"/>
    </row>
    <row r="689" ht="13.2" customHeight="1" s="104">
      <c r="C689" s="43" t="n"/>
    </row>
    <row r="690" ht="13.2" customHeight="1" s="104">
      <c r="C690" s="43" t="n"/>
    </row>
    <row r="691" ht="13.2" customHeight="1" s="104">
      <c r="C691" s="43" t="n"/>
    </row>
    <row r="692" ht="13.2" customHeight="1" s="104">
      <c r="C692" s="43" t="n"/>
    </row>
    <row r="693" ht="13.2" customHeight="1" s="104">
      <c r="C693" s="43" t="n"/>
    </row>
    <row r="694" ht="13.2" customHeight="1" s="104">
      <c r="C694" s="43" t="n"/>
    </row>
    <row r="695" ht="13.2" customHeight="1" s="104">
      <c r="C695" s="43" t="n"/>
    </row>
    <row r="696" ht="13.2" customHeight="1" s="104">
      <c r="C696" s="43" t="n"/>
    </row>
    <row r="697" ht="13.2" customHeight="1" s="104">
      <c r="C697" s="43" t="n"/>
    </row>
    <row r="698" ht="13.2" customHeight="1" s="104">
      <c r="C698" s="43" t="n"/>
    </row>
    <row r="699" ht="13.2" customHeight="1" s="104">
      <c r="C699" s="43" t="n"/>
    </row>
    <row r="700" ht="13.2" customHeight="1" s="104">
      <c r="C700" s="43" t="n"/>
    </row>
    <row r="701" ht="13.2" customHeight="1" s="104">
      <c r="C701" s="43" t="n"/>
    </row>
    <row r="702" ht="13.2" customHeight="1" s="104">
      <c r="C702" s="43" t="n"/>
    </row>
    <row r="703" ht="13.2" customHeight="1" s="104">
      <c r="C703" s="43" t="n"/>
    </row>
    <row r="704" ht="13.2" customHeight="1" s="104">
      <c r="C704" s="43" t="n"/>
    </row>
    <row r="705" ht="13.2" customHeight="1" s="104">
      <c r="C705" s="43" t="n"/>
    </row>
    <row r="706" ht="13.2" customHeight="1" s="104">
      <c r="C706" s="43" t="n"/>
    </row>
    <row r="707" ht="13.2" customHeight="1" s="104">
      <c r="C707" s="43" t="n"/>
    </row>
    <row r="708" ht="13.2" customHeight="1" s="104">
      <c r="C708" s="43" t="n"/>
    </row>
    <row r="709" ht="13.2" customHeight="1" s="104">
      <c r="C709" s="43" t="n"/>
    </row>
    <row r="710" ht="13.2" customHeight="1" s="104">
      <c r="C710" s="43" t="n"/>
    </row>
    <row r="711" ht="13.2" customHeight="1" s="104">
      <c r="C711" s="43" t="n"/>
    </row>
    <row r="712" ht="13.2" customHeight="1" s="104">
      <c r="C712" s="43" t="n"/>
    </row>
    <row r="713" ht="13.2" customHeight="1" s="104">
      <c r="C713" s="43" t="n"/>
    </row>
    <row r="714" ht="13.2" customHeight="1" s="104">
      <c r="C714" s="43" t="n"/>
    </row>
    <row r="715" ht="13.2" customHeight="1" s="104">
      <c r="C715" s="43" t="n"/>
    </row>
    <row r="716" ht="13.2" customHeight="1" s="104">
      <c r="C716" s="43" t="n"/>
    </row>
    <row r="717" ht="13.2" customHeight="1" s="104">
      <c r="C717" s="43" t="n"/>
    </row>
    <row r="718" ht="13.2" customHeight="1" s="104">
      <c r="C718" s="43" t="n"/>
    </row>
    <row r="719" ht="13.2" customHeight="1" s="104">
      <c r="C719" s="43" t="n"/>
    </row>
    <row r="720" ht="13.2" customHeight="1" s="104">
      <c r="C720" s="43" t="n"/>
    </row>
    <row r="721" ht="13.2" customHeight="1" s="104">
      <c r="C721" s="43" t="n"/>
    </row>
    <row r="722" ht="13.2" customHeight="1" s="104">
      <c r="C722" s="43" t="n"/>
    </row>
    <row r="723" ht="13.2" customHeight="1" s="104">
      <c r="C723" s="43" t="n"/>
    </row>
    <row r="724" ht="13.2" customHeight="1" s="104">
      <c r="C724" s="43" t="n"/>
    </row>
    <row r="725" ht="13.2" customHeight="1" s="104">
      <c r="C725" s="43" t="n"/>
    </row>
    <row r="726" ht="13.2" customHeight="1" s="104">
      <c r="C726" s="43" t="n"/>
    </row>
    <row r="727" ht="13.2" customHeight="1" s="104">
      <c r="C727" s="43" t="n"/>
    </row>
    <row r="728" ht="13.2" customHeight="1" s="104">
      <c r="C728" s="43" t="n"/>
    </row>
    <row r="729" ht="13.2" customHeight="1" s="104">
      <c r="C729" s="43" t="n"/>
    </row>
    <row r="730" ht="13.2" customHeight="1" s="104">
      <c r="C730" s="43" t="n"/>
    </row>
    <row r="731" ht="13.2" customHeight="1" s="104">
      <c r="C731" s="43" t="n"/>
    </row>
    <row r="732" ht="13.2" customHeight="1" s="104">
      <c r="C732" s="43" t="n"/>
    </row>
    <row r="733" ht="13.2" customHeight="1" s="104">
      <c r="C733" s="43" t="n"/>
    </row>
    <row r="734" ht="13.2" customHeight="1" s="104">
      <c r="C734" s="43" t="n"/>
    </row>
    <row r="735" ht="13.2" customHeight="1" s="104">
      <c r="C735" s="43" t="n"/>
    </row>
    <row r="736" ht="13.2" customHeight="1" s="104">
      <c r="C736" s="43" t="n"/>
    </row>
    <row r="737" ht="13.2" customHeight="1" s="104">
      <c r="C737" s="43" t="n"/>
    </row>
    <row r="738" ht="13.2" customHeight="1" s="104">
      <c r="C738" s="43" t="n"/>
    </row>
    <row r="739" ht="13.2" customHeight="1" s="104">
      <c r="C739" s="43" t="n"/>
    </row>
    <row r="740" ht="13.2" customHeight="1" s="104">
      <c r="C740" s="43" t="n"/>
    </row>
    <row r="741" ht="13.2" customHeight="1" s="104">
      <c r="C741" s="43" t="n"/>
    </row>
    <row r="742" ht="13.2" customHeight="1" s="104">
      <c r="C742" s="43" t="n"/>
    </row>
    <row r="743" ht="13.2" customHeight="1" s="104">
      <c r="C743" s="43" t="n"/>
    </row>
    <row r="744" ht="13.2" customHeight="1" s="104">
      <c r="C744" s="43" t="n"/>
    </row>
    <row r="745" ht="13.2" customHeight="1" s="104">
      <c r="C745" s="43" t="n"/>
    </row>
    <row r="746" ht="13.2" customHeight="1" s="104">
      <c r="C746" s="43" t="n"/>
    </row>
    <row r="747" ht="13.2" customHeight="1" s="104">
      <c r="C747" s="43" t="n"/>
    </row>
    <row r="748" ht="13.2" customHeight="1" s="104">
      <c r="C748" s="43" t="n"/>
    </row>
    <row r="749" ht="13.2" customHeight="1" s="104">
      <c r="C749" s="43" t="n"/>
    </row>
    <row r="750" ht="13.2" customHeight="1" s="104">
      <c r="C750" s="43" t="n"/>
    </row>
    <row r="751" ht="13.2" customHeight="1" s="104">
      <c r="C751" s="43" t="n"/>
    </row>
    <row r="752" ht="13.2" customHeight="1" s="104">
      <c r="C752" s="43" t="n"/>
    </row>
    <row r="753" ht="13.2" customHeight="1" s="104">
      <c r="C753" s="43" t="n"/>
    </row>
    <row r="754" ht="13.2" customHeight="1" s="104">
      <c r="C754" s="43" t="n"/>
    </row>
    <row r="755" ht="13.2" customHeight="1" s="104">
      <c r="C755" s="43" t="n"/>
    </row>
    <row r="756" ht="13.2" customHeight="1" s="104">
      <c r="C756" s="43" t="n"/>
    </row>
    <row r="757" ht="13.2" customHeight="1" s="104">
      <c r="C757" s="43" t="n"/>
    </row>
    <row r="758" ht="13.2" customHeight="1" s="104">
      <c r="C758" s="43" t="n"/>
    </row>
    <row r="759" ht="13.2" customHeight="1" s="104">
      <c r="C759" s="43" t="n"/>
    </row>
    <row r="760" ht="13.2" customHeight="1" s="104">
      <c r="C760" s="43" t="n"/>
    </row>
    <row r="761" ht="13.2" customHeight="1" s="104">
      <c r="C761" s="43" t="n"/>
    </row>
    <row r="762" ht="13.2" customHeight="1" s="104">
      <c r="C762" s="43" t="n"/>
    </row>
    <row r="763" ht="13.2" customHeight="1" s="104">
      <c r="C763" s="43" t="n"/>
    </row>
    <row r="764" ht="13.2" customHeight="1" s="104">
      <c r="C764" s="43" t="n"/>
    </row>
    <row r="765" ht="13.2" customHeight="1" s="104">
      <c r="C765" s="43" t="n"/>
    </row>
    <row r="766" ht="13.2" customHeight="1" s="104">
      <c r="C766" s="43" t="n"/>
    </row>
    <row r="767" ht="13.2" customHeight="1" s="104">
      <c r="C767" s="43" t="n"/>
    </row>
    <row r="768" ht="13.2" customHeight="1" s="104">
      <c r="C768" s="43" t="n"/>
    </row>
    <row r="769" ht="13.2" customHeight="1" s="104">
      <c r="C769" s="43" t="n"/>
    </row>
    <row r="770" ht="13.2" customHeight="1" s="104">
      <c r="C770" s="43" t="n"/>
    </row>
    <row r="771" ht="13.2" customHeight="1" s="104">
      <c r="C771" s="43" t="n"/>
    </row>
    <row r="772" ht="13.2" customHeight="1" s="104">
      <c r="C772" s="43" t="n"/>
    </row>
    <row r="773" ht="13.2" customHeight="1" s="104">
      <c r="C773" s="43" t="n"/>
    </row>
    <row r="774" ht="13.2" customHeight="1" s="104">
      <c r="C774" s="43" t="n"/>
    </row>
    <row r="775" ht="13.2" customHeight="1" s="104">
      <c r="C775" s="43" t="n"/>
    </row>
    <row r="776" ht="13.2" customHeight="1" s="104">
      <c r="C776" s="43" t="n"/>
    </row>
    <row r="777" ht="13.2" customHeight="1" s="104">
      <c r="C777" s="43" t="n"/>
    </row>
    <row r="778" ht="13.2" customHeight="1" s="104">
      <c r="C778" s="43" t="n"/>
    </row>
    <row r="779" ht="13.2" customHeight="1" s="104">
      <c r="C779" s="43" t="n"/>
    </row>
    <row r="780" ht="13.2" customHeight="1" s="104">
      <c r="C780" s="43" t="n"/>
    </row>
    <row r="781" ht="13.2" customHeight="1" s="104">
      <c r="C781" s="43" t="n"/>
    </row>
    <row r="782" ht="13.2" customHeight="1" s="104">
      <c r="C782" s="43" t="n"/>
    </row>
    <row r="783" ht="13.2" customHeight="1" s="104">
      <c r="C783" s="43" t="n"/>
    </row>
    <row r="784" ht="13.2" customHeight="1" s="104">
      <c r="C784" s="43" t="n"/>
    </row>
    <row r="785" ht="13.2" customHeight="1" s="104">
      <c r="C785" s="43" t="n"/>
    </row>
    <row r="786" ht="13.2" customHeight="1" s="104">
      <c r="C786" s="43" t="n"/>
    </row>
    <row r="787" ht="13.2" customHeight="1" s="104">
      <c r="C787" s="43" t="n"/>
    </row>
    <row r="788" ht="13.2" customHeight="1" s="104">
      <c r="C788" s="43" t="n"/>
    </row>
    <row r="789" ht="13.2" customHeight="1" s="104">
      <c r="C789" s="43" t="n"/>
    </row>
    <row r="790" ht="13.2" customHeight="1" s="104">
      <c r="C790" s="43" t="n"/>
    </row>
    <row r="791" ht="13.2" customHeight="1" s="104">
      <c r="C791" s="43" t="n"/>
    </row>
    <row r="792" ht="13.2" customHeight="1" s="104">
      <c r="C792" s="43" t="n"/>
    </row>
    <row r="793" ht="13.2" customHeight="1" s="104">
      <c r="C793" s="43" t="n"/>
    </row>
    <row r="794" ht="13.2" customHeight="1" s="104">
      <c r="C794" s="43" t="n"/>
    </row>
    <row r="795" ht="13.2" customHeight="1" s="104">
      <c r="C795" s="43" t="n"/>
    </row>
    <row r="796" ht="13.2" customHeight="1" s="104">
      <c r="C796" s="43" t="n"/>
    </row>
    <row r="797" ht="13.2" customHeight="1" s="104">
      <c r="C797" s="43" t="n"/>
    </row>
    <row r="798" ht="13.2" customHeight="1" s="104">
      <c r="C798" s="43" t="n"/>
    </row>
    <row r="799" ht="13.2" customHeight="1" s="104">
      <c r="C799" s="43" t="n"/>
    </row>
    <row r="800" ht="13.2" customHeight="1" s="104">
      <c r="C800" s="43" t="n"/>
    </row>
    <row r="801" ht="13.2" customHeight="1" s="104">
      <c r="C801" s="43" t="n"/>
    </row>
    <row r="802" ht="13.2" customHeight="1" s="104">
      <c r="C802" s="43" t="n"/>
    </row>
    <row r="803" ht="13.2" customHeight="1" s="104">
      <c r="C803" s="43" t="n"/>
    </row>
    <row r="804" ht="13.2" customHeight="1" s="104">
      <c r="C804" s="43" t="n"/>
    </row>
    <row r="805" ht="13.2" customHeight="1" s="104">
      <c r="C805" s="43" t="n"/>
    </row>
    <row r="806" ht="13.2" customHeight="1" s="104">
      <c r="C806" s="43" t="n"/>
    </row>
    <row r="807" ht="13.2" customHeight="1" s="104">
      <c r="C807" s="43" t="n"/>
    </row>
    <row r="808" ht="13.2" customHeight="1" s="104">
      <c r="C808" s="43" t="n"/>
    </row>
    <row r="809" ht="13.2" customHeight="1" s="104">
      <c r="C809" s="43" t="n"/>
    </row>
    <row r="810" ht="13.2" customHeight="1" s="104">
      <c r="C810" s="43" t="n"/>
    </row>
    <row r="811" ht="13.2" customHeight="1" s="104">
      <c r="C811" s="43" t="n"/>
    </row>
    <row r="812" ht="13.2" customHeight="1" s="104">
      <c r="C812" s="43" t="n"/>
    </row>
    <row r="813" ht="13.2" customHeight="1" s="104">
      <c r="C813" s="43" t="n"/>
    </row>
    <row r="814" ht="13.2" customHeight="1" s="104">
      <c r="C814" s="43" t="n"/>
    </row>
    <row r="815" ht="13.2" customHeight="1" s="104">
      <c r="C815" s="43" t="n"/>
    </row>
    <row r="816" ht="13.2" customHeight="1" s="104">
      <c r="C816" s="43" t="n"/>
    </row>
    <row r="817" ht="13.2" customHeight="1" s="104">
      <c r="C817" s="43" t="n"/>
    </row>
    <row r="818" ht="13.2" customHeight="1" s="104">
      <c r="C818" s="43" t="n"/>
    </row>
    <row r="819" ht="13.2" customHeight="1" s="104">
      <c r="C819" s="43" t="n"/>
    </row>
    <row r="820" ht="13.2" customHeight="1" s="104">
      <c r="C820" s="43" t="n"/>
    </row>
    <row r="821" ht="13.2" customHeight="1" s="104">
      <c r="C821" s="43" t="n"/>
    </row>
    <row r="822" ht="13.2" customHeight="1" s="104">
      <c r="C822" s="43" t="n"/>
    </row>
    <row r="823" ht="13.2" customHeight="1" s="104">
      <c r="C823" s="43" t="n"/>
    </row>
    <row r="824" ht="13.2" customHeight="1" s="104">
      <c r="C824" s="43" t="n"/>
    </row>
    <row r="825" ht="13.2" customHeight="1" s="104">
      <c r="C825" s="43" t="n"/>
    </row>
    <row r="826" ht="13.2" customHeight="1" s="104">
      <c r="C826" s="43" t="n"/>
    </row>
    <row r="827" ht="13.2" customHeight="1" s="104">
      <c r="C827" s="43" t="n"/>
    </row>
    <row r="828" ht="13.2" customHeight="1" s="104">
      <c r="C828" s="43" t="n"/>
    </row>
    <row r="829" ht="13.2" customHeight="1" s="104">
      <c r="C829" s="43" t="n"/>
    </row>
    <row r="830" ht="13.2" customHeight="1" s="104">
      <c r="C830" s="43" t="n"/>
    </row>
    <row r="831" ht="13.2" customHeight="1" s="104">
      <c r="C831" s="43" t="n"/>
    </row>
    <row r="832" ht="13.2" customHeight="1" s="104">
      <c r="C832" s="43" t="n"/>
    </row>
    <row r="833" ht="13.2" customHeight="1" s="104">
      <c r="C833" s="43" t="n"/>
    </row>
    <row r="834" ht="13.2" customHeight="1" s="104">
      <c r="C834" s="43" t="n"/>
    </row>
    <row r="835" ht="13.2" customHeight="1" s="104">
      <c r="C835" s="43" t="n"/>
    </row>
    <row r="836" ht="13.2" customHeight="1" s="104">
      <c r="C836" s="43" t="n"/>
    </row>
    <row r="837" ht="13.2" customHeight="1" s="104">
      <c r="C837" s="43" t="n"/>
    </row>
    <row r="838" ht="13.2" customHeight="1" s="104">
      <c r="C838" s="43" t="n"/>
    </row>
    <row r="839" ht="13.2" customHeight="1" s="104">
      <c r="C839" s="43" t="n"/>
    </row>
    <row r="840" ht="13.2" customHeight="1" s="104">
      <c r="C840" s="43" t="n"/>
    </row>
    <row r="841" ht="13.2" customHeight="1" s="104">
      <c r="C841" s="43" t="n"/>
    </row>
    <row r="842" ht="13.2" customHeight="1" s="104">
      <c r="C842" s="43" t="n"/>
    </row>
    <row r="843" ht="13.2" customHeight="1" s="104">
      <c r="C843" s="43" t="n"/>
    </row>
    <row r="844" ht="13.2" customHeight="1" s="104">
      <c r="C844" s="43" t="n"/>
    </row>
    <row r="845" ht="13.2" customHeight="1" s="104">
      <c r="C845" s="43" t="n"/>
    </row>
    <row r="846" ht="13.2" customHeight="1" s="104">
      <c r="C846" s="43" t="n"/>
    </row>
    <row r="847" ht="13.2" customHeight="1" s="104">
      <c r="C847" s="43" t="n"/>
    </row>
    <row r="848" ht="13.2" customHeight="1" s="104">
      <c r="C848" s="43" t="n"/>
    </row>
    <row r="849" ht="13.2" customHeight="1" s="104">
      <c r="C849" s="43" t="n"/>
    </row>
    <row r="850" ht="13.2" customHeight="1" s="104">
      <c r="C850" s="43" t="n"/>
    </row>
    <row r="851" ht="13.2" customHeight="1" s="104">
      <c r="C851" s="43" t="n"/>
    </row>
    <row r="852" ht="13.2" customHeight="1" s="104">
      <c r="C852" s="43" t="n"/>
    </row>
    <row r="853" ht="13.2" customHeight="1" s="104">
      <c r="C853" s="43" t="n"/>
    </row>
    <row r="854" ht="13.2" customHeight="1" s="104">
      <c r="C854" s="43" t="n"/>
    </row>
    <row r="855" ht="13.2" customHeight="1" s="104">
      <c r="C855" s="43" t="n"/>
    </row>
    <row r="856" ht="13.2" customHeight="1" s="104">
      <c r="C856" s="43" t="n"/>
    </row>
    <row r="857" ht="13.2" customHeight="1" s="104">
      <c r="C857" s="43" t="n"/>
    </row>
    <row r="858" ht="13.2" customHeight="1" s="104">
      <c r="C858" s="43" t="n"/>
    </row>
    <row r="859" ht="13.2" customHeight="1" s="104">
      <c r="C859" s="43" t="n"/>
    </row>
    <row r="860" ht="13.2" customHeight="1" s="104">
      <c r="C860" s="43" t="n"/>
    </row>
    <row r="861" ht="13.2" customHeight="1" s="104">
      <c r="C861" s="43" t="n"/>
    </row>
    <row r="862" ht="13.2" customHeight="1" s="104">
      <c r="C862" s="43" t="n"/>
    </row>
    <row r="863" ht="13.2" customHeight="1" s="104">
      <c r="C863" s="43" t="n"/>
    </row>
    <row r="864" ht="13.2" customHeight="1" s="104">
      <c r="C864" s="43" t="n"/>
    </row>
    <row r="865" ht="13.2" customHeight="1" s="104">
      <c r="C865" s="43" t="n"/>
    </row>
    <row r="866" ht="13.2" customHeight="1" s="104">
      <c r="C866" s="43" t="n"/>
    </row>
    <row r="867" ht="13.2" customHeight="1" s="104">
      <c r="C867" s="43" t="n"/>
    </row>
    <row r="868" ht="13.2" customHeight="1" s="104">
      <c r="C868" s="43" t="n"/>
    </row>
    <row r="869" ht="13.2" customHeight="1" s="104">
      <c r="C869" s="43" t="n"/>
    </row>
    <row r="870" ht="13.2" customHeight="1" s="104">
      <c r="C870" s="43" t="n"/>
    </row>
    <row r="871" ht="13.2" customHeight="1" s="104">
      <c r="C871" s="43" t="n"/>
    </row>
    <row r="872" ht="13.2" customHeight="1" s="104">
      <c r="C872" s="43" t="n"/>
    </row>
    <row r="873" ht="13.2" customHeight="1" s="104">
      <c r="C873" s="43" t="n"/>
    </row>
    <row r="874" ht="13.2" customHeight="1" s="104">
      <c r="C874" s="43" t="n"/>
    </row>
    <row r="875" ht="13.2" customHeight="1" s="104">
      <c r="C875" s="43" t="n"/>
    </row>
    <row r="876" ht="13.2" customHeight="1" s="104">
      <c r="C876" s="43" t="n"/>
    </row>
    <row r="877" ht="13.2" customHeight="1" s="104">
      <c r="C877" s="43" t="n"/>
    </row>
    <row r="878" ht="13.2" customHeight="1" s="104">
      <c r="C878" s="43" t="n"/>
    </row>
    <row r="879" ht="13.2" customHeight="1" s="104">
      <c r="C879" s="43" t="n"/>
    </row>
    <row r="880" ht="13.2" customHeight="1" s="104">
      <c r="C880" s="43" t="n"/>
    </row>
    <row r="881" ht="13.2" customHeight="1" s="104">
      <c r="C881" s="43" t="n"/>
    </row>
    <row r="882" ht="13.2" customHeight="1" s="104">
      <c r="C882" s="43" t="n"/>
    </row>
    <row r="883" ht="13.2" customHeight="1" s="104">
      <c r="C883" s="43" t="n"/>
    </row>
    <row r="884" ht="13.2" customHeight="1" s="104">
      <c r="C884" s="43" t="n"/>
    </row>
    <row r="885" ht="13.2" customHeight="1" s="104">
      <c r="C885" s="43" t="n"/>
    </row>
    <row r="886" ht="13.2" customHeight="1" s="104">
      <c r="C886" s="43" t="n"/>
    </row>
    <row r="887" ht="13.2" customHeight="1" s="104">
      <c r="C887" s="43" t="n"/>
    </row>
    <row r="888" ht="13.2" customHeight="1" s="104">
      <c r="C888" s="43" t="n"/>
    </row>
    <row r="889" ht="13.2" customHeight="1" s="104">
      <c r="C889" s="43" t="n"/>
    </row>
    <row r="890" ht="13.2" customHeight="1" s="104">
      <c r="C890" s="43" t="n"/>
    </row>
    <row r="891" ht="13.2" customHeight="1" s="104">
      <c r="C891" s="43" t="n"/>
    </row>
    <row r="892" ht="13.2" customHeight="1" s="104">
      <c r="C892" s="43" t="n"/>
    </row>
    <row r="893" ht="13.2" customHeight="1" s="104">
      <c r="C893" s="43" t="n"/>
    </row>
    <row r="894" ht="13.2" customHeight="1" s="104">
      <c r="C894" s="43" t="n"/>
    </row>
    <row r="895" ht="13.2" customHeight="1" s="104">
      <c r="C895" s="43" t="n"/>
    </row>
    <row r="896" ht="13.2" customHeight="1" s="104">
      <c r="C896" s="43" t="n"/>
    </row>
    <row r="897" ht="13.2" customHeight="1" s="104">
      <c r="C897" s="43" t="n"/>
    </row>
    <row r="898" ht="13.2" customHeight="1" s="104">
      <c r="C898" s="43" t="n"/>
    </row>
    <row r="899" ht="13.2" customHeight="1" s="104">
      <c r="C899" s="43" t="n"/>
    </row>
    <row r="900" ht="13.2" customHeight="1" s="104">
      <c r="C900" s="43" t="n"/>
    </row>
    <row r="901" ht="13.2" customHeight="1" s="104">
      <c r="C901" s="43" t="n"/>
    </row>
    <row r="902" ht="13.2" customHeight="1" s="104">
      <c r="C902" s="43" t="n"/>
    </row>
    <row r="903" ht="13.2" customHeight="1" s="104">
      <c r="C903" s="43" t="n"/>
    </row>
    <row r="904" ht="13.2" customHeight="1" s="104">
      <c r="C904" s="43" t="n"/>
    </row>
    <row r="905" ht="13.2" customHeight="1" s="104">
      <c r="C905" s="43" t="n"/>
    </row>
    <row r="906" ht="13.2" customHeight="1" s="104">
      <c r="C906" s="43" t="n"/>
    </row>
    <row r="907" ht="13.2" customHeight="1" s="104">
      <c r="C907" s="43" t="n"/>
    </row>
    <row r="908" ht="13.2" customHeight="1" s="104">
      <c r="C908" s="43" t="n"/>
    </row>
    <row r="909" ht="13.2" customHeight="1" s="104">
      <c r="C909" s="43" t="n"/>
    </row>
    <row r="910" ht="13.2" customHeight="1" s="104">
      <c r="C910" s="43" t="n"/>
    </row>
    <row r="911" ht="13.2" customHeight="1" s="104">
      <c r="C911" s="43" t="n"/>
    </row>
    <row r="912" ht="13.2" customHeight="1" s="104">
      <c r="C912" s="43" t="n"/>
    </row>
    <row r="913" ht="13.2" customHeight="1" s="104">
      <c r="C913" s="43" t="n"/>
    </row>
    <row r="914" ht="13.2" customHeight="1" s="104">
      <c r="C914" s="43" t="n"/>
    </row>
    <row r="915" ht="13.2" customHeight="1" s="104">
      <c r="C915" s="43" t="n"/>
    </row>
    <row r="916" ht="13.2" customHeight="1" s="104">
      <c r="C916" s="43" t="n"/>
    </row>
    <row r="917" ht="13.2" customHeight="1" s="104">
      <c r="C917" s="43" t="n"/>
    </row>
    <row r="918" ht="13.2" customHeight="1" s="104">
      <c r="C918" s="43" t="n"/>
    </row>
    <row r="919" ht="13.2" customHeight="1" s="104">
      <c r="C919" s="43" t="n"/>
    </row>
    <row r="920" ht="13.2" customHeight="1" s="104">
      <c r="C920" s="43" t="n"/>
    </row>
    <row r="921" ht="13.2" customHeight="1" s="104">
      <c r="C921" s="43" t="n"/>
    </row>
    <row r="922" ht="13.2" customHeight="1" s="104">
      <c r="C922" s="43" t="n"/>
    </row>
    <row r="923" ht="13.2" customHeight="1" s="104">
      <c r="C923" s="43" t="n"/>
    </row>
    <row r="924" ht="13.2" customHeight="1" s="104">
      <c r="C924" s="43" t="n"/>
    </row>
    <row r="925" ht="13.2" customHeight="1" s="104">
      <c r="C925" s="43" t="n"/>
    </row>
    <row r="926" ht="13.2" customHeight="1" s="104">
      <c r="C926" s="43" t="n"/>
    </row>
    <row r="927" ht="13.2" customHeight="1" s="104">
      <c r="C927" s="43" t="n"/>
    </row>
    <row r="928" ht="13.2" customHeight="1" s="104">
      <c r="C928" s="43" t="n"/>
    </row>
    <row r="929" ht="13.2" customHeight="1" s="104">
      <c r="C929" s="43" t="n"/>
    </row>
    <row r="930" ht="13.2" customHeight="1" s="104">
      <c r="C930" s="43" t="n"/>
    </row>
    <row r="931" ht="13.2" customHeight="1" s="104">
      <c r="C931" s="43" t="n"/>
    </row>
    <row r="932" ht="13.2" customHeight="1" s="104">
      <c r="C932" s="43" t="n"/>
    </row>
    <row r="933" ht="13.2" customHeight="1" s="104">
      <c r="C933" s="43" t="n"/>
    </row>
    <row r="934" ht="13.2" customHeight="1" s="104">
      <c r="C934" s="43" t="n"/>
    </row>
    <row r="935" ht="13.2" customHeight="1" s="104">
      <c r="C935" s="43" t="n"/>
    </row>
    <row r="936" ht="13.2" customHeight="1" s="104">
      <c r="C936" s="43" t="n"/>
    </row>
    <row r="937" ht="13.2" customHeight="1" s="104">
      <c r="C937" s="43" t="n"/>
    </row>
    <row r="938" ht="13.2" customHeight="1" s="104">
      <c r="C938" s="43" t="n"/>
    </row>
    <row r="939" ht="13.2" customHeight="1" s="104">
      <c r="C939" s="43" t="n"/>
    </row>
    <row r="940" ht="13.2" customHeight="1" s="104">
      <c r="C940" s="43" t="n"/>
    </row>
    <row r="941" ht="13.2" customHeight="1" s="104">
      <c r="C941" s="43" t="n"/>
    </row>
    <row r="942" ht="13.2" customHeight="1" s="104">
      <c r="C942" s="43" t="n"/>
    </row>
    <row r="943" ht="13.2" customHeight="1" s="104">
      <c r="C943" s="43" t="n"/>
    </row>
    <row r="944" ht="13.2" customHeight="1" s="104">
      <c r="C944" s="43" t="n"/>
    </row>
    <row r="945" ht="13.2" customHeight="1" s="104">
      <c r="C945" s="43" t="n"/>
    </row>
    <row r="946" ht="13.2" customHeight="1" s="104">
      <c r="C946" s="43" t="n"/>
    </row>
    <row r="947" ht="13.2" customHeight="1" s="104">
      <c r="C947" s="43" t="n"/>
    </row>
    <row r="948" ht="13.2" customHeight="1" s="104">
      <c r="C948" s="43" t="n"/>
    </row>
    <row r="949" ht="13.2" customHeight="1" s="104">
      <c r="C949" s="43" t="n"/>
    </row>
    <row r="950" ht="13.2" customHeight="1" s="104">
      <c r="C950" s="43" t="n"/>
    </row>
    <row r="951" ht="13.2" customHeight="1" s="104">
      <c r="C951" s="43" t="n"/>
    </row>
    <row r="952" ht="13.2" customHeight="1" s="104">
      <c r="C952" s="43" t="n"/>
    </row>
    <row r="953" ht="13.2" customHeight="1" s="104">
      <c r="C953" s="43" t="n"/>
    </row>
    <row r="954" ht="13.2" customHeight="1" s="104">
      <c r="C954" s="43" t="n"/>
    </row>
    <row r="955" ht="13.2" customHeight="1" s="104">
      <c r="C955" s="43" t="n"/>
    </row>
    <row r="956" ht="13.2" customHeight="1" s="104">
      <c r="C956" s="43" t="n"/>
    </row>
    <row r="957" ht="13.2" customHeight="1" s="104">
      <c r="C957" s="43" t="n"/>
    </row>
    <row r="958" ht="13.2" customHeight="1" s="104">
      <c r="C958" s="43" t="n"/>
    </row>
    <row r="959" ht="13.2" customHeight="1" s="104">
      <c r="C959" s="43" t="n"/>
    </row>
    <row r="960" ht="13.2" customHeight="1" s="104">
      <c r="C960" s="43" t="n"/>
    </row>
    <row r="961" ht="13.2" customHeight="1" s="104">
      <c r="C961" s="43" t="n"/>
    </row>
    <row r="962" ht="13.2" customHeight="1" s="104">
      <c r="C962" s="43" t="n"/>
    </row>
    <row r="963" ht="13.2" customHeight="1" s="104">
      <c r="C963" s="43" t="n"/>
    </row>
    <row r="964" ht="13.2" customHeight="1" s="104">
      <c r="C964" s="43" t="n"/>
    </row>
    <row r="965" ht="13.2" customHeight="1" s="104">
      <c r="C965" s="43" t="n"/>
    </row>
    <row r="966" ht="13.2" customHeight="1" s="104">
      <c r="C966" s="43" t="n"/>
    </row>
    <row r="967" ht="13.2" customHeight="1" s="104">
      <c r="C967" s="43" t="n"/>
    </row>
    <row r="968" ht="13.2" customHeight="1" s="104">
      <c r="C968" s="43" t="n"/>
    </row>
    <row r="969" ht="13.2" customHeight="1" s="104">
      <c r="C969" s="43" t="n"/>
    </row>
    <row r="970" ht="13.2" customHeight="1" s="104">
      <c r="C970" s="43" t="n"/>
    </row>
    <row r="971" ht="13.2" customHeight="1" s="104">
      <c r="C971" s="43" t="n"/>
    </row>
    <row r="972" ht="13.2" customHeight="1" s="104">
      <c r="C972" s="43" t="n"/>
    </row>
    <row r="973" ht="13.2" customHeight="1" s="104">
      <c r="C973" s="43" t="n"/>
    </row>
    <row r="974" ht="13.2" customHeight="1" s="104">
      <c r="C974" s="43" t="n"/>
    </row>
    <row r="975" ht="13.2" customHeight="1" s="104">
      <c r="C975" s="43" t="n"/>
    </row>
    <row r="976" ht="13.2" customHeight="1" s="104">
      <c r="C976" s="43" t="n"/>
    </row>
    <row r="977" ht="13.2" customHeight="1" s="104">
      <c r="C977" s="43" t="n"/>
    </row>
    <row r="978" ht="13.2" customHeight="1" s="104">
      <c r="C978" s="43" t="n"/>
    </row>
    <row r="979" ht="13.2" customHeight="1" s="104">
      <c r="C979" s="43" t="n"/>
    </row>
    <row r="980" ht="13.2" customHeight="1" s="104">
      <c r="C980" s="43" t="n"/>
    </row>
    <row r="981" ht="13.2" customHeight="1" s="104">
      <c r="C981" s="43" t="n"/>
    </row>
    <row r="982" ht="13.2" customHeight="1" s="104">
      <c r="C982" s="43" t="n"/>
    </row>
    <row r="983" ht="13.2" customHeight="1" s="104">
      <c r="C983" s="43" t="n"/>
    </row>
    <row r="984" ht="13.2" customHeight="1" s="104">
      <c r="C984" s="43" t="n"/>
    </row>
    <row r="985" ht="13.2" customHeight="1" s="104">
      <c r="C985" s="43" t="n"/>
    </row>
    <row r="986" ht="13.2" customHeight="1" s="104">
      <c r="C986" s="43" t="n"/>
    </row>
    <row r="987" ht="13.2" customHeight="1" s="104">
      <c r="C987" s="43" t="n"/>
    </row>
    <row r="988" ht="13.2" customHeight="1" s="104">
      <c r="C988" s="43" t="n"/>
    </row>
    <row r="989" ht="13.2" customHeight="1" s="104">
      <c r="C989" s="43" t="n"/>
    </row>
    <row r="990" ht="13.2" customHeight="1" s="104">
      <c r="C990" s="43" t="n"/>
    </row>
    <row r="991" ht="13.2" customHeight="1" s="104">
      <c r="C991" s="43" t="n"/>
    </row>
    <row r="992" ht="13.2" customHeight="1" s="104">
      <c r="C992" s="43" t="n"/>
    </row>
    <row r="993" ht="13.2" customHeight="1" s="104">
      <c r="C993" s="43" t="n"/>
    </row>
    <row r="994" ht="13.2" customHeight="1" s="104">
      <c r="C994" s="43" t="n"/>
    </row>
    <row r="995" ht="13.2" customHeight="1" s="104">
      <c r="C995" s="43" t="n"/>
    </row>
    <row r="996" ht="13.2" customHeight="1" s="104">
      <c r="C996" s="43" t="n"/>
    </row>
    <row r="997" ht="13.2" customHeight="1" s="104">
      <c r="C997" s="43" t="n"/>
    </row>
    <row r="998" ht="13.2" customHeight="1" s="104">
      <c r="C998" s="43" t="n"/>
    </row>
    <row r="999" ht="13.2" customHeight="1" s="104">
      <c r="C999" s="43" t="n"/>
    </row>
    <row r="1000" ht="13.2" customHeight="1" s="104">
      <c r="C1000" s="43" t="n"/>
    </row>
    <row r="1001" ht="13.2" customHeight="1" s="104">
      <c r="C1001" s="43" t="n"/>
    </row>
  </sheetData>
  <mergeCells count="1">
    <mergeCell ref="B3:E3"/>
  </mergeCells>
  <pageMargins left="0.511811024" right="0.511811024" top="0.787401575" bottom="0.787401575" header="0.31496062" footer="0.31496062"/>
  <pageSetup orientation="landscape" paperSize="9" scale="4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1"/>
  <sheetViews>
    <sheetView showGridLines="0" view="pageBreakPreview" zoomScale="60" zoomScaleNormal="100" workbookViewId="0">
      <selection activeCell="D7" sqref="D7"/>
    </sheetView>
  </sheetViews>
  <sheetFormatPr baseColWidth="8" defaultColWidth="12.5546875" defaultRowHeight="15" customHeight="1"/>
  <cols>
    <col width="1.33203125" customWidth="1" style="104" min="1" max="1"/>
    <col width="26.44140625" customWidth="1" style="104" min="2" max="2"/>
    <col width="6.44140625" customWidth="1" style="104" min="3" max="3"/>
    <col width="7.44140625" customWidth="1" style="104" min="4" max="4"/>
    <col width="5.33203125" customWidth="1" style="104" min="5" max="8"/>
    <col width="9.5546875" customWidth="1" style="104" min="9" max="10"/>
    <col width="11.88671875" customWidth="1" style="104" min="11" max="11"/>
    <col width="7.5546875" customWidth="1" style="104" min="12" max="12"/>
    <col width="2" customWidth="1" style="104" min="13" max="13"/>
    <col width="9.109375" customWidth="1" style="104" min="14" max="14"/>
    <col width="6" customWidth="1" style="104" min="15" max="15"/>
    <col width="9.109375" customWidth="1" style="104" min="16" max="16"/>
    <col width="28.109375" customWidth="1" style="104" min="17" max="17"/>
    <col width="9.109375" customWidth="1" style="104" min="18" max="18"/>
    <col width="18.5546875" customWidth="1" style="104" min="19" max="19"/>
    <col width="8.5546875" customWidth="1" style="104" min="20" max="32"/>
  </cols>
  <sheetData>
    <row r="1" ht="6" customHeight="1" s="104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</row>
    <row r="2" ht="19.5" customHeight="1" s="104">
      <c r="A2" s="46" t="n"/>
      <c r="B2" s="111" t="inlineStr">
        <is>
          <t>ITENS DA ISO 13485 - 2016</t>
        </is>
      </c>
      <c r="M2" s="46" t="n"/>
      <c r="N2" s="47" t="inlineStr">
        <is>
          <t>Percentual auditado</t>
        </is>
      </c>
      <c r="O2" s="48">
        <f>(E9+F9+H9)/D9</f>
        <v/>
      </c>
      <c r="P2" s="46" t="n"/>
      <c r="Q2" s="112" t="n"/>
      <c r="R2" s="112" t="n"/>
      <c r="S2" s="112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</row>
    <row r="3" ht="12.75" customHeight="1" s="104">
      <c r="A3" s="46" t="n"/>
      <c r="B3" s="50" t="inlineStr">
        <is>
          <t>Seções</t>
        </is>
      </c>
      <c r="C3" s="14" t="inlineStr">
        <is>
          <t>Total</t>
        </is>
      </c>
      <c r="D3" s="14" t="inlineStr">
        <is>
          <t>Auditados</t>
        </is>
      </c>
      <c r="E3" s="14" t="inlineStr">
        <is>
          <t>C</t>
        </is>
      </c>
      <c r="F3" s="14" t="inlineStr">
        <is>
          <t>NC</t>
        </is>
      </c>
      <c r="G3" s="14" t="inlineStr">
        <is>
          <t>NA</t>
        </is>
      </c>
      <c r="H3" s="14" t="inlineStr">
        <is>
          <t>OM</t>
        </is>
      </c>
      <c r="I3" s="51" t="inlineStr">
        <is>
          <t>Conforme</t>
        </is>
      </c>
      <c r="J3" s="51" t="inlineStr">
        <is>
          <t>Não Conforme</t>
        </is>
      </c>
      <c r="K3" s="51" t="inlineStr">
        <is>
          <t>Oportunidade de Melhoria</t>
        </is>
      </c>
      <c r="L3" s="52" t="inlineStr">
        <is>
          <t>Meta</t>
        </is>
      </c>
      <c r="M3" s="46" t="n"/>
      <c r="N3" s="53" t="inlineStr">
        <is>
          <t>Resultado geral</t>
        </is>
      </c>
      <c r="O3" s="48">
        <f>(E9+H9)/(D9)</f>
        <v/>
      </c>
      <c r="P3" s="46" t="n"/>
      <c r="Q3" s="112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</row>
    <row r="4" ht="12.75" customHeight="1" s="104">
      <c r="A4" s="54" t="n"/>
      <c r="B4" s="55" t="inlineStr">
        <is>
          <t xml:space="preserve">4 Sistema de Gestão da Qualidade                            </t>
        </is>
      </c>
      <c r="C4" s="56">
        <f>COUNTA('Check-List'!B14:B24)</f>
        <v/>
      </c>
      <c r="D4" s="56">
        <f>C4-G4</f>
        <v/>
      </c>
      <c r="E4" s="56">
        <f>COUNTIF('Check-List'!D14:D24,"x")</f>
        <v/>
      </c>
      <c r="F4" s="56">
        <f>COUNTIF('Check-List'!E14:E24,"x")</f>
        <v/>
      </c>
      <c r="G4" s="56">
        <f>COUNTIF('Check-List'!F14:F24,"x")</f>
        <v/>
      </c>
      <c r="H4" s="56">
        <f>COUNTIF('Check-List'!G14:G24,"x")</f>
        <v/>
      </c>
      <c r="I4" s="57">
        <f>E4/D4</f>
        <v/>
      </c>
      <c r="J4" s="57">
        <f>F4/D4</f>
        <v/>
      </c>
      <c r="K4" s="57">
        <f>H4/D4</f>
        <v/>
      </c>
      <c r="L4" s="57" t="n">
        <v>1</v>
      </c>
      <c r="M4" s="54" t="n"/>
      <c r="N4" s="54" t="n"/>
      <c r="O4" s="54" t="n"/>
      <c r="P4" s="54" t="n"/>
      <c r="Q4" s="58" t="n"/>
      <c r="R4" s="59" t="n"/>
      <c r="S4" s="60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</row>
    <row r="5" ht="12.75" customHeight="1" s="104">
      <c r="A5" s="54" t="n"/>
      <c r="B5" s="55" t="inlineStr">
        <is>
          <t xml:space="preserve">5 Responsabilidade da Direção                         </t>
        </is>
      </c>
      <c r="C5" s="56">
        <f>COUNTA('Check-List'!B26:B36)</f>
        <v/>
      </c>
      <c r="D5" s="56">
        <f>C5-G5</f>
        <v/>
      </c>
      <c r="E5" s="56">
        <f>COUNTIF('Check-List'!D26:D36,"x")</f>
        <v/>
      </c>
      <c r="F5" s="56">
        <f>COUNTIF('Check-List'!E26:E36,"x")</f>
        <v/>
      </c>
      <c r="G5" s="56">
        <f>COUNTIF('Check-List'!F26:F36,"x")</f>
        <v/>
      </c>
      <c r="H5" s="56">
        <f>COUNTIF('Check-List'!G26:G36,"x")</f>
        <v/>
      </c>
      <c r="I5" s="57">
        <f>E5/D5</f>
        <v/>
      </c>
      <c r="J5" s="57">
        <f>F5/D5</f>
        <v/>
      </c>
      <c r="K5" s="57">
        <f>H5/D5</f>
        <v/>
      </c>
      <c r="L5" s="57" t="n">
        <v>1</v>
      </c>
      <c r="M5" s="54" t="n"/>
      <c r="N5" s="54" t="n"/>
      <c r="O5" s="54" t="n"/>
      <c r="P5" s="54" t="n"/>
      <c r="Q5" s="58" t="n"/>
      <c r="R5" s="59" t="n"/>
      <c r="S5" s="60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</row>
    <row r="6" ht="12.75" customHeight="1" s="104">
      <c r="A6" s="54" t="n"/>
      <c r="B6" s="55" t="inlineStr">
        <is>
          <t xml:space="preserve">6 Gestão de Recursos </t>
        </is>
      </c>
      <c r="C6" s="56">
        <f>COUNTA('Check-List'!B38:B42)</f>
        <v/>
      </c>
      <c r="D6" s="56">
        <f>C6-G6</f>
        <v/>
      </c>
      <c r="E6" s="56">
        <f>COUNTIF('Check-List'!D38:D42,"x")</f>
        <v/>
      </c>
      <c r="F6" s="56">
        <f>COUNTIF('Check-List'!E38:E42,"x")</f>
        <v/>
      </c>
      <c r="G6" s="56">
        <f>COUNTIF('Check-List'!F38:F42,"x")</f>
        <v/>
      </c>
      <c r="H6" s="56">
        <f>COUNTIF('Check-List'!G38:G42,"x")</f>
        <v/>
      </c>
      <c r="I6" s="57">
        <f>E6/D6</f>
        <v/>
      </c>
      <c r="J6" s="57">
        <f>F6/D6</f>
        <v/>
      </c>
      <c r="K6" s="57">
        <f>H6/D6</f>
        <v/>
      </c>
      <c r="L6" s="57" t="n">
        <v>1</v>
      </c>
      <c r="M6" s="54" t="n"/>
      <c r="N6" s="54" t="n"/>
      <c r="O6" s="54" t="n"/>
      <c r="P6" s="54" t="n"/>
      <c r="Q6" s="58" t="n"/>
      <c r="R6" s="59" t="n"/>
      <c r="S6" s="60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</row>
    <row r="7" ht="12.75" customHeight="1" s="104">
      <c r="A7" s="54" t="n"/>
      <c r="B7" s="55" t="inlineStr">
        <is>
          <t>7 Realização do Produto (Fabricação)</t>
        </is>
      </c>
      <c r="C7" s="56">
        <f>COUNTA('Check-List'!B44:B73)</f>
        <v/>
      </c>
      <c r="D7" s="56">
        <f>C7-G7</f>
        <v/>
      </c>
      <c r="E7" s="56">
        <f>COUNTIF('Check-List'!D44:D73,"x")</f>
        <v/>
      </c>
      <c r="F7" s="56">
        <f>COUNTIF('Check-List'!E44:E73,"x")</f>
        <v/>
      </c>
      <c r="G7" s="56">
        <f>COUNTIF('Check-List'!F44:F73,"x")</f>
        <v/>
      </c>
      <c r="H7" s="56">
        <f>COUNTIF('Check-List'!G44:G73,"x")</f>
        <v/>
      </c>
      <c r="I7" s="57">
        <f>E7/D7</f>
        <v/>
      </c>
      <c r="J7" s="57">
        <f>F7/D7</f>
        <v/>
      </c>
      <c r="K7" s="57">
        <f>H7/D7</f>
        <v/>
      </c>
      <c r="L7" s="57" t="n">
        <v>1</v>
      </c>
      <c r="M7" s="54" t="n"/>
      <c r="N7" s="54" t="n"/>
      <c r="O7" s="54" t="n"/>
      <c r="P7" s="54" t="n"/>
      <c r="Q7" s="58" t="n"/>
      <c r="R7" s="59" t="n"/>
      <c r="S7" s="60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</row>
    <row r="8" ht="12.75" customHeight="1" s="104">
      <c r="A8" s="54" t="n"/>
      <c r="B8" s="55" t="inlineStr">
        <is>
          <t>8 Medição, Análise e Melhoria</t>
        </is>
      </c>
      <c r="C8" s="56">
        <f>COUNTA('Check-List'!B75:B89)</f>
        <v/>
      </c>
      <c r="D8" s="56">
        <f>C8-G8</f>
        <v/>
      </c>
      <c r="E8" s="56">
        <f>COUNTIF('Check-List'!D75:D89,"x")</f>
        <v/>
      </c>
      <c r="F8" s="56">
        <f>COUNTIF('Check-List'!E75:E89,"x")</f>
        <v/>
      </c>
      <c r="G8" s="56">
        <f>COUNTIF('Check-List'!F75:F89,"x")</f>
        <v/>
      </c>
      <c r="H8" s="56">
        <f>COUNTIF('Check-List'!G75:G89,"x")</f>
        <v/>
      </c>
      <c r="I8" s="57">
        <f>E8/D8</f>
        <v/>
      </c>
      <c r="J8" s="57">
        <f>F8/D8</f>
        <v/>
      </c>
      <c r="K8" s="57">
        <f>H8/D8</f>
        <v/>
      </c>
      <c r="L8" s="57" t="n">
        <v>1</v>
      </c>
      <c r="M8" s="54" t="n"/>
      <c r="N8" s="61" t="n"/>
      <c r="O8" s="54" t="n"/>
      <c r="P8" s="54" t="n"/>
      <c r="Q8" s="58" t="n"/>
      <c r="R8" s="59" t="n"/>
      <c r="S8" s="60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</row>
    <row r="9" ht="12.75" customHeight="1" s="104">
      <c r="A9" s="46" t="n"/>
      <c r="B9" s="55" t="inlineStr">
        <is>
          <t>Total</t>
        </is>
      </c>
      <c r="C9" s="56">
        <f>SUM(C4:C8)</f>
        <v/>
      </c>
      <c r="D9" s="56">
        <f>SUM(D4:D8)</f>
        <v/>
      </c>
      <c r="E9" s="62">
        <f>SUM(E4:E8)</f>
        <v/>
      </c>
      <c r="F9" s="63">
        <f>SUM(F4:F8)</f>
        <v/>
      </c>
      <c r="G9" s="64">
        <f>SUM(G4:G8)</f>
        <v/>
      </c>
      <c r="H9" s="65">
        <f>SUM(H4:H8)</f>
        <v/>
      </c>
      <c r="I9" s="57">
        <f>E9/D9</f>
        <v/>
      </c>
      <c r="J9" s="57">
        <f>F9/D9</f>
        <v/>
      </c>
      <c r="K9" s="57">
        <f>H9/D9</f>
        <v/>
      </c>
      <c r="L9" s="57" t="n">
        <v>1</v>
      </c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</row>
    <row r="10" ht="12.75" customHeight="1" s="104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</row>
    <row r="11" ht="12.75" customHeight="1" s="104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</row>
    <row r="12" ht="12.75" customHeight="1" s="104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</row>
    <row r="13" ht="30.75" customHeight="1" s="104">
      <c r="A13" s="46" t="n"/>
      <c r="B13" s="113" t="inlineStr">
        <is>
          <t>Percentual de Atendimento a ISO 13485 - 2016</t>
        </is>
      </c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</row>
    <row r="14" ht="12.75" customHeight="1" s="10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</row>
    <row r="15" ht="12.75" customHeight="1" s="104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</row>
    <row r="16" ht="12.75" customHeight="1" s="104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</row>
    <row r="17" ht="12.75" customHeight="1" s="104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</row>
    <row r="18" ht="12.75" customHeight="1" s="104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</row>
    <row r="19" ht="12.75" customHeight="1" s="104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</row>
    <row r="20" ht="12.75" customHeight="1" s="104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</row>
    <row r="21" ht="12.75" customHeight="1" s="104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</row>
    <row r="22" ht="12.75" customHeight="1" s="104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</row>
    <row r="23" ht="12.75" customHeight="1" s="104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</row>
    <row r="24" ht="12.75" customHeight="1" s="10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</row>
    <row r="25" ht="12.75" customHeight="1" s="104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</row>
    <row r="26" ht="12.75" customHeight="1" s="104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</row>
    <row r="27" ht="12.75" customHeight="1" s="104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</row>
    <row r="28" ht="12.75" customHeight="1" s="104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</row>
    <row r="29" ht="12.75" customHeight="1" s="104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</row>
    <row r="30" ht="12.75" customHeight="1" s="104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</row>
    <row r="31" ht="12.75" customHeight="1" s="104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</row>
    <row r="32" ht="12.75" customHeight="1" s="104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</row>
    <row r="33" ht="12.75" customHeight="1" s="104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</row>
    <row r="34" ht="12.75" customHeight="1" s="10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</row>
    <row r="35" ht="12.75" customHeight="1" s="104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</row>
    <row r="36" ht="12.75" customHeight="1" s="104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</row>
    <row r="37" ht="12.75" customHeight="1" s="104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</row>
    <row r="38" ht="12.75" customHeight="1" s="104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</row>
    <row r="39" ht="12.75" customHeight="1" s="104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</row>
    <row r="40" ht="12.75" customHeight="1" s="104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</row>
    <row r="41" ht="12.75" customHeight="1" s="104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</row>
    <row r="42" ht="12.75" customHeight="1" s="104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</row>
    <row r="43" ht="22.5" customHeight="1" s="104">
      <c r="A43" s="66" t="n"/>
      <c r="B43" s="50" t="inlineStr">
        <is>
          <t>Seções</t>
        </is>
      </c>
      <c r="C43" s="14" t="inlineStr">
        <is>
          <t>NC</t>
        </is>
      </c>
      <c r="D43" s="14" t="inlineStr">
        <is>
          <t>OM</t>
        </is>
      </c>
      <c r="E43" s="14" t="inlineStr">
        <is>
          <t>Principais itens</t>
        </is>
      </c>
      <c r="F43" s="127" t="n"/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8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</row>
    <row r="44" ht="17.25" customHeight="1" s="104">
      <c r="A44" s="66" t="n"/>
      <c r="B44" s="55" t="inlineStr">
        <is>
          <t xml:space="preserve">4 Sistema de Gestão da Qualidade                            </t>
        </is>
      </c>
      <c r="C44" s="67">
        <f>F4</f>
        <v/>
      </c>
      <c r="D44" s="67">
        <f>H4</f>
        <v/>
      </c>
      <c r="E44" s="146" t="n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8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</row>
    <row r="45" ht="12.75" customHeight="1" s="104">
      <c r="A45" s="66" t="n"/>
      <c r="B45" s="55" t="inlineStr">
        <is>
          <t xml:space="preserve">5 Responsabilidade da Direção                         </t>
        </is>
      </c>
      <c r="C45" s="67">
        <f>F5</f>
        <v/>
      </c>
      <c r="D45" s="67">
        <f>H5</f>
        <v/>
      </c>
      <c r="E45" s="14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8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</row>
    <row r="46" ht="12.75" customHeight="1" s="104">
      <c r="A46" s="66" t="n"/>
      <c r="B46" s="55" t="inlineStr">
        <is>
          <t xml:space="preserve">6 Gestão de Recursos </t>
        </is>
      </c>
      <c r="C46" s="67">
        <f>F6</f>
        <v/>
      </c>
      <c r="D46" s="67">
        <f>H6</f>
        <v/>
      </c>
      <c r="E46" s="14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8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</row>
    <row r="47" ht="12.75" customHeight="1" s="104">
      <c r="A47" s="66" t="n"/>
      <c r="B47" s="55" t="inlineStr">
        <is>
          <t>7 Realização do Produto (Fabricação)</t>
        </is>
      </c>
      <c r="C47" s="67">
        <f>F7</f>
        <v/>
      </c>
      <c r="D47" s="67">
        <f>H7</f>
        <v/>
      </c>
      <c r="E47" s="147" t="n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8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</row>
    <row r="48" ht="12.75" customHeight="1" s="104">
      <c r="A48" s="66" t="n"/>
      <c r="B48" s="55" t="inlineStr">
        <is>
          <t>8 Medição, Análise e Melhoria</t>
        </is>
      </c>
      <c r="C48" s="67">
        <f>F8</f>
        <v/>
      </c>
      <c r="D48" s="67">
        <f>H8</f>
        <v/>
      </c>
      <c r="E48" s="147" t="n"/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8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</row>
    <row r="49" ht="12.75" customHeight="1" s="104">
      <c r="A49" s="66" t="n"/>
      <c r="B49" s="66" t="n"/>
      <c r="C49" s="68">
        <f>SUM(C44:C48)</f>
        <v/>
      </c>
      <c r="D49" s="69">
        <f>SUM(D44:D48)</f>
        <v/>
      </c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</row>
    <row r="50" ht="12.75" customHeight="1" s="104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</row>
    <row r="51" ht="12.75" customHeight="1" s="104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</row>
    <row r="52" ht="12.75" customHeight="1" s="104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</row>
    <row r="53" ht="12.75" customHeight="1" s="104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</row>
    <row r="54" ht="12.75" customHeight="1" s="10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</row>
    <row r="55" ht="12.75" customHeight="1" s="104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</row>
    <row r="56" ht="12.75" customHeight="1" s="104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</row>
    <row r="57" ht="12.75" customHeight="1" s="104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12.75" customHeight="1" s="104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</row>
    <row r="59" ht="12.75" customHeight="1" s="104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</row>
    <row r="60" ht="12.75" customHeight="1" s="104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</row>
    <row r="61" ht="12.75" customHeight="1" s="104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</row>
    <row r="62" ht="12.75" customHeight="1" s="104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</row>
    <row r="63" ht="12.75" customHeight="1" s="104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</row>
    <row r="64" ht="12.75" customHeight="1" s="10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</row>
    <row r="65" ht="12.75" customHeight="1" s="104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</row>
    <row r="66" ht="12.75" customHeight="1" s="104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</row>
    <row r="67" ht="12.75" customHeight="1" s="104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</row>
    <row r="68" ht="12.75" customHeight="1" s="104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</row>
    <row r="69" ht="12.75" customHeight="1" s="104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</row>
    <row r="70" ht="12.75" customHeight="1" s="104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</row>
    <row r="71" ht="12.75" customHeight="1" s="104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</row>
    <row r="72" ht="12.75" customHeight="1" s="104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</row>
    <row r="73" ht="12.75" customHeight="1" s="104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</row>
    <row r="74" ht="12.75" customHeight="1" s="10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</row>
    <row r="75" ht="12.75" customHeight="1" s="104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</row>
    <row r="76" ht="12.75" customHeight="1" s="104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</row>
    <row r="77" ht="12.75" customHeight="1" s="104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</row>
    <row r="78" ht="12.75" customHeight="1" s="104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</row>
    <row r="79" ht="12.75" customHeight="1" s="104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</row>
    <row r="80" ht="12.75" customHeight="1" s="104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</row>
    <row r="81" ht="12.75" customHeight="1" s="104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</row>
    <row r="82" ht="12.75" customHeight="1" s="104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</row>
    <row r="83" ht="12.75" customHeight="1" s="104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</row>
    <row r="84" ht="12.75" customHeight="1" s="10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</row>
    <row r="85" ht="12.75" customHeight="1" s="104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</row>
    <row r="86" ht="12.75" customHeight="1" s="104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</row>
    <row r="87" ht="12.75" customHeight="1" s="104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</row>
    <row r="88" ht="12.75" customHeight="1" s="104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</row>
    <row r="89" ht="12.75" customHeight="1" s="104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</row>
    <row r="90" ht="12.75" customHeight="1" s="104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</row>
    <row r="91" ht="12.75" customHeight="1" s="104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</row>
    <row r="92" ht="12.75" customHeight="1" s="104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</row>
    <row r="93" ht="12.75" customHeight="1" s="104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</row>
    <row r="94" ht="12.75" customHeight="1" s="10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</row>
    <row r="95" ht="12.75" customHeight="1" s="104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</row>
    <row r="96" ht="12.75" customHeight="1" s="104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</row>
    <row r="97" ht="12.75" customHeight="1" s="104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</row>
    <row r="98" ht="12.75" customHeight="1" s="104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</row>
    <row r="99" ht="12.75" customHeight="1" s="104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</row>
    <row r="100" ht="12.75" customHeight="1" s="104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</row>
    <row r="101" ht="12.75" customHeight="1" s="104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</row>
    <row r="102" ht="12.75" customHeight="1" s="104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</row>
    <row r="103" ht="12.75" customHeight="1" s="104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</row>
    <row r="104" ht="12.75" customHeight="1" s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</row>
    <row r="105" ht="12.75" customHeight="1" s="104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</row>
    <row r="106" ht="12.75" customHeight="1" s="104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</row>
    <row r="107" ht="12.75" customHeight="1" s="104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</row>
    <row r="108" ht="12.75" customHeight="1" s="104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</row>
    <row r="109" ht="12.75" customHeight="1" s="104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</row>
    <row r="110" ht="12.75" customHeight="1" s="104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</row>
    <row r="111" ht="12.75" customHeight="1" s="104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</row>
    <row r="112" ht="12.75" customHeight="1" s="104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</row>
    <row r="113" ht="12.75" customHeight="1" s="104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</row>
    <row r="114" ht="12.75" customHeight="1" s="10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</row>
    <row r="115" ht="12.75" customHeight="1" s="104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</row>
    <row r="116" ht="12.75" customHeight="1" s="104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</row>
    <row r="117" ht="12.75" customHeight="1" s="104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</row>
    <row r="118" ht="12.75" customHeight="1" s="104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</row>
    <row r="119" ht="12.75" customHeight="1" s="104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</row>
    <row r="120" ht="12.75" customHeight="1" s="104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</row>
    <row r="121" ht="12.75" customHeight="1" s="104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</row>
    <row r="122" ht="12.75" customHeight="1" s="104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</row>
    <row r="123" ht="12.75" customHeight="1" s="104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</row>
    <row r="124" ht="12.75" customHeight="1" s="10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</row>
    <row r="125" ht="12.75" customHeight="1" s="104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</row>
    <row r="126" ht="12.75" customHeight="1" s="104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</row>
    <row r="127" ht="12.75" customHeight="1" s="104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</row>
    <row r="128" ht="12.75" customHeight="1" s="104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</row>
    <row r="129" ht="12.75" customHeight="1" s="104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</row>
    <row r="130" ht="12.75" customHeight="1" s="104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</row>
    <row r="131" ht="12.75" customHeight="1" s="104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</row>
    <row r="132" ht="12.75" customHeight="1" s="104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</row>
    <row r="133" ht="12.75" customHeight="1" s="104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</row>
    <row r="134" ht="12.75" customHeight="1" s="10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</row>
    <row r="135" ht="12.75" customHeight="1" s="104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</row>
    <row r="136" ht="12.75" customHeight="1" s="104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</row>
    <row r="137" ht="12.75" customHeight="1" s="104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</row>
    <row r="138" ht="12.75" customHeight="1" s="104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</row>
    <row r="139" ht="12.75" customHeight="1" s="104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</row>
    <row r="140" ht="12.75" customHeight="1" s="104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</row>
    <row r="141" ht="12.75" customHeight="1" s="104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</row>
    <row r="142" ht="12.75" customHeight="1" s="104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</row>
    <row r="143" ht="12.75" customHeight="1" s="104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</row>
    <row r="144" ht="12.75" customHeight="1" s="10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</row>
    <row r="145" ht="12.75" customHeight="1" s="104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</row>
    <row r="146" ht="12.75" customHeight="1" s="104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</row>
    <row r="147" ht="12.75" customHeight="1" s="104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</row>
    <row r="148" ht="12.75" customHeight="1" s="104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</row>
    <row r="149" ht="12.75" customHeight="1" s="104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</row>
    <row r="150" ht="12.75" customHeight="1" s="104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</row>
    <row r="151" ht="12.75" customHeight="1" s="104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</row>
    <row r="152" ht="12.75" customHeight="1" s="104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</row>
    <row r="153" ht="12.75" customHeight="1" s="104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</row>
    <row r="154" ht="12.75" customHeight="1" s="10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</row>
    <row r="155" ht="12.75" customHeight="1" s="104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</row>
    <row r="156" ht="12.75" customHeight="1" s="104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</row>
    <row r="157" ht="12.75" customHeight="1" s="104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</row>
    <row r="158" ht="12.75" customHeight="1" s="104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</row>
    <row r="159" ht="12.75" customHeight="1" s="104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</row>
    <row r="160" ht="12.75" customHeight="1" s="104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</row>
    <row r="161" ht="12.75" customHeight="1" s="104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</row>
    <row r="162" ht="12.75" customHeight="1" s="104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</row>
    <row r="163" ht="12.75" customHeight="1" s="104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</row>
    <row r="164" ht="12.75" customHeight="1" s="10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</row>
    <row r="165" ht="12.75" customHeight="1" s="104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</row>
    <row r="166" ht="12.75" customHeight="1" s="104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</row>
    <row r="167" ht="12.75" customHeight="1" s="104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</row>
    <row r="168" ht="12.75" customHeight="1" s="104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</row>
    <row r="169" ht="12.75" customHeight="1" s="104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</row>
    <row r="170" ht="12.75" customHeight="1" s="104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</row>
    <row r="171" ht="12.75" customHeight="1" s="104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</row>
    <row r="172" ht="12.75" customHeight="1" s="104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</row>
    <row r="173" ht="12.75" customHeight="1" s="104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</row>
    <row r="174" ht="12.75" customHeight="1" s="10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</row>
    <row r="175" ht="12.75" customHeight="1" s="104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</row>
    <row r="176" ht="12.75" customHeight="1" s="104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</row>
    <row r="177" ht="12.75" customHeight="1" s="104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</row>
    <row r="178" ht="12.75" customHeight="1" s="104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</row>
    <row r="179" ht="12.75" customHeight="1" s="104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</row>
    <row r="180" ht="12.75" customHeight="1" s="104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</row>
    <row r="181" ht="12.75" customHeight="1" s="104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</row>
    <row r="182" ht="12.75" customHeight="1" s="104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</row>
    <row r="183" ht="12.75" customHeight="1" s="104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</row>
    <row r="184" ht="12.75" customHeight="1" s="10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</row>
    <row r="185" ht="12.75" customHeight="1" s="104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</row>
    <row r="186" ht="12.75" customHeight="1" s="104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</row>
    <row r="187" ht="12.75" customHeight="1" s="104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</row>
    <row r="188" ht="12.75" customHeight="1" s="104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</row>
    <row r="189" ht="12.75" customHeight="1" s="104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</row>
    <row r="190" ht="12.75" customHeight="1" s="104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</row>
    <row r="191" ht="12.75" customHeight="1" s="104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</row>
    <row r="192" ht="12.75" customHeight="1" s="104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</row>
    <row r="193" ht="12.75" customHeight="1" s="104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</row>
    <row r="194" ht="12.75" customHeight="1" s="10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</row>
    <row r="195" ht="12.75" customHeight="1" s="104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</row>
    <row r="196" ht="12.75" customHeight="1" s="104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</row>
    <row r="197" ht="12.75" customHeight="1" s="104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</row>
    <row r="198" ht="12.75" customHeight="1" s="104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</row>
    <row r="199" ht="12.75" customHeight="1" s="104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</row>
    <row r="200" ht="12.75" customHeight="1" s="104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</row>
    <row r="201" ht="12.75" customHeight="1" s="104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</row>
    <row r="202" ht="12.75" customHeight="1" s="104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</row>
    <row r="203" ht="12.75" customHeight="1" s="104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</row>
    <row r="204" ht="12.75" customHeight="1" s="1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</row>
    <row r="205" ht="12.75" customHeight="1" s="104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</row>
    <row r="206" ht="12.75" customHeight="1" s="104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</row>
    <row r="207" ht="12.75" customHeight="1" s="104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</row>
    <row r="208" ht="12.75" customHeight="1" s="104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</row>
    <row r="209" ht="12.75" customHeight="1" s="104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</row>
    <row r="210" ht="12.75" customHeight="1" s="104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</row>
    <row r="211" ht="12.75" customHeight="1" s="104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</row>
    <row r="212" ht="12.75" customHeight="1" s="104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</row>
    <row r="213" ht="12.75" customHeight="1" s="104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</row>
    <row r="214" ht="12.75" customHeight="1" s="10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</row>
    <row r="215" ht="12.75" customHeight="1" s="104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</row>
    <row r="216" ht="12.75" customHeight="1" s="104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</row>
    <row r="217" ht="12.75" customHeight="1" s="104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</row>
    <row r="218" ht="12.75" customHeight="1" s="104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</row>
    <row r="219" ht="12.75" customHeight="1" s="104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</row>
    <row r="220" ht="12.75" customHeight="1" s="104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</row>
    <row r="221" ht="12.75" customHeight="1" s="104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</row>
    <row r="222" ht="12.75" customHeight="1" s="104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</row>
    <row r="223" ht="12.75" customHeight="1" s="104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</row>
    <row r="224" ht="12.75" customHeight="1" s="10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</row>
    <row r="225" ht="12.75" customHeight="1" s="104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</row>
    <row r="226" ht="12.75" customHeight="1" s="104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</row>
    <row r="227" ht="12.75" customHeight="1" s="104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</row>
    <row r="228" ht="12.75" customHeight="1" s="104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</row>
    <row r="229" ht="12.75" customHeight="1" s="104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</row>
    <row r="230" ht="12.75" customHeight="1" s="104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</row>
    <row r="231" ht="12.75" customHeight="1" s="104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</row>
    <row r="232" ht="12.75" customHeight="1" s="104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</row>
    <row r="233" ht="12.75" customHeight="1" s="104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</row>
    <row r="234" ht="12.75" customHeight="1" s="10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</row>
    <row r="235" ht="12.75" customHeight="1" s="104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</row>
    <row r="236" ht="12.75" customHeight="1" s="104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</row>
    <row r="237" ht="12.75" customHeight="1" s="104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</row>
    <row r="238" ht="12.75" customHeight="1" s="104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</row>
    <row r="239" ht="12.75" customHeight="1" s="104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</row>
    <row r="240" ht="12.75" customHeight="1" s="104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</row>
    <row r="241" ht="12.75" customHeight="1" s="104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</row>
    <row r="242" ht="12.75" customHeight="1" s="104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</row>
    <row r="243" ht="12.75" customHeight="1" s="104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</row>
    <row r="244" ht="12.75" customHeight="1" s="10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</row>
    <row r="245" ht="12.75" customHeight="1" s="104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</row>
    <row r="246" ht="12.75" customHeight="1" s="104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</row>
    <row r="247" ht="12.75" customHeight="1" s="104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</row>
    <row r="248" ht="12.75" customHeight="1" s="104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</row>
    <row r="249" ht="12.75" customHeight="1" s="104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</row>
    <row r="250" ht="12.75" customHeight="1" s="104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</row>
    <row r="251" ht="12.75" customHeight="1" s="104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</row>
    <row r="252" ht="12.75" customHeight="1" s="104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</row>
    <row r="253" ht="12.75" customHeight="1" s="104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</row>
    <row r="254" ht="12.75" customHeight="1" s="10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</row>
    <row r="255" ht="12.75" customHeight="1" s="104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</row>
    <row r="256" ht="12.75" customHeight="1" s="104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</row>
    <row r="257" ht="12.75" customHeight="1" s="104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</row>
    <row r="258" ht="12.75" customHeight="1" s="104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</row>
    <row r="259" ht="12.75" customHeight="1" s="104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</row>
    <row r="260" ht="12.75" customHeight="1" s="104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</row>
    <row r="261" ht="12.75" customHeight="1" s="104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</row>
    <row r="262" ht="12.75" customHeight="1" s="104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</row>
    <row r="263" ht="12.75" customHeight="1" s="104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</row>
    <row r="264" ht="12.75" customHeight="1" s="10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</row>
    <row r="265" ht="12.75" customHeight="1" s="104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</row>
    <row r="266" ht="12.75" customHeight="1" s="104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</row>
    <row r="267" ht="12.75" customHeight="1" s="104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</row>
    <row r="268" ht="12.75" customHeight="1" s="104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</row>
    <row r="269" ht="12.75" customHeight="1" s="104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</row>
    <row r="270" ht="12.75" customHeight="1" s="104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</row>
    <row r="271" ht="12.75" customHeight="1" s="104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</row>
    <row r="272" ht="12.75" customHeight="1" s="104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</row>
    <row r="273" ht="12.75" customHeight="1" s="104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</row>
    <row r="274" ht="12.75" customHeight="1" s="10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</row>
    <row r="275" ht="12.75" customHeight="1" s="104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</row>
    <row r="276" ht="12.75" customHeight="1" s="104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</row>
    <row r="277" ht="12.75" customHeight="1" s="104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</row>
    <row r="278" ht="12.75" customHeight="1" s="104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</row>
    <row r="279" ht="12.75" customHeight="1" s="104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</row>
    <row r="280" ht="12.75" customHeight="1" s="104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</row>
    <row r="281" ht="12.75" customHeight="1" s="104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</row>
    <row r="282" ht="12.75" customHeight="1" s="104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</row>
    <row r="283" ht="12.75" customHeight="1" s="104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</row>
    <row r="284" ht="12.75" customHeight="1" s="10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</row>
    <row r="285" ht="12.75" customHeight="1" s="104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</row>
    <row r="286" ht="12.75" customHeight="1" s="104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</row>
    <row r="287" ht="12.75" customHeight="1" s="104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</row>
    <row r="288" ht="12.75" customHeight="1" s="104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</row>
    <row r="289" ht="12.75" customHeight="1" s="104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</row>
    <row r="290" ht="12.75" customHeight="1" s="104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</row>
    <row r="291" ht="12.75" customHeight="1" s="104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</row>
    <row r="292" ht="12.75" customHeight="1" s="104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</row>
    <row r="293" ht="12.75" customHeight="1" s="104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</row>
    <row r="294" ht="12.75" customHeight="1" s="10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</row>
    <row r="295" ht="12.75" customHeight="1" s="104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</row>
    <row r="296" ht="12.75" customHeight="1" s="104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</row>
    <row r="297" ht="12.75" customHeight="1" s="104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</row>
    <row r="298" ht="12.75" customHeight="1" s="104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</row>
    <row r="299" ht="12.75" customHeight="1" s="104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</row>
    <row r="300" ht="12.75" customHeight="1" s="104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</row>
    <row r="301" ht="12.75" customHeight="1" s="104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</row>
    <row r="302" ht="12.75" customHeight="1" s="104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</row>
    <row r="303" ht="12.75" customHeight="1" s="104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</row>
    <row r="304" ht="12.75" customHeight="1" s="1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</row>
    <row r="305" ht="12.75" customHeight="1" s="104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</row>
    <row r="306" ht="12.75" customHeight="1" s="104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</row>
    <row r="307" ht="12.75" customHeight="1" s="104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</row>
    <row r="308" ht="12.75" customHeight="1" s="104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</row>
    <row r="309" ht="12.75" customHeight="1" s="104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</row>
    <row r="310" ht="12.75" customHeight="1" s="104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</row>
    <row r="311" ht="12.75" customHeight="1" s="104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</row>
    <row r="312" ht="12.75" customHeight="1" s="104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</row>
    <row r="313" ht="12.75" customHeight="1" s="104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</row>
    <row r="314" ht="12.75" customHeight="1" s="10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</row>
    <row r="315" ht="12.75" customHeight="1" s="104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</row>
    <row r="316" ht="12.75" customHeight="1" s="104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</row>
    <row r="317" ht="12.75" customHeight="1" s="104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</row>
    <row r="318" ht="12.75" customHeight="1" s="104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</row>
    <row r="319" ht="12.75" customHeight="1" s="104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</row>
    <row r="320" ht="12.75" customHeight="1" s="104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</row>
    <row r="321" ht="12.75" customHeight="1" s="104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</row>
    <row r="322" ht="12.75" customHeight="1" s="104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</row>
    <row r="323" ht="12.75" customHeight="1" s="104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</row>
    <row r="324" ht="12.75" customHeight="1" s="10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</row>
    <row r="325" ht="12.75" customHeight="1" s="104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</row>
    <row r="326" ht="12.75" customHeight="1" s="104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</row>
    <row r="327" ht="12.75" customHeight="1" s="104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</row>
    <row r="328" ht="12.75" customHeight="1" s="104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</row>
    <row r="329" ht="12.75" customHeight="1" s="104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</row>
    <row r="330" ht="12.75" customHeight="1" s="104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</row>
    <row r="331" ht="12.75" customHeight="1" s="104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</row>
    <row r="332" ht="12.75" customHeight="1" s="104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</row>
    <row r="333" ht="12.75" customHeight="1" s="104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</row>
    <row r="334" ht="12.75" customHeight="1" s="10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</row>
    <row r="335" ht="12.75" customHeight="1" s="104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</row>
    <row r="336" ht="12.75" customHeight="1" s="104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</row>
    <row r="337" ht="12.75" customHeight="1" s="104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</row>
    <row r="338" ht="12.75" customHeight="1" s="104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</row>
    <row r="339" ht="12.75" customHeight="1" s="104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</row>
    <row r="340" ht="12.75" customHeight="1" s="104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</row>
    <row r="341" ht="12.75" customHeight="1" s="104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</row>
    <row r="342" ht="12.75" customHeight="1" s="104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</row>
    <row r="343" ht="12.75" customHeight="1" s="104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</row>
    <row r="344" ht="12.75" customHeight="1" s="10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</row>
    <row r="345" ht="12.75" customHeight="1" s="104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</row>
    <row r="346" ht="12.75" customHeight="1" s="104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</row>
    <row r="347" ht="12.75" customHeight="1" s="104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</row>
    <row r="348" ht="12.75" customHeight="1" s="104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</row>
    <row r="349" ht="12.75" customHeight="1" s="104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</row>
    <row r="350" ht="12.75" customHeight="1" s="104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</row>
    <row r="351" ht="12.75" customHeight="1" s="104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</row>
    <row r="352" ht="12.75" customHeight="1" s="104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</row>
    <row r="353" ht="12.75" customHeight="1" s="104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</row>
    <row r="354" ht="12.75" customHeight="1" s="10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</row>
    <row r="355" ht="12.75" customHeight="1" s="104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</row>
    <row r="356" ht="12.75" customHeight="1" s="104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</row>
    <row r="357" ht="12.75" customHeight="1" s="104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</row>
    <row r="358" ht="12.75" customHeight="1" s="104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</row>
    <row r="359" ht="12.75" customHeight="1" s="104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</row>
    <row r="360" ht="12.75" customHeight="1" s="104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</row>
    <row r="361" ht="12.75" customHeight="1" s="104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</row>
    <row r="362" ht="12.75" customHeight="1" s="104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</row>
    <row r="363" ht="12.75" customHeight="1" s="104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</row>
    <row r="364" ht="12.75" customHeight="1" s="10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</row>
    <row r="365" ht="12.75" customHeight="1" s="104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</row>
    <row r="366" ht="12.75" customHeight="1" s="104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</row>
    <row r="367" ht="12.75" customHeight="1" s="104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</row>
    <row r="368" ht="12.75" customHeight="1" s="104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</row>
    <row r="369" ht="12.75" customHeight="1" s="104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</row>
    <row r="370" ht="12.75" customHeight="1" s="104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</row>
    <row r="371" ht="12.75" customHeight="1" s="104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</row>
    <row r="372" ht="12.75" customHeight="1" s="104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</row>
    <row r="373" ht="12.75" customHeight="1" s="104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</row>
    <row r="374" ht="12.75" customHeight="1" s="10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</row>
    <row r="375" ht="12.75" customHeight="1" s="104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</row>
    <row r="376" ht="12.75" customHeight="1" s="104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</row>
    <row r="377" ht="12.75" customHeight="1" s="104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</row>
    <row r="378" ht="12.75" customHeight="1" s="104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</row>
    <row r="379" ht="12.75" customHeight="1" s="104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</row>
    <row r="380" ht="12.75" customHeight="1" s="104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</row>
    <row r="381" ht="12.75" customHeight="1" s="104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</row>
    <row r="382" ht="12.75" customHeight="1" s="104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</row>
    <row r="383" ht="12.75" customHeight="1" s="104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</row>
    <row r="384" ht="12.75" customHeight="1" s="10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</row>
    <row r="385" ht="12.75" customHeight="1" s="104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</row>
    <row r="386" ht="12.75" customHeight="1" s="104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</row>
    <row r="387" ht="12.75" customHeight="1" s="104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</row>
    <row r="388" ht="12.75" customHeight="1" s="104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</row>
    <row r="389" ht="12.75" customHeight="1" s="104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</row>
    <row r="390" ht="12.75" customHeight="1" s="104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</row>
    <row r="391" ht="12.75" customHeight="1" s="104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</row>
    <row r="392" ht="12.75" customHeight="1" s="104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</row>
    <row r="393" ht="12.75" customHeight="1" s="104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</row>
    <row r="394" ht="12.75" customHeight="1" s="10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</row>
    <row r="395" ht="12.75" customHeight="1" s="104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</row>
    <row r="396" ht="12.75" customHeight="1" s="104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</row>
    <row r="397" ht="12.75" customHeight="1" s="104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</row>
    <row r="398" ht="12.75" customHeight="1" s="104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</row>
    <row r="399" ht="12.75" customHeight="1" s="104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</row>
    <row r="400" ht="12.75" customHeight="1" s="104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</row>
    <row r="401" ht="12.75" customHeight="1" s="104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</row>
    <row r="402" ht="12.75" customHeight="1" s="104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</row>
    <row r="403" ht="12.75" customHeight="1" s="104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</row>
    <row r="404" ht="12.75" customHeight="1" s="1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</row>
    <row r="405" ht="12.75" customHeight="1" s="104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</row>
    <row r="406" ht="12.75" customHeight="1" s="104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</row>
    <row r="407" ht="12.75" customHeight="1" s="104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</row>
    <row r="408" ht="12.75" customHeight="1" s="104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</row>
    <row r="409" ht="12.75" customHeight="1" s="104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</row>
    <row r="410" ht="12.75" customHeight="1" s="104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</row>
    <row r="411" ht="12.75" customHeight="1" s="104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</row>
    <row r="412" ht="12.75" customHeight="1" s="104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</row>
    <row r="413" ht="12.75" customHeight="1" s="104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</row>
    <row r="414" ht="12.75" customHeight="1" s="10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</row>
    <row r="415" ht="12.75" customHeight="1" s="104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</row>
    <row r="416" ht="12.75" customHeight="1" s="104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</row>
    <row r="417" ht="12.75" customHeight="1" s="104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</row>
    <row r="418" ht="12.75" customHeight="1" s="104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</row>
    <row r="419" ht="12.75" customHeight="1" s="104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</row>
    <row r="420" ht="12.75" customHeight="1" s="104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</row>
    <row r="421" ht="12.75" customHeight="1" s="104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</row>
    <row r="422" ht="12.75" customHeight="1" s="104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</row>
    <row r="423" ht="12.75" customHeight="1" s="104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</row>
    <row r="424" ht="12.75" customHeight="1" s="10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</row>
    <row r="425" ht="12.75" customHeight="1" s="104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</row>
    <row r="426" ht="12.75" customHeight="1" s="104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</row>
    <row r="427" ht="12.75" customHeight="1" s="104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</row>
    <row r="428" ht="12.75" customHeight="1" s="104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</row>
    <row r="429" ht="12.75" customHeight="1" s="104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</row>
    <row r="430" ht="12.75" customHeight="1" s="104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</row>
    <row r="431" ht="12.75" customHeight="1" s="104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</row>
    <row r="432" ht="12.75" customHeight="1" s="104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</row>
    <row r="433" ht="12.75" customHeight="1" s="104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</row>
    <row r="434" ht="12.75" customHeight="1" s="10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</row>
    <row r="435" ht="12.75" customHeight="1" s="104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</row>
    <row r="436" ht="12.75" customHeight="1" s="104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</row>
    <row r="437" ht="12.75" customHeight="1" s="104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</row>
    <row r="438" ht="12.75" customHeight="1" s="104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</row>
    <row r="439" ht="12.75" customHeight="1" s="104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</row>
    <row r="440" ht="12.75" customHeight="1" s="104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</row>
    <row r="441" ht="12.75" customHeight="1" s="104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</row>
    <row r="442" ht="12.75" customHeight="1" s="104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</row>
    <row r="443" ht="12.75" customHeight="1" s="104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</row>
    <row r="444" ht="12.75" customHeight="1" s="10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</row>
    <row r="445" ht="12.75" customHeight="1" s="104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</row>
    <row r="446" ht="12.75" customHeight="1" s="104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</row>
    <row r="447" ht="12.75" customHeight="1" s="104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</row>
    <row r="448" ht="12.75" customHeight="1" s="104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</row>
    <row r="449" ht="12.75" customHeight="1" s="104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</row>
    <row r="450" ht="12.75" customHeight="1" s="104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</row>
    <row r="451" ht="12.75" customHeight="1" s="104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</row>
    <row r="452" ht="12.75" customHeight="1" s="104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</row>
    <row r="453" ht="12.75" customHeight="1" s="104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</row>
    <row r="454" ht="12.75" customHeight="1" s="10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</row>
    <row r="455" ht="12.75" customHeight="1" s="104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</row>
    <row r="456" ht="12.75" customHeight="1" s="104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</row>
    <row r="457" ht="12.75" customHeight="1" s="104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</row>
    <row r="458" ht="12.75" customHeight="1" s="104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</row>
    <row r="459" ht="12.75" customHeight="1" s="104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</row>
    <row r="460" ht="12.75" customHeight="1" s="104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</row>
    <row r="461" ht="12.75" customHeight="1" s="104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</row>
    <row r="462" ht="12.75" customHeight="1" s="104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</row>
    <row r="463" ht="12.75" customHeight="1" s="104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</row>
    <row r="464" ht="12.75" customHeight="1" s="10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</row>
    <row r="465" ht="12.75" customHeight="1" s="104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</row>
    <row r="466" ht="12.75" customHeight="1" s="104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</row>
    <row r="467" ht="12.75" customHeight="1" s="104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</row>
    <row r="468" ht="12.75" customHeight="1" s="104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</row>
    <row r="469" ht="12.75" customHeight="1" s="104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</row>
    <row r="470" ht="12.75" customHeight="1" s="104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</row>
    <row r="471" ht="12.75" customHeight="1" s="104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</row>
    <row r="472" ht="12.75" customHeight="1" s="104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</row>
    <row r="473" ht="12.75" customHeight="1" s="104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</row>
    <row r="474" ht="12.75" customHeight="1" s="10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</row>
    <row r="475" ht="12.75" customHeight="1" s="104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</row>
    <row r="476" ht="12.75" customHeight="1" s="104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</row>
    <row r="477" ht="12.75" customHeight="1" s="104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</row>
    <row r="478" ht="12.75" customHeight="1" s="104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</row>
    <row r="479" ht="12.75" customHeight="1" s="104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</row>
    <row r="480" ht="12.75" customHeight="1" s="104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</row>
    <row r="481" ht="12.75" customHeight="1" s="104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</row>
    <row r="482" ht="12.75" customHeight="1" s="104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</row>
    <row r="483" ht="12.75" customHeight="1" s="104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</row>
    <row r="484" ht="12.75" customHeight="1" s="10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</row>
    <row r="485" ht="12.75" customHeight="1" s="104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</row>
    <row r="486" ht="12.75" customHeight="1" s="104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</row>
    <row r="487" ht="12.75" customHeight="1" s="104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</row>
    <row r="488" ht="12.75" customHeight="1" s="104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</row>
    <row r="489" ht="12.75" customHeight="1" s="104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</row>
    <row r="490" ht="12.75" customHeight="1" s="104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</row>
    <row r="491" ht="12.75" customHeight="1" s="104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</row>
    <row r="492" ht="12.75" customHeight="1" s="104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</row>
    <row r="493" ht="12.75" customHeight="1" s="104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</row>
    <row r="494" ht="12.75" customHeight="1" s="10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</row>
    <row r="495" ht="12.75" customHeight="1" s="104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</row>
    <row r="496" ht="12.75" customHeight="1" s="104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</row>
    <row r="497" ht="12.75" customHeight="1" s="104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</row>
    <row r="498" ht="12.75" customHeight="1" s="104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</row>
    <row r="499" ht="12.75" customHeight="1" s="104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</row>
    <row r="500" ht="12.75" customHeight="1" s="104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</row>
    <row r="501" ht="12.75" customHeight="1" s="104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</row>
    <row r="502" ht="12.75" customHeight="1" s="104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</row>
    <row r="503" ht="12.75" customHeight="1" s="104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</row>
    <row r="504" ht="12.75" customHeight="1" s="1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</row>
    <row r="505" ht="12.75" customHeight="1" s="104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</row>
    <row r="506" ht="12.75" customHeight="1" s="104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</row>
    <row r="507" ht="12.75" customHeight="1" s="104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</row>
    <row r="508" ht="12.75" customHeight="1" s="104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</row>
    <row r="509" ht="12.75" customHeight="1" s="104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</row>
    <row r="510" ht="12.75" customHeight="1" s="104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</row>
    <row r="511" ht="12.75" customHeight="1" s="104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</row>
    <row r="512" ht="12.75" customHeight="1" s="104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</row>
    <row r="513" ht="12.75" customHeight="1" s="104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</row>
    <row r="514" ht="12.75" customHeight="1" s="10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</row>
    <row r="515" ht="12.75" customHeight="1" s="104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</row>
    <row r="516" ht="12.75" customHeight="1" s="104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</row>
    <row r="517" ht="12.75" customHeight="1" s="104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</row>
    <row r="518" ht="12.75" customHeight="1" s="104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</row>
    <row r="519" ht="12.75" customHeight="1" s="104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</row>
    <row r="520" ht="12.75" customHeight="1" s="104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</row>
    <row r="521" ht="12.75" customHeight="1" s="104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</row>
    <row r="522" ht="12.75" customHeight="1" s="104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</row>
    <row r="523" ht="12.75" customHeight="1" s="104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</row>
    <row r="524" ht="12.75" customHeight="1" s="10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</row>
    <row r="525" ht="12.75" customHeight="1" s="104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</row>
    <row r="526" ht="12.75" customHeight="1" s="104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</row>
    <row r="527" ht="12.75" customHeight="1" s="104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</row>
    <row r="528" ht="12.75" customHeight="1" s="104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</row>
    <row r="529" ht="12.75" customHeight="1" s="104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</row>
    <row r="530" ht="12.75" customHeight="1" s="104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</row>
    <row r="531" ht="12.75" customHeight="1" s="104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</row>
    <row r="532" ht="12.75" customHeight="1" s="104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</row>
    <row r="533" ht="12.75" customHeight="1" s="104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</row>
    <row r="534" ht="12.75" customHeight="1" s="10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</row>
    <row r="535" ht="12.75" customHeight="1" s="104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  <c r="AD535" s="46" t="n"/>
      <c r="AE535" s="46" t="n"/>
      <c r="AF535" s="46" t="n"/>
    </row>
    <row r="536" ht="12.75" customHeight="1" s="104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  <c r="AD536" s="46" t="n"/>
      <c r="AE536" s="46" t="n"/>
      <c r="AF536" s="46" t="n"/>
    </row>
    <row r="537" ht="12.75" customHeight="1" s="104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  <c r="AD537" s="46" t="n"/>
      <c r="AE537" s="46" t="n"/>
      <c r="AF537" s="46" t="n"/>
    </row>
    <row r="538" ht="12.75" customHeight="1" s="104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  <c r="AD538" s="46" t="n"/>
      <c r="AE538" s="46" t="n"/>
      <c r="AF538" s="46" t="n"/>
    </row>
    <row r="539" ht="12.75" customHeight="1" s="104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  <c r="AD539" s="46" t="n"/>
      <c r="AE539" s="46" t="n"/>
      <c r="AF539" s="46" t="n"/>
    </row>
    <row r="540" ht="12.75" customHeight="1" s="104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  <c r="AD540" s="46" t="n"/>
      <c r="AE540" s="46" t="n"/>
      <c r="AF540" s="46" t="n"/>
    </row>
    <row r="541" ht="12.75" customHeight="1" s="104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  <c r="AD541" s="46" t="n"/>
      <c r="AE541" s="46" t="n"/>
      <c r="AF541" s="46" t="n"/>
    </row>
    <row r="542" ht="12.75" customHeight="1" s="104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  <c r="AD542" s="46" t="n"/>
      <c r="AE542" s="46" t="n"/>
      <c r="AF542" s="46" t="n"/>
    </row>
    <row r="543" ht="12.75" customHeight="1" s="104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  <c r="AD543" s="46" t="n"/>
      <c r="AE543" s="46" t="n"/>
      <c r="AF543" s="46" t="n"/>
    </row>
    <row r="544" ht="12.75" customHeight="1" s="10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  <c r="AD544" s="46" t="n"/>
      <c r="AE544" s="46" t="n"/>
      <c r="AF544" s="46" t="n"/>
    </row>
    <row r="545" ht="12.75" customHeight="1" s="104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  <c r="AD545" s="46" t="n"/>
      <c r="AE545" s="46" t="n"/>
      <c r="AF545" s="46" t="n"/>
    </row>
    <row r="546" ht="12.75" customHeight="1" s="104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  <c r="AD546" s="46" t="n"/>
      <c r="AE546" s="46" t="n"/>
      <c r="AF546" s="46" t="n"/>
    </row>
    <row r="547" ht="12.75" customHeight="1" s="104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  <c r="AD547" s="46" t="n"/>
      <c r="AE547" s="46" t="n"/>
      <c r="AF547" s="46" t="n"/>
    </row>
    <row r="548" ht="12.75" customHeight="1" s="104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  <c r="AD548" s="46" t="n"/>
      <c r="AE548" s="46" t="n"/>
      <c r="AF548" s="46" t="n"/>
    </row>
    <row r="549" ht="12.75" customHeight="1" s="104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  <c r="AD549" s="46" t="n"/>
      <c r="AE549" s="46" t="n"/>
      <c r="AF549" s="46" t="n"/>
    </row>
    <row r="550" ht="12.75" customHeight="1" s="104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  <c r="AD550" s="46" t="n"/>
      <c r="AE550" s="46" t="n"/>
      <c r="AF550" s="46" t="n"/>
    </row>
    <row r="551" ht="12.75" customHeight="1" s="104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  <c r="AD551" s="46" t="n"/>
      <c r="AE551" s="46" t="n"/>
      <c r="AF551" s="46" t="n"/>
    </row>
    <row r="552" ht="12.75" customHeight="1" s="104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  <c r="AD552" s="46" t="n"/>
      <c r="AE552" s="46" t="n"/>
      <c r="AF552" s="46" t="n"/>
    </row>
    <row r="553" ht="12.75" customHeight="1" s="104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  <c r="AD553" s="46" t="n"/>
      <c r="AE553" s="46" t="n"/>
      <c r="AF553" s="46" t="n"/>
    </row>
    <row r="554" ht="12.75" customHeight="1" s="10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  <c r="AD554" s="46" t="n"/>
      <c r="AE554" s="46" t="n"/>
      <c r="AF554" s="46" t="n"/>
    </row>
    <row r="555" ht="12.75" customHeight="1" s="104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  <c r="AD555" s="46" t="n"/>
      <c r="AE555" s="46" t="n"/>
      <c r="AF555" s="46" t="n"/>
    </row>
    <row r="556" ht="12.75" customHeight="1" s="104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  <c r="AD556" s="46" t="n"/>
      <c r="AE556" s="46" t="n"/>
      <c r="AF556" s="46" t="n"/>
    </row>
    <row r="557" ht="12.75" customHeight="1" s="104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  <c r="AD557" s="46" t="n"/>
      <c r="AE557" s="46" t="n"/>
      <c r="AF557" s="46" t="n"/>
    </row>
    <row r="558" ht="12.75" customHeight="1" s="104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  <c r="AD558" s="46" t="n"/>
      <c r="AE558" s="46" t="n"/>
      <c r="AF558" s="46" t="n"/>
    </row>
    <row r="559" ht="12.75" customHeight="1" s="104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  <c r="AD559" s="46" t="n"/>
      <c r="AE559" s="46" t="n"/>
      <c r="AF559" s="46" t="n"/>
    </row>
    <row r="560" ht="12.75" customHeight="1" s="104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  <c r="AD560" s="46" t="n"/>
      <c r="AE560" s="46" t="n"/>
      <c r="AF560" s="46" t="n"/>
    </row>
    <row r="561" ht="12.75" customHeight="1" s="104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  <c r="AD561" s="46" t="n"/>
      <c r="AE561" s="46" t="n"/>
      <c r="AF561" s="46" t="n"/>
    </row>
    <row r="562" ht="12.75" customHeight="1" s="104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  <c r="AD562" s="46" t="n"/>
      <c r="AE562" s="46" t="n"/>
      <c r="AF562" s="46" t="n"/>
    </row>
    <row r="563" ht="12.75" customHeight="1" s="104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  <c r="AD563" s="46" t="n"/>
      <c r="AE563" s="46" t="n"/>
      <c r="AF563" s="46" t="n"/>
    </row>
    <row r="564" ht="12.75" customHeight="1" s="10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  <c r="AD564" s="46" t="n"/>
      <c r="AE564" s="46" t="n"/>
      <c r="AF564" s="46" t="n"/>
    </row>
    <row r="565" ht="12.75" customHeight="1" s="104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  <c r="AD565" s="46" t="n"/>
      <c r="AE565" s="46" t="n"/>
      <c r="AF565" s="46" t="n"/>
    </row>
    <row r="566" ht="12.75" customHeight="1" s="104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  <c r="AD566" s="46" t="n"/>
      <c r="AE566" s="46" t="n"/>
      <c r="AF566" s="46" t="n"/>
    </row>
    <row r="567" ht="12.75" customHeight="1" s="104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  <c r="AD567" s="46" t="n"/>
      <c r="AE567" s="46" t="n"/>
      <c r="AF567" s="46" t="n"/>
    </row>
    <row r="568" ht="12.75" customHeight="1" s="104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  <c r="AD568" s="46" t="n"/>
      <c r="AE568" s="46" t="n"/>
      <c r="AF568" s="46" t="n"/>
    </row>
    <row r="569" ht="12.75" customHeight="1" s="104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  <c r="AD569" s="46" t="n"/>
      <c r="AE569" s="46" t="n"/>
      <c r="AF569" s="46" t="n"/>
    </row>
    <row r="570" ht="12.75" customHeight="1" s="104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  <c r="AD570" s="46" t="n"/>
      <c r="AE570" s="46" t="n"/>
      <c r="AF570" s="46" t="n"/>
    </row>
    <row r="571" ht="12.75" customHeight="1" s="104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  <c r="AD571" s="46" t="n"/>
      <c r="AE571" s="46" t="n"/>
      <c r="AF571" s="46" t="n"/>
    </row>
    <row r="572" ht="12.75" customHeight="1" s="104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  <c r="AD572" s="46" t="n"/>
      <c r="AE572" s="46" t="n"/>
      <c r="AF572" s="46" t="n"/>
    </row>
    <row r="573" ht="12.75" customHeight="1" s="104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  <c r="AD573" s="46" t="n"/>
      <c r="AE573" s="46" t="n"/>
      <c r="AF573" s="46" t="n"/>
    </row>
    <row r="574" ht="12.75" customHeight="1" s="10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  <c r="AD574" s="46" t="n"/>
      <c r="AE574" s="46" t="n"/>
      <c r="AF574" s="46" t="n"/>
    </row>
    <row r="575" ht="12.75" customHeight="1" s="104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  <c r="AD575" s="46" t="n"/>
      <c r="AE575" s="46" t="n"/>
      <c r="AF575" s="46" t="n"/>
    </row>
    <row r="576" ht="12.75" customHeight="1" s="104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  <c r="AD576" s="46" t="n"/>
      <c r="AE576" s="46" t="n"/>
      <c r="AF576" s="46" t="n"/>
    </row>
    <row r="577" ht="12.75" customHeight="1" s="104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  <c r="AD577" s="46" t="n"/>
      <c r="AE577" s="46" t="n"/>
      <c r="AF577" s="46" t="n"/>
    </row>
    <row r="578" ht="12.75" customHeight="1" s="104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  <c r="AD578" s="46" t="n"/>
      <c r="AE578" s="46" t="n"/>
      <c r="AF578" s="46" t="n"/>
    </row>
    <row r="579" ht="12.75" customHeight="1" s="104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</row>
    <row r="580" ht="12.75" customHeight="1" s="104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</row>
    <row r="581" ht="12.75" customHeight="1" s="104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  <c r="AD581" s="46" t="n"/>
      <c r="AE581" s="46" t="n"/>
      <c r="AF581" s="46" t="n"/>
    </row>
    <row r="582" ht="12.75" customHeight="1" s="104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  <c r="AD582" s="46" t="n"/>
      <c r="AE582" s="46" t="n"/>
      <c r="AF582" s="46" t="n"/>
    </row>
    <row r="583" ht="12.75" customHeight="1" s="104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  <c r="AD583" s="46" t="n"/>
      <c r="AE583" s="46" t="n"/>
      <c r="AF583" s="46" t="n"/>
    </row>
    <row r="584" ht="12.75" customHeight="1" s="10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  <c r="AD584" s="46" t="n"/>
      <c r="AE584" s="46" t="n"/>
      <c r="AF584" s="46" t="n"/>
    </row>
    <row r="585" ht="12.75" customHeight="1" s="104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  <c r="AD585" s="46" t="n"/>
      <c r="AE585" s="46" t="n"/>
      <c r="AF585" s="46" t="n"/>
    </row>
    <row r="586" ht="12.75" customHeight="1" s="104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  <c r="AD586" s="46" t="n"/>
      <c r="AE586" s="46" t="n"/>
      <c r="AF586" s="46" t="n"/>
    </row>
    <row r="587" ht="12.75" customHeight="1" s="104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  <c r="AD587" s="46" t="n"/>
      <c r="AE587" s="46" t="n"/>
      <c r="AF587" s="46" t="n"/>
    </row>
    <row r="588" ht="12.75" customHeight="1" s="104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  <c r="AD588" s="46" t="n"/>
      <c r="AE588" s="46" t="n"/>
      <c r="AF588" s="46" t="n"/>
    </row>
    <row r="589" ht="12.75" customHeight="1" s="104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  <c r="AD589" s="46" t="n"/>
      <c r="AE589" s="46" t="n"/>
      <c r="AF589" s="46" t="n"/>
    </row>
    <row r="590" ht="12.75" customHeight="1" s="104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  <c r="AD590" s="46" t="n"/>
      <c r="AE590" s="46" t="n"/>
      <c r="AF590" s="46" t="n"/>
    </row>
    <row r="591" ht="12.75" customHeight="1" s="104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  <c r="AD591" s="46" t="n"/>
      <c r="AE591" s="46" t="n"/>
      <c r="AF591" s="46" t="n"/>
    </row>
    <row r="592" ht="12.75" customHeight="1" s="104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  <c r="AD592" s="46" t="n"/>
      <c r="AE592" s="46" t="n"/>
      <c r="AF592" s="46" t="n"/>
    </row>
    <row r="593" ht="12.75" customHeight="1" s="104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  <c r="AD593" s="46" t="n"/>
      <c r="AE593" s="46" t="n"/>
      <c r="AF593" s="46" t="n"/>
    </row>
    <row r="594" ht="12.75" customHeight="1" s="10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  <c r="AD594" s="46" t="n"/>
      <c r="AE594" s="46" t="n"/>
      <c r="AF594" s="46" t="n"/>
    </row>
    <row r="595" ht="12.75" customHeight="1" s="104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  <c r="AD595" s="46" t="n"/>
      <c r="AE595" s="46" t="n"/>
      <c r="AF595" s="46" t="n"/>
    </row>
    <row r="596" ht="12.75" customHeight="1" s="104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  <c r="AD596" s="46" t="n"/>
      <c r="AE596" s="46" t="n"/>
      <c r="AF596" s="46" t="n"/>
    </row>
    <row r="597" ht="12.75" customHeight="1" s="104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  <c r="AD597" s="46" t="n"/>
      <c r="AE597" s="46" t="n"/>
      <c r="AF597" s="46" t="n"/>
    </row>
    <row r="598" ht="12.75" customHeight="1" s="104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  <c r="AD598" s="46" t="n"/>
      <c r="AE598" s="46" t="n"/>
      <c r="AF598" s="46" t="n"/>
    </row>
    <row r="599" ht="12.75" customHeight="1" s="104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  <c r="AD599" s="46" t="n"/>
      <c r="AE599" s="46" t="n"/>
      <c r="AF599" s="46" t="n"/>
    </row>
    <row r="600" ht="12.75" customHeight="1" s="104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  <c r="AD600" s="46" t="n"/>
      <c r="AE600" s="46" t="n"/>
      <c r="AF600" s="46" t="n"/>
    </row>
    <row r="601" ht="12.75" customHeight="1" s="104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  <c r="AD601" s="46" t="n"/>
      <c r="AE601" s="46" t="n"/>
      <c r="AF601" s="46" t="n"/>
    </row>
    <row r="602" ht="12.75" customHeight="1" s="104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  <c r="AD602" s="46" t="n"/>
      <c r="AE602" s="46" t="n"/>
      <c r="AF602" s="46" t="n"/>
    </row>
    <row r="603" ht="12.75" customHeight="1" s="104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  <c r="AD603" s="46" t="n"/>
      <c r="AE603" s="46" t="n"/>
      <c r="AF603" s="46" t="n"/>
    </row>
    <row r="604" ht="12.75" customHeight="1" s="1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  <c r="AD604" s="46" t="n"/>
      <c r="AE604" s="46" t="n"/>
      <c r="AF604" s="46" t="n"/>
    </row>
    <row r="605" ht="12.75" customHeight="1" s="104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  <c r="AD605" s="46" t="n"/>
      <c r="AE605" s="46" t="n"/>
      <c r="AF605" s="46" t="n"/>
    </row>
    <row r="606" ht="12.75" customHeight="1" s="104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  <c r="AD606" s="46" t="n"/>
      <c r="AE606" s="46" t="n"/>
      <c r="AF606" s="46" t="n"/>
    </row>
    <row r="607" ht="12.75" customHeight="1" s="104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  <c r="AD607" s="46" t="n"/>
      <c r="AE607" s="46" t="n"/>
      <c r="AF607" s="46" t="n"/>
    </row>
    <row r="608" ht="12.75" customHeight="1" s="104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  <c r="AD608" s="46" t="n"/>
      <c r="AE608" s="46" t="n"/>
      <c r="AF608" s="46" t="n"/>
    </row>
    <row r="609" ht="12.75" customHeight="1" s="104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  <c r="AD609" s="46" t="n"/>
      <c r="AE609" s="46" t="n"/>
      <c r="AF609" s="46" t="n"/>
    </row>
    <row r="610" ht="12.75" customHeight="1" s="104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  <c r="AA610" s="46" t="n"/>
      <c r="AB610" s="46" t="n"/>
      <c r="AC610" s="46" t="n"/>
      <c r="AD610" s="46" t="n"/>
      <c r="AE610" s="46" t="n"/>
      <c r="AF610" s="46" t="n"/>
    </row>
    <row r="611" ht="12.75" customHeight="1" s="104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  <c r="AA611" s="46" t="n"/>
      <c r="AB611" s="46" t="n"/>
      <c r="AC611" s="46" t="n"/>
      <c r="AD611" s="46" t="n"/>
      <c r="AE611" s="46" t="n"/>
      <c r="AF611" s="46" t="n"/>
    </row>
    <row r="612" ht="12.75" customHeight="1" s="104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  <c r="AA612" s="46" t="n"/>
      <c r="AB612" s="46" t="n"/>
      <c r="AC612" s="46" t="n"/>
      <c r="AD612" s="46" t="n"/>
      <c r="AE612" s="46" t="n"/>
      <c r="AF612" s="46" t="n"/>
    </row>
    <row r="613" ht="12.75" customHeight="1" s="104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  <c r="AA613" s="46" t="n"/>
      <c r="AB613" s="46" t="n"/>
      <c r="AC613" s="46" t="n"/>
      <c r="AD613" s="46" t="n"/>
      <c r="AE613" s="46" t="n"/>
      <c r="AF613" s="46" t="n"/>
    </row>
    <row r="614" ht="12.75" customHeight="1" s="10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  <c r="AA614" s="46" t="n"/>
      <c r="AB614" s="46" t="n"/>
      <c r="AC614" s="46" t="n"/>
      <c r="AD614" s="46" t="n"/>
      <c r="AE614" s="46" t="n"/>
      <c r="AF614" s="46" t="n"/>
    </row>
    <row r="615" ht="12.75" customHeight="1" s="104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  <c r="AA615" s="46" t="n"/>
      <c r="AB615" s="46" t="n"/>
      <c r="AC615" s="46" t="n"/>
      <c r="AD615" s="46" t="n"/>
      <c r="AE615" s="46" t="n"/>
      <c r="AF615" s="46" t="n"/>
    </row>
    <row r="616" ht="12.75" customHeight="1" s="104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  <c r="AA616" s="46" t="n"/>
      <c r="AB616" s="46" t="n"/>
      <c r="AC616" s="46" t="n"/>
      <c r="AD616" s="46" t="n"/>
      <c r="AE616" s="46" t="n"/>
      <c r="AF616" s="46" t="n"/>
    </row>
    <row r="617" ht="12.75" customHeight="1" s="104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  <c r="AA617" s="46" t="n"/>
      <c r="AB617" s="46" t="n"/>
      <c r="AC617" s="46" t="n"/>
      <c r="AD617" s="46" t="n"/>
      <c r="AE617" s="46" t="n"/>
      <c r="AF617" s="46" t="n"/>
    </row>
    <row r="618" ht="12.75" customHeight="1" s="104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  <c r="AA618" s="46" t="n"/>
      <c r="AB618" s="46" t="n"/>
      <c r="AC618" s="46" t="n"/>
      <c r="AD618" s="46" t="n"/>
      <c r="AE618" s="46" t="n"/>
      <c r="AF618" s="46" t="n"/>
    </row>
    <row r="619" ht="12.75" customHeight="1" s="104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  <c r="AA619" s="46" t="n"/>
      <c r="AB619" s="46" t="n"/>
      <c r="AC619" s="46" t="n"/>
      <c r="AD619" s="46" t="n"/>
      <c r="AE619" s="46" t="n"/>
      <c r="AF619" s="46" t="n"/>
    </row>
    <row r="620" ht="12.75" customHeight="1" s="104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  <c r="AA620" s="46" t="n"/>
      <c r="AB620" s="46" t="n"/>
      <c r="AC620" s="46" t="n"/>
      <c r="AD620" s="46" t="n"/>
      <c r="AE620" s="46" t="n"/>
      <c r="AF620" s="46" t="n"/>
    </row>
    <row r="621" ht="12.75" customHeight="1" s="104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  <c r="AA621" s="46" t="n"/>
      <c r="AB621" s="46" t="n"/>
      <c r="AC621" s="46" t="n"/>
      <c r="AD621" s="46" t="n"/>
      <c r="AE621" s="46" t="n"/>
      <c r="AF621" s="46" t="n"/>
    </row>
    <row r="622" ht="12.75" customHeight="1" s="104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  <c r="AA622" s="46" t="n"/>
      <c r="AB622" s="46" t="n"/>
      <c r="AC622" s="46" t="n"/>
      <c r="AD622" s="46" t="n"/>
      <c r="AE622" s="46" t="n"/>
      <c r="AF622" s="46" t="n"/>
    </row>
    <row r="623" ht="12.75" customHeight="1" s="104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  <c r="AA623" s="46" t="n"/>
      <c r="AB623" s="46" t="n"/>
      <c r="AC623" s="46" t="n"/>
      <c r="AD623" s="46" t="n"/>
      <c r="AE623" s="46" t="n"/>
      <c r="AF623" s="46" t="n"/>
    </row>
    <row r="624" ht="12.75" customHeight="1" s="10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  <c r="AA624" s="46" t="n"/>
      <c r="AB624" s="46" t="n"/>
      <c r="AC624" s="46" t="n"/>
      <c r="AD624" s="46" t="n"/>
      <c r="AE624" s="46" t="n"/>
      <c r="AF624" s="46" t="n"/>
    </row>
    <row r="625" ht="12.75" customHeight="1" s="104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  <c r="AA625" s="46" t="n"/>
      <c r="AB625" s="46" t="n"/>
      <c r="AC625" s="46" t="n"/>
      <c r="AD625" s="46" t="n"/>
      <c r="AE625" s="46" t="n"/>
      <c r="AF625" s="46" t="n"/>
    </row>
    <row r="626" ht="12.75" customHeight="1" s="104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  <c r="AA626" s="46" t="n"/>
      <c r="AB626" s="46" t="n"/>
      <c r="AC626" s="46" t="n"/>
      <c r="AD626" s="46" t="n"/>
      <c r="AE626" s="46" t="n"/>
      <c r="AF626" s="46" t="n"/>
    </row>
    <row r="627" ht="12.75" customHeight="1" s="104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  <c r="AA627" s="46" t="n"/>
      <c r="AB627" s="46" t="n"/>
      <c r="AC627" s="46" t="n"/>
      <c r="AD627" s="46" t="n"/>
      <c r="AE627" s="46" t="n"/>
      <c r="AF627" s="46" t="n"/>
    </row>
    <row r="628" ht="12.75" customHeight="1" s="104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  <c r="AA628" s="46" t="n"/>
      <c r="AB628" s="46" t="n"/>
      <c r="AC628" s="46" t="n"/>
      <c r="AD628" s="46" t="n"/>
      <c r="AE628" s="46" t="n"/>
      <c r="AF628" s="46" t="n"/>
    </row>
    <row r="629" ht="12.75" customHeight="1" s="104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  <c r="AA629" s="46" t="n"/>
      <c r="AB629" s="46" t="n"/>
      <c r="AC629" s="46" t="n"/>
      <c r="AD629" s="46" t="n"/>
      <c r="AE629" s="46" t="n"/>
      <c r="AF629" s="46" t="n"/>
    </row>
    <row r="630" ht="12.75" customHeight="1" s="104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  <c r="AA630" s="46" t="n"/>
      <c r="AB630" s="46" t="n"/>
      <c r="AC630" s="46" t="n"/>
      <c r="AD630" s="46" t="n"/>
      <c r="AE630" s="46" t="n"/>
      <c r="AF630" s="46" t="n"/>
    </row>
    <row r="631" ht="12.75" customHeight="1" s="104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  <c r="AA631" s="46" t="n"/>
      <c r="AB631" s="46" t="n"/>
      <c r="AC631" s="46" t="n"/>
      <c r="AD631" s="46" t="n"/>
      <c r="AE631" s="46" t="n"/>
      <c r="AF631" s="46" t="n"/>
    </row>
    <row r="632" ht="12.75" customHeight="1" s="104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  <c r="AA632" s="46" t="n"/>
      <c r="AB632" s="46" t="n"/>
      <c r="AC632" s="46" t="n"/>
      <c r="AD632" s="46" t="n"/>
      <c r="AE632" s="46" t="n"/>
      <c r="AF632" s="46" t="n"/>
    </row>
    <row r="633" ht="12.75" customHeight="1" s="104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  <c r="AA633" s="46" t="n"/>
      <c r="AB633" s="46" t="n"/>
      <c r="AC633" s="46" t="n"/>
      <c r="AD633" s="46" t="n"/>
      <c r="AE633" s="46" t="n"/>
      <c r="AF633" s="46" t="n"/>
    </row>
    <row r="634" ht="12.75" customHeight="1" s="10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  <c r="AA634" s="46" t="n"/>
      <c r="AB634" s="46" t="n"/>
      <c r="AC634" s="46" t="n"/>
      <c r="AD634" s="46" t="n"/>
      <c r="AE634" s="46" t="n"/>
      <c r="AF634" s="46" t="n"/>
    </row>
    <row r="635" ht="12.75" customHeight="1" s="104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  <c r="AA635" s="46" t="n"/>
      <c r="AB635" s="46" t="n"/>
      <c r="AC635" s="46" t="n"/>
      <c r="AD635" s="46" t="n"/>
      <c r="AE635" s="46" t="n"/>
      <c r="AF635" s="46" t="n"/>
    </row>
    <row r="636" ht="12.75" customHeight="1" s="104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  <c r="AA636" s="46" t="n"/>
      <c r="AB636" s="46" t="n"/>
      <c r="AC636" s="46" t="n"/>
      <c r="AD636" s="46" t="n"/>
      <c r="AE636" s="46" t="n"/>
      <c r="AF636" s="46" t="n"/>
    </row>
    <row r="637" ht="12.75" customHeight="1" s="104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  <c r="AA637" s="46" t="n"/>
      <c r="AB637" s="46" t="n"/>
      <c r="AC637" s="46" t="n"/>
      <c r="AD637" s="46" t="n"/>
      <c r="AE637" s="46" t="n"/>
      <c r="AF637" s="46" t="n"/>
    </row>
    <row r="638" ht="12.75" customHeight="1" s="104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  <c r="AA638" s="46" t="n"/>
      <c r="AB638" s="46" t="n"/>
      <c r="AC638" s="46" t="n"/>
      <c r="AD638" s="46" t="n"/>
      <c r="AE638" s="46" t="n"/>
      <c r="AF638" s="46" t="n"/>
    </row>
    <row r="639" ht="12.75" customHeight="1" s="104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  <c r="AA639" s="46" t="n"/>
      <c r="AB639" s="46" t="n"/>
      <c r="AC639" s="46" t="n"/>
      <c r="AD639" s="46" t="n"/>
      <c r="AE639" s="46" t="n"/>
      <c r="AF639" s="46" t="n"/>
    </row>
    <row r="640" ht="12.75" customHeight="1" s="104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  <c r="AA640" s="46" t="n"/>
      <c r="AB640" s="46" t="n"/>
      <c r="AC640" s="46" t="n"/>
      <c r="AD640" s="46" t="n"/>
      <c r="AE640" s="46" t="n"/>
      <c r="AF640" s="46" t="n"/>
    </row>
    <row r="641" ht="12.75" customHeight="1" s="104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  <c r="AA641" s="46" t="n"/>
      <c r="AB641" s="46" t="n"/>
      <c r="AC641" s="46" t="n"/>
      <c r="AD641" s="46" t="n"/>
      <c r="AE641" s="46" t="n"/>
      <c r="AF641" s="46" t="n"/>
    </row>
    <row r="642" ht="12.75" customHeight="1" s="104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  <c r="AA642" s="46" t="n"/>
      <c r="AB642" s="46" t="n"/>
      <c r="AC642" s="46" t="n"/>
      <c r="AD642" s="46" t="n"/>
      <c r="AE642" s="46" t="n"/>
      <c r="AF642" s="46" t="n"/>
    </row>
    <row r="643" ht="12.75" customHeight="1" s="104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  <c r="AA643" s="46" t="n"/>
      <c r="AB643" s="46" t="n"/>
      <c r="AC643" s="46" t="n"/>
      <c r="AD643" s="46" t="n"/>
      <c r="AE643" s="46" t="n"/>
      <c r="AF643" s="46" t="n"/>
    </row>
    <row r="644" ht="12.75" customHeight="1" s="10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  <c r="AA644" s="46" t="n"/>
      <c r="AB644" s="46" t="n"/>
      <c r="AC644" s="46" t="n"/>
      <c r="AD644" s="46" t="n"/>
      <c r="AE644" s="46" t="n"/>
      <c r="AF644" s="46" t="n"/>
    </row>
    <row r="645" ht="12.75" customHeight="1" s="104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  <c r="AA645" s="46" t="n"/>
      <c r="AB645" s="46" t="n"/>
      <c r="AC645" s="46" t="n"/>
      <c r="AD645" s="46" t="n"/>
      <c r="AE645" s="46" t="n"/>
      <c r="AF645" s="46" t="n"/>
    </row>
    <row r="646" ht="12.75" customHeight="1" s="104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  <c r="AA646" s="46" t="n"/>
      <c r="AB646" s="46" t="n"/>
      <c r="AC646" s="46" t="n"/>
      <c r="AD646" s="46" t="n"/>
      <c r="AE646" s="46" t="n"/>
      <c r="AF646" s="46" t="n"/>
    </row>
    <row r="647" ht="12.75" customHeight="1" s="104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  <c r="AA647" s="46" t="n"/>
      <c r="AB647" s="46" t="n"/>
      <c r="AC647" s="46" t="n"/>
      <c r="AD647" s="46" t="n"/>
      <c r="AE647" s="46" t="n"/>
      <c r="AF647" s="46" t="n"/>
    </row>
    <row r="648" ht="12.75" customHeight="1" s="104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  <c r="AA648" s="46" t="n"/>
      <c r="AB648" s="46" t="n"/>
      <c r="AC648" s="46" t="n"/>
      <c r="AD648" s="46" t="n"/>
      <c r="AE648" s="46" t="n"/>
      <c r="AF648" s="46" t="n"/>
    </row>
    <row r="649" ht="12.75" customHeight="1" s="104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  <c r="AA649" s="46" t="n"/>
      <c r="AB649" s="46" t="n"/>
      <c r="AC649" s="46" t="n"/>
      <c r="AD649" s="46" t="n"/>
      <c r="AE649" s="46" t="n"/>
      <c r="AF649" s="46" t="n"/>
    </row>
    <row r="650" ht="12.75" customHeight="1" s="104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  <c r="AA650" s="46" t="n"/>
      <c r="AB650" s="46" t="n"/>
      <c r="AC650" s="46" t="n"/>
      <c r="AD650" s="46" t="n"/>
      <c r="AE650" s="46" t="n"/>
      <c r="AF650" s="46" t="n"/>
    </row>
    <row r="651" ht="12.75" customHeight="1" s="104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  <c r="AA651" s="46" t="n"/>
      <c r="AB651" s="46" t="n"/>
      <c r="AC651" s="46" t="n"/>
      <c r="AD651" s="46" t="n"/>
      <c r="AE651" s="46" t="n"/>
      <c r="AF651" s="46" t="n"/>
    </row>
    <row r="652" ht="12.75" customHeight="1" s="104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  <c r="AA652" s="46" t="n"/>
      <c r="AB652" s="46" t="n"/>
      <c r="AC652" s="46" t="n"/>
      <c r="AD652" s="46" t="n"/>
      <c r="AE652" s="46" t="n"/>
      <c r="AF652" s="46" t="n"/>
    </row>
    <row r="653" ht="12.75" customHeight="1" s="104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  <c r="AA653" s="46" t="n"/>
      <c r="AB653" s="46" t="n"/>
      <c r="AC653" s="46" t="n"/>
      <c r="AD653" s="46" t="n"/>
      <c r="AE653" s="46" t="n"/>
      <c r="AF653" s="46" t="n"/>
    </row>
    <row r="654" ht="12.75" customHeight="1" s="10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  <c r="AA654" s="46" t="n"/>
      <c r="AB654" s="46" t="n"/>
      <c r="AC654" s="46" t="n"/>
      <c r="AD654" s="46" t="n"/>
      <c r="AE654" s="46" t="n"/>
      <c r="AF654" s="46" t="n"/>
    </row>
    <row r="655" ht="12.75" customHeight="1" s="104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  <c r="AA655" s="46" t="n"/>
      <c r="AB655" s="46" t="n"/>
      <c r="AC655" s="46" t="n"/>
      <c r="AD655" s="46" t="n"/>
      <c r="AE655" s="46" t="n"/>
      <c r="AF655" s="46" t="n"/>
    </row>
    <row r="656" ht="12.75" customHeight="1" s="104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  <c r="AA656" s="46" t="n"/>
      <c r="AB656" s="46" t="n"/>
      <c r="AC656" s="46" t="n"/>
      <c r="AD656" s="46" t="n"/>
      <c r="AE656" s="46" t="n"/>
      <c r="AF656" s="46" t="n"/>
    </row>
    <row r="657" ht="12.75" customHeight="1" s="104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  <c r="AA657" s="46" t="n"/>
      <c r="AB657" s="46" t="n"/>
      <c r="AC657" s="46" t="n"/>
      <c r="AD657" s="46" t="n"/>
      <c r="AE657" s="46" t="n"/>
      <c r="AF657" s="46" t="n"/>
    </row>
    <row r="658" ht="12.75" customHeight="1" s="104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  <c r="AA658" s="46" t="n"/>
      <c r="AB658" s="46" t="n"/>
      <c r="AC658" s="46" t="n"/>
      <c r="AD658" s="46" t="n"/>
      <c r="AE658" s="46" t="n"/>
      <c r="AF658" s="46" t="n"/>
    </row>
    <row r="659" ht="12.75" customHeight="1" s="104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  <c r="AA659" s="46" t="n"/>
      <c r="AB659" s="46" t="n"/>
      <c r="AC659" s="46" t="n"/>
      <c r="AD659" s="46" t="n"/>
      <c r="AE659" s="46" t="n"/>
      <c r="AF659" s="46" t="n"/>
    </row>
    <row r="660" ht="12.75" customHeight="1" s="104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  <c r="AA660" s="46" t="n"/>
      <c r="AB660" s="46" t="n"/>
      <c r="AC660" s="46" t="n"/>
      <c r="AD660" s="46" t="n"/>
      <c r="AE660" s="46" t="n"/>
      <c r="AF660" s="46" t="n"/>
    </row>
    <row r="661" ht="12.75" customHeight="1" s="104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  <c r="AA661" s="46" t="n"/>
      <c r="AB661" s="46" t="n"/>
      <c r="AC661" s="46" t="n"/>
      <c r="AD661" s="46" t="n"/>
      <c r="AE661" s="46" t="n"/>
      <c r="AF661" s="46" t="n"/>
    </row>
    <row r="662" ht="12.75" customHeight="1" s="104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  <c r="AA662" s="46" t="n"/>
      <c r="AB662" s="46" t="n"/>
      <c r="AC662" s="46" t="n"/>
      <c r="AD662" s="46" t="n"/>
      <c r="AE662" s="46" t="n"/>
      <c r="AF662" s="46" t="n"/>
    </row>
    <row r="663" ht="12.75" customHeight="1" s="104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  <c r="AA663" s="46" t="n"/>
      <c r="AB663" s="46" t="n"/>
      <c r="AC663" s="46" t="n"/>
      <c r="AD663" s="46" t="n"/>
      <c r="AE663" s="46" t="n"/>
      <c r="AF663" s="46" t="n"/>
    </row>
    <row r="664" ht="12.75" customHeight="1" s="10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  <c r="AA664" s="46" t="n"/>
      <c r="AB664" s="46" t="n"/>
      <c r="AC664" s="46" t="n"/>
      <c r="AD664" s="46" t="n"/>
      <c r="AE664" s="46" t="n"/>
      <c r="AF664" s="46" t="n"/>
    </row>
    <row r="665" ht="12.75" customHeight="1" s="104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  <c r="AA665" s="46" t="n"/>
      <c r="AB665" s="46" t="n"/>
      <c r="AC665" s="46" t="n"/>
      <c r="AD665" s="46" t="n"/>
      <c r="AE665" s="46" t="n"/>
      <c r="AF665" s="46" t="n"/>
    </row>
    <row r="666" ht="12.75" customHeight="1" s="104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  <c r="AA666" s="46" t="n"/>
      <c r="AB666" s="46" t="n"/>
      <c r="AC666" s="46" t="n"/>
      <c r="AD666" s="46" t="n"/>
      <c r="AE666" s="46" t="n"/>
      <c r="AF666" s="46" t="n"/>
    </row>
    <row r="667" ht="12.75" customHeight="1" s="104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  <c r="AA667" s="46" t="n"/>
      <c r="AB667" s="46" t="n"/>
      <c r="AC667" s="46" t="n"/>
      <c r="AD667" s="46" t="n"/>
      <c r="AE667" s="46" t="n"/>
      <c r="AF667" s="46" t="n"/>
    </row>
    <row r="668" ht="12.75" customHeight="1" s="104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  <c r="AA668" s="46" t="n"/>
      <c r="AB668" s="46" t="n"/>
      <c r="AC668" s="46" t="n"/>
      <c r="AD668" s="46" t="n"/>
      <c r="AE668" s="46" t="n"/>
      <c r="AF668" s="46" t="n"/>
    </row>
    <row r="669" ht="12.75" customHeight="1" s="104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  <c r="AA669" s="46" t="n"/>
      <c r="AB669" s="46" t="n"/>
      <c r="AC669" s="46" t="n"/>
      <c r="AD669" s="46" t="n"/>
      <c r="AE669" s="46" t="n"/>
      <c r="AF669" s="46" t="n"/>
    </row>
    <row r="670" ht="12.75" customHeight="1" s="104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  <c r="AA670" s="46" t="n"/>
      <c r="AB670" s="46" t="n"/>
      <c r="AC670" s="46" t="n"/>
      <c r="AD670" s="46" t="n"/>
      <c r="AE670" s="46" t="n"/>
      <c r="AF670" s="46" t="n"/>
    </row>
    <row r="671" ht="12.75" customHeight="1" s="104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  <c r="AA671" s="46" t="n"/>
      <c r="AB671" s="46" t="n"/>
      <c r="AC671" s="46" t="n"/>
      <c r="AD671" s="46" t="n"/>
      <c r="AE671" s="46" t="n"/>
      <c r="AF671" s="46" t="n"/>
    </row>
    <row r="672" ht="12.75" customHeight="1" s="104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  <c r="AA672" s="46" t="n"/>
      <c r="AB672" s="46" t="n"/>
      <c r="AC672" s="46" t="n"/>
      <c r="AD672" s="46" t="n"/>
      <c r="AE672" s="46" t="n"/>
      <c r="AF672" s="46" t="n"/>
    </row>
    <row r="673" ht="12.75" customHeight="1" s="104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  <c r="AA673" s="46" t="n"/>
      <c r="AB673" s="46" t="n"/>
      <c r="AC673" s="46" t="n"/>
      <c r="AD673" s="46" t="n"/>
      <c r="AE673" s="46" t="n"/>
      <c r="AF673" s="46" t="n"/>
    </row>
    <row r="674" ht="12.75" customHeight="1" s="10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  <c r="AA674" s="46" t="n"/>
      <c r="AB674" s="46" t="n"/>
      <c r="AC674" s="46" t="n"/>
      <c r="AD674" s="46" t="n"/>
      <c r="AE674" s="46" t="n"/>
      <c r="AF674" s="46" t="n"/>
    </row>
    <row r="675" ht="12.75" customHeight="1" s="104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  <c r="AA675" s="46" t="n"/>
      <c r="AB675" s="46" t="n"/>
      <c r="AC675" s="46" t="n"/>
      <c r="AD675" s="46" t="n"/>
      <c r="AE675" s="46" t="n"/>
      <c r="AF675" s="46" t="n"/>
    </row>
    <row r="676" ht="12.75" customHeight="1" s="104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  <c r="AA676" s="46" t="n"/>
      <c r="AB676" s="46" t="n"/>
      <c r="AC676" s="46" t="n"/>
      <c r="AD676" s="46" t="n"/>
      <c r="AE676" s="46" t="n"/>
      <c r="AF676" s="46" t="n"/>
    </row>
    <row r="677" ht="12.75" customHeight="1" s="104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  <c r="AA677" s="46" t="n"/>
      <c r="AB677" s="46" t="n"/>
      <c r="AC677" s="46" t="n"/>
      <c r="AD677" s="46" t="n"/>
      <c r="AE677" s="46" t="n"/>
      <c r="AF677" s="46" t="n"/>
    </row>
    <row r="678" ht="12.75" customHeight="1" s="104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  <c r="AA678" s="46" t="n"/>
      <c r="AB678" s="46" t="n"/>
      <c r="AC678" s="46" t="n"/>
      <c r="AD678" s="46" t="n"/>
      <c r="AE678" s="46" t="n"/>
      <c r="AF678" s="46" t="n"/>
    </row>
    <row r="679" ht="12.75" customHeight="1" s="104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  <c r="AA679" s="46" t="n"/>
      <c r="AB679" s="46" t="n"/>
      <c r="AC679" s="46" t="n"/>
      <c r="AD679" s="46" t="n"/>
      <c r="AE679" s="46" t="n"/>
      <c r="AF679" s="46" t="n"/>
    </row>
    <row r="680" ht="12.75" customHeight="1" s="104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  <c r="AA680" s="46" t="n"/>
      <c r="AB680" s="46" t="n"/>
      <c r="AC680" s="46" t="n"/>
      <c r="AD680" s="46" t="n"/>
      <c r="AE680" s="46" t="n"/>
      <c r="AF680" s="46" t="n"/>
    </row>
    <row r="681" ht="12.75" customHeight="1" s="104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  <c r="AA681" s="46" t="n"/>
      <c r="AB681" s="46" t="n"/>
      <c r="AC681" s="46" t="n"/>
      <c r="AD681" s="46" t="n"/>
      <c r="AE681" s="46" t="n"/>
      <c r="AF681" s="46" t="n"/>
    </row>
    <row r="682" ht="12.75" customHeight="1" s="104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  <c r="AA682" s="46" t="n"/>
      <c r="AB682" s="46" t="n"/>
      <c r="AC682" s="46" t="n"/>
      <c r="AD682" s="46" t="n"/>
      <c r="AE682" s="46" t="n"/>
      <c r="AF682" s="46" t="n"/>
    </row>
    <row r="683" ht="12.75" customHeight="1" s="104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  <c r="AA683" s="46" t="n"/>
      <c r="AB683" s="46" t="n"/>
      <c r="AC683" s="46" t="n"/>
      <c r="AD683" s="46" t="n"/>
      <c r="AE683" s="46" t="n"/>
      <c r="AF683" s="46" t="n"/>
    </row>
    <row r="684" ht="12.75" customHeight="1" s="10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  <c r="AA684" s="46" t="n"/>
      <c r="AB684" s="46" t="n"/>
      <c r="AC684" s="46" t="n"/>
      <c r="AD684" s="46" t="n"/>
      <c r="AE684" s="46" t="n"/>
      <c r="AF684" s="46" t="n"/>
    </row>
    <row r="685" ht="12.75" customHeight="1" s="104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  <c r="AA685" s="46" t="n"/>
      <c r="AB685" s="46" t="n"/>
      <c r="AC685" s="46" t="n"/>
      <c r="AD685" s="46" t="n"/>
      <c r="AE685" s="46" t="n"/>
      <c r="AF685" s="46" t="n"/>
    </row>
    <row r="686" ht="12.75" customHeight="1" s="104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  <c r="AA686" s="46" t="n"/>
      <c r="AB686" s="46" t="n"/>
      <c r="AC686" s="46" t="n"/>
      <c r="AD686" s="46" t="n"/>
      <c r="AE686" s="46" t="n"/>
      <c r="AF686" s="46" t="n"/>
    </row>
    <row r="687" ht="12.75" customHeight="1" s="104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  <c r="AA687" s="46" t="n"/>
      <c r="AB687" s="46" t="n"/>
      <c r="AC687" s="46" t="n"/>
      <c r="AD687" s="46" t="n"/>
      <c r="AE687" s="46" t="n"/>
      <c r="AF687" s="46" t="n"/>
    </row>
    <row r="688" ht="12.75" customHeight="1" s="104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  <c r="AA688" s="46" t="n"/>
      <c r="AB688" s="46" t="n"/>
      <c r="AC688" s="46" t="n"/>
      <c r="AD688" s="46" t="n"/>
      <c r="AE688" s="46" t="n"/>
      <c r="AF688" s="46" t="n"/>
    </row>
    <row r="689" ht="12.75" customHeight="1" s="104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  <c r="AA689" s="46" t="n"/>
      <c r="AB689" s="46" t="n"/>
      <c r="AC689" s="46" t="n"/>
      <c r="AD689" s="46" t="n"/>
      <c r="AE689" s="46" t="n"/>
      <c r="AF689" s="46" t="n"/>
    </row>
    <row r="690" ht="12.75" customHeight="1" s="104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  <c r="AA690" s="46" t="n"/>
      <c r="AB690" s="46" t="n"/>
      <c r="AC690" s="46" t="n"/>
      <c r="AD690" s="46" t="n"/>
      <c r="AE690" s="46" t="n"/>
      <c r="AF690" s="46" t="n"/>
    </row>
    <row r="691" ht="12.75" customHeight="1" s="104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  <c r="AA691" s="46" t="n"/>
      <c r="AB691" s="46" t="n"/>
      <c r="AC691" s="46" t="n"/>
      <c r="AD691" s="46" t="n"/>
      <c r="AE691" s="46" t="n"/>
      <c r="AF691" s="46" t="n"/>
    </row>
    <row r="692" ht="12.75" customHeight="1" s="104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  <c r="AA692" s="46" t="n"/>
      <c r="AB692" s="46" t="n"/>
      <c r="AC692" s="46" t="n"/>
      <c r="AD692" s="46" t="n"/>
      <c r="AE692" s="46" t="n"/>
      <c r="AF692" s="46" t="n"/>
    </row>
    <row r="693" ht="12.75" customHeight="1" s="104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  <c r="AA693" s="46" t="n"/>
      <c r="AB693" s="46" t="n"/>
      <c r="AC693" s="46" t="n"/>
      <c r="AD693" s="46" t="n"/>
      <c r="AE693" s="46" t="n"/>
      <c r="AF693" s="46" t="n"/>
    </row>
    <row r="694" ht="12.75" customHeight="1" s="10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  <c r="AA694" s="46" t="n"/>
      <c r="AB694" s="46" t="n"/>
      <c r="AC694" s="46" t="n"/>
      <c r="AD694" s="46" t="n"/>
      <c r="AE694" s="46" t="n"/>
      <c r="AF694" s="46" t="n"/>
    </row>
    <row r="695" ht="12.75" customHeight="1" s="104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  <c r="AA695" s="46" t="n"/>
      <c r="AB695" s="46" t="n"/>
      <c r="AC695" s="46" t="n"/>
      <c r="AD695" s="46" t="n"/>
      <c r="AE695" s="46" t="n"/>
      <c r="AF695" s="46" t="n"/>
    </row>
    <row r="696" ht="12.75" customHeight="1" s="104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  <c r="AA696" s="46" t="n"/>
      <c r="AB696" s="46" t="n"/>
      <c r="AC696" s="46" t="n"/>
      <c r="AD696" s="46" t="n"/>
      <c r="AE696" s="46" t="n"/>
      <c r="AF696" s="46" t="n"/>
    </row>
    <row r="697" ht="12.75" customHeight="1" s="104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  <c r="AA697" s="46" t="n"/>
      <c r="AB697" s="46" t="n"/>
      <c r="AC697" s="46" t="n"/>
      <c r="AD697" s="46" t="n"/>
      <c r="AE697" s="46" t="n"/>
      <c r="AF697" s="46" t="n"/>
    </row>
    <row r="698" ht="12.75" customHeight="1" s="104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  <c r="AA698" s="46" t="n"/>
      <c r="AB698" s="46" t="n"/>
      <c r="AC698" s="46" t="n"/>
      <c r="AD698" s="46" t="n"/>
      <c r="AE698" s="46" t="n"/>
      <c r="AF698" s="46" t="n"/>
    </row>
    <row r="699" ht="12.75" customHeight="1" s="104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  <c r="AA699" s="46" t="n"/>
      <c r="AB699" s="46" t="n"/>
      <c r="AC699" s="46" t="n"/>
      <c r="AD699" s="46" t="n"/>
      <c r="AE699" s="46" t="n"/>
      <c r="AF699" s="46" t="n"/>
    </row>
    <row r="700" ht="12.75" customHeight="1" s="104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  <c r="AA700" s="46" t="n"/>
      <c r="AB700" s="46" t="n"/>
      <c r="AC700" s="46" t="n"/>
      <c r="AD700" s="46" t="n"/>
      <c r="AE700" s="46" t="n"/>
      <c r="AF700" s="46" t="n"/>
    </row>
    <row r="701" ht="12.75" customHeight="1" s="104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  <c r="AA701" s="46" t="n"/>
      <c r="AB701" s="46" t="n"/>
      <c r="AC701" s="46" t="n"/>
      <c r="AD701" s="46" t="n"/>
      <c r="AE701" s="46" t="n"/>
      <c r="AF701" s="46" t="n"/>
    </row>
    <row r="702" ht="12.75" customHeight="1" s="104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  <c r="AA702" s="46" t="n"/>
      <c r="AB702" s="46" t="n"/>
      <c r="AC702" s="46" t="n"/>
      <c r="AD702" s="46" t="n"/>
      <c r="AE702" s="46" t="n"/>
      <c r="AF702" s="46" t="n"/>
    </row>
    <row r="703" ht="12.75" customHeight="1" s="104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  <c r="AA703" s="46" t="n"/>
      <c r="AB703" s="46" t="n"/>
      <c r="AC703" s="46" t="n"/>
      <c r="AD703" s="46" t="n"/>
      <c r="AE703" s="46" t="n"/>
      <c r="AF703" s="46" t="n"/>
    </row>
    <row r="704" ht="12.75" customHeight="1" s="1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  <c r="AA704" s="46" t="n"/>
      <c r="AB704" s="46" t="n"/>
      <c r="AC704" s="46" t="n"/>
      <c r="AD704" s="46" t="n"/>
      <c r="AE704" s="46" t="n"/>
      <c r="AF704" s="46" t="n"/>
    </row>
    <row r="705" ht="12.75" customHeight="1" s="104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  <c r="AA705" s="46" t="n"/>
      <c r="AB705" s="46" t="n"/>
      <c r="AC705" s="46" t="n"/>
      <c r="AD705" s="46" t="n"/>
      <c r="AE705" s="46" t="n"/>
      <c r="AF705" s="46" t="n"/>
    </row>
    <row r="706" ht="12.75" customHeight="1" s="104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  <c r="AA706" s="46" t="n"/>
      <c r="AB706" s="46" t="n"/>
      <c r="AC706" s="46" t="n"/>
      <c r="AD706" s="46" t="n"/>
      <c r="AE706" s="46" t="n"/>
      <c r="AF706" s="46" t="n"/>
    </row>
    <row r="707" ht="12.75" customHeight="1" s="104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  <c r="AA707" s="46" t="n"/>
      <c r="AB707" s="46" t="n"/>
      <c r="AC707" s="46" t="n"/>
      <c r="AD707" s="46" t="n"/>
      <c r="AE707" s="46" t="n"/>
      <c r="AF707" s="46" t="n"/>
    </row>
    <row r="708" ht="12.75" customHeight="1" s="104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  <c r="AA708" s="46" t="n"/>
      <c r="AB708" s="46" t="n"/>
      <c r="AC708" s="46" t="n"/>
      <c r="AD708" s="46" t="n"/>
      <c r="AE708" s="46" t="n"/>
      <c r="AF708" s="46" t="n"/>
    </row>
    <row r="709" ht="12.75" customHeight="1" s="104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  <c r="AA709" s="46" t="n"/>
      <c r="AB709" s="46" t="n"/>
      <c r="AC709" s="46" t="n"/>
      <c r="AD709" s="46" t="n"/>
      <c r="AE709" s="46" t="n"/>
      <c r="AF709" s="46" t="n"/>
    </row>
    <row r="710" ht="12.75" customHeight="1" s="104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  <c r="AA710" s="46" t="n"/>
      <c r="AB710" s="46" t="n"/>
      <c r="AC710" s="46" t="n"/>
      <c r="AD710" s="46" t="n"/>
      <c r="AE710" s="46" t="n"/>
      <c r="AF710" s="46" t="n"/>
    </row>
    <row r="711" ht="12.75" customHeight="1" s="104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  <c r="AA711" s="46" t="n"/>
      <c r="AB711" s="46" t="n"/>
      <c r="AC711" s="46" t="n"/>
      <c r="AD711" s="46" t="n"/>
      <c r="AE711" s="46" t="n"/>
      <c r="AF711" s="46" t="n"/>
    </row>
    <row r="712" ht="12.75" customHeight="1" s="104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  <c r="AA712" s="46" t="n"/>
      <c r="AB712" s="46" t="n"/>
      <c r="AC712" s="46" t="n"/>
      <c r="AD712" s="46" t="n"/>
      <c r="AE712" s="46" t="n"/>
      <c r="AF712" s="46" t="n"/>
    </row>
    <row r="713" ht="12.75" customHeight="1" s="104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  <c r="AA713" s="46" t="n"/>
      <c r="AB713" s="46" t="n"/>
      <c r="AC713" s="46" t="n"/>
      <c r="AD713" s="46" t="n"/>
      <c r="AE713" s="46" t="n"/>
      <c r="AF713" s="46" t="n"/>
    </row>
    <row r="714" ht="12.75" customHeight="1" s="10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  <c r="AA714" s="46" t="n"/>
      <c r="AB714" s="46" t="n"/>
      <c r="AC714" s="46" t="n"/>
      <c r="AD714" s="46" t="n"/>
      <c r="AE714" s="46" t="n"/>
      <c r="AF714" s="46" t="n"/>
    </row>
    <row r="715" ht="12.75" customHeight="1" s="104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  <c r="AA715" s="46" t="n"/>
      <c r="AB715" s="46" t="n"/>
      <c r="AC715" s="46" t="n"/>
      <c r="AD715" s="46" t="n"/>
      <c r="AE715" s="46" t="n"/>
      <c r="AF715" s="46" t="n"/>
    </row>
    <row r="716" ht="12.75" customHeight="1" s="104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  <c r="AA716" s="46" t="n"/>
      <c r="AB716" s="46" t="n"/>
      <c r="AC716" s="46" t="n"/>
      <c r="AD716" s="46" t="n"/>
      <c r="AE716" s="46" t="n"/>
      <c r="AF716" s="46" t="n"/>
    </row>
    <row r="717" ht="12.75" customHeight="1" s="104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  <c r="AA717" s="46" t="n"/>
      <c r="AB717" s="46" t="n"/>
      <c r="AC717" s="46" t="n"/>
      <c r="AD717" s="46" t="n"/>
      <c r="AE717" s="46" t="n"/>
      <c r="AF717" s="46" t="n"/>
    </row>
    <row r="718" ht="12.75" customHeight="1" s="104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  <c r="AA718" s="46" t="n"/>
      <c r="AB718" s="46" t="n"/>
      <c r="AC718" s="46" t="n"/>
      <c r="AD718" s="46" t="n"/>
      <c r="AE718" s="46" t="n"/>
      <c r="AF718" s="46" t="n"/>
    </row>
    <row r="719" ht="12.75" customHeight="1" s="104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  <c r="AA719" s="46" t="n"/>
      <c r="AB719" s="46" t="n"/>
      <c r="AC719" s="46" t="n"/>
      <c r="AD719" s="46" t="n"/>
      <c r="AE719" s="46" t="n"/>
      <c r="AF719" s="46" t="n"/>
    </row>
    <row r="720" ht="12.75" customHeight="1" s="104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  <c r="AA720" s="46" t="n"/>
      <c r="AB720" s="46" t="n"/>
      <c r="AC720" s="46" t="n"/>
      <c r="AD720" s="46" t="n"/>
      <c r="AE720" s="46" t="n"/>
      <c r="AF720" s="46" t="n"/>
    </row>
    <row r="721" ht="12.75" customHeight="1" s="104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  <c r="AA721" s="46" t="n"/>
      <c r="AB721" s="46" t="n"/>
      <c r="AC721" s="46" t="n"/>
      <c r="AD721" s="46" t="n"/>
      <c r="AE721" s="46" t="n"/>
      <c r="AF721" s="46" t="n"/>
    </row>
    <row r="722" ht="12.75" customHeight="1" s="104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  <c r="AA722" s="46" t="n"/>
      <c r="AB722" s="46" t="n"/>
      <c r="AC722" s="46" t="n"/>
      <c r="AD722" s="46" t="n"/>
      <c r="AE722" s="46" t="n"/>
      <c r="AF722" s="46" t="n"/>
    </row>
    <row r="723" ht="12.75" customHeight="1" s="104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  <c r="AA723" s="46" t="n"/>
      <c r="AB723" s="46" t="n"/>
      <c r="AC723" s="46" t="n"/>
      <c r="AD723" s="46" t="n"/>
      <c r="AE723" s="46" t="n"/>
      <c r="AF723" s="46" t="n"/>
    </row>
    <row r="724" ht="12.75" customHeight="1" s="10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  <c r="AA724" s="46" t="n"/>
      <c r="AB724" s="46" t="n"/>
      <c r="AC724" s="46" t="n"/>
      <c r="AD724" s="46" t="n"/>
      <c r="AE724" s="46" t="n"/>
      <c r="AF724" s="46" t="n"/>
    </row>
    <row r="725" ht="12.75" customHeight="1" s="104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  <c r="AA725" s="46" t="n"/>
      <c r="AB725" s="46" t="n"/>
      <c r="AC725" s="46" t="n"/>
      <c r="AD725" s="46" t="n"/>
      <c r="AE725" s="46" t="n"/>
      <c r="AF725" s="46" t="n"/>
    </row>
    <row r="726" ht="12.75" customHeight="1" s="104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  <c r="AA726" s="46" t="n"/>
      <c r="AB726" s="46" t="n"/>
      <c r="AC726" s="46" t="n"/>
      <c r="AD726" s="46" t="n"/>
      <c r="AE726" s="46" t="n"/>
      <c r="AF726" s="46" t="n"/>
    </row>
    <row r="727" ht="12.75" customHeight="1" s="104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  <c r="AA727" s="46" t="n"/>
      <c r="AB727" s="46" t="n"/>
      <c r="AC727" s="46" t="n"/>
      <c r="AD727" s="46" t="n"/>
      <c r="AE727" s="46" t="n"/>
      <c r="AF727" s="46" t="n"/>
    </row>
    <row r="728" ht="12.75" customHeight="1" s="104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  <c r="AA728" s="46" t="n"/>
      <c r="AB728" s="46" t="n"/>
      <c r="AC728" s="46" t="n"/>
      <c r="AD728" s="46" t="n"/>
      <c r="AE728" s="46" t="n"/>
      <c r="AF728" s="46" t="n"/>
    </row>
    <row r="729" ht="12.75" customHeight="1" s="104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  <c r="AA729" s="46" t="n"/>
      <c r="AB729" s="46" t="n"/>
      <c r="AC729" s="46" t="n"/>
      <c r="AD729" s="46" t="n"/>
      <c r="AE729" s="46" t="n"/>
      <c r="AF729" s="46" t="n"/>
    </row>
    <row r="730" ht="12.75" customHeight="1" s="104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  <c r="AA730" s="46" t="n"/>
      <c r="AB730" s="46" t="n"/>
      <c r="AC730" s="46" t="n"/>
      <c r="AD730" s="46" t="n"/>
      <c r="AE730" s="46" t="n"/>
      <c r="AF730" s="46" t="n"/>
    </row>
    <row r="731" ht="12.75" customHeight="1" s="104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  <c r="AA731" s="46" t="n"/>
      <c r="AB731" s="46" t="n"/>
      <c r="AC731" s="46" t="n"/>
      <c r="AD731" s="46" t="n"/>
      <c r="AE731" s="46" t="n"/>
      <c r="AF731" s="46" t="n"/>
    </row>
    <row r="732" ht="12.75" customHeight="1" s="104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  <c r="AA732" s="46" t="n"/>
      <c r="AB732" s="46" t="n"/>
      <c r="AC732" s="46" t="n"/>
      <c r="AD732" s="46" t="n"/>
      <c r="AE732" s="46" t="n"/>
      <c r="AF732" s="46" t="n"/>
    </row>
    <row r="733" ht="12.75" customHeight="1" s="104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  <c r="AA733" s="46" t="n"/>
      <c r="AB733" s="46" t="n"/>
      <c r="AC733" s="46" t="n"/>
      <c r="AD733" s="46" t="n"/>
      <c r="AE733" s="46" t="n"/>
      <c r="AF733" s="46" t="n"/>
    </row>
    <row r="734" ht="12.75" customHeight="1" s="10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  <c r="AA734" s="46" t="n"/>
      <c r="AB734" s="46" t="n"/>
      <c r="AC734" s="46" t="n"/>
      <c r="AD734" s="46" t="n"/>
      <c r="AE734" s="46" t="n"/>
      <c r="AF734" s="46" t="n"/>
    </row>
    <row r="735" ht="12.75" customHeight="1" s="104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  <c r="AA735" s="46" t="n"/>
      <c r="AB735" s="46" t="n"/>
      <c r="AC735" s="46" t="n"/>
      <c r="AD735" s="46" t="n"/>
      <c r="AE735" s="46" t="n"/>
      <c r="AF735" s="46" t="n"/>
    </row>
    <row r="736" ht="12.75" customHeight="1" s="104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  <c r="AA736" s="46" t="n"/>
      <c r="AB736" s="46" t="n"/>
      <c r="AC736" s="46" t="n"/>
      <c r="AD736" s="46" t="n"/>
      <c r="AE736" s="46" t="n"/>
      <c r="AF736" s="46" t="n"/>
    </row>
    <row r="737" ht="12.75" customHeight="1" s="104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  <c r="AA737" s="46" t="n"/>
      <c r="AB737" s="46" t="n"/>
      <c r="AC737" s="46" t="n"/>
      <c r="AD737" s="46" t="n"/>
      <c r="AE737" s="46" t="n"/>
      <c r="AF737" s="46" t="n"/>
    </row>
    <row r="738" ht="12.75" customHeight="1" s="104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  <c r="AA738" s="46" t="n"/>
      <c r="AB738" s="46" t="n"/>
      <c r="AC738" s="46" t="n"/>
      <c r="AD738" s="46" t="n"/>
      <c r="AE738" s="46" t="n"/>
      <c r="AF738" s="46" t="n"/>
    </row>
    <row r="739" ht="12.75" customHeight="1" s="104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  <c r="AA739" s="46" t="n"/>
      <c r="AB739" s="46" t="n"/>
      <c r="AC739" s="46" t="n"/>
      <c r="AD739" s="46" t="n"/>
      <c r="AE739" s="46" t="n"/>
      <c r="AF739" s="46" t="n"/>
    </row>
    <row r="740" ht="12.75" customHeight="1" s="104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  <c r="AA740" s="46" t="n"/>
      <c r="AB740" s="46" t="n"/>
      <c r="AC740" s="46" t="n"/>
      <c r="AD740" s="46" t="n"/>
      <c r="AE740" s="46" t="n"/>
      <c r="AF740" s="46" t="n"/>
    </row>
    <row r="741" ht="12.75" customHeight="1" s="104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  <c r="AA741" s="46" t="n"/>
      <c r="AB741" s="46" t="n"/>
      <c r="AC741" s="46" t="n"/>
      <c r="AD741" s="46" t="n"/>
      <c r="AE741" s="46" t="n"/>
      <c r="AF741" s="46" t="n"/>
    </row>
    <row r="742" ht="12.75" customHeight="1" s="104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  <c r="AA742" s="46" t="n"/>
      <c r="AB742" s="46" t="n"/>
      <c r="AC742" s="46" t="n"/>
      <c r="AD742" s="46" t="n"/>
      <c r="AE742" s="46" t="n"/>
      <c r="AF742" s="46" t="n"/>
    </row>
    <row r="743" ht="12.75" customHeight="1" s="104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  <c r="AA743" s="46" t="n"/>
      <c r="AB743" s="46" t="n"/>
      <c r="AC743" s="46" t="n"/>
      <c r="AD743" s="46" t="n"/>
      <c r="AE743" s="46" t="n"/>
      <c r="AF743" s="46" t="n"/>
    </row>
    <row r="744" ht="12.75" customHeight="1" s="10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  <c r="AA744" s="46" t="n"/>
      <c r="AB744" s="46" t="n"/>
      <c r="AC744" s="46" t="n"/>
      <c r="AD744" s="46" t="n"/>
      <c r="AE744" s="46" t="n"/>
      <c r="AF744" s="46" t="n"/>
    </row>
    <row r="745" ht="12.75" customHeight="1" s="104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  <c r="AA745" s="46" t="n"/>
      <c r="AB745" s="46" t="n"/>
      <c r="AC745" s="46" t="n"/>
      <c r="AD745" s="46" t="n"/>
      <c r="AE745" s="46" t="n"/>
      <c r="AF745" s="46" t="n"/>
    </row>
    <row r="746" ht="12.75" customHeight="1" s="104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  <c r="AA746" s="46" t="n"/>
      <c r="AB746" s="46" t="n"/>
      <c r="AC746" s="46" t="n"/>
      <c r="AD746" s="46" t="n"/>
      <c r="AE746" s="46" t="n"/>
      <c r="AF746" s="46" t="n"/>
    </row>
    <row r="747" ht="12.75" customHeight="1" s="104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  <c r="AA747" s="46" t="n"/>
      <c r="AB747" s="46" t="n"/>
      <c r="AC747" s="46" t="n"/>
      <c r="AD747" s="46" t="n"/>
      <c r="AE747" s="46" t="n"/>
      <c r="AF747" s="46" t="n"/>
    </row>
    <row r="748" ht="12.75" customHeight="1" s="104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  <c r="AA748" s="46" t="n"/>
      <c r="AB748" s="46" t="n"/>
      <c r="AC748" s="46" t="n"/>
      <c r="AD748" s="46" t="n"/>
      <c r="AE748" s="46" t="n"/>
      <c r="AF748" s="46" t="n"/>
    </row>
    <row r="749" ht="12.75" customHeight="1" s="104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  <c r="AA749" s="46" t="n"/>
      <c r="AB749" s="46" t="n"/>
      <c r="AC749" s="46" t="n"/>
      <c r="AD749" s="46" t="n"/>
      <c r="AE749" s="46" t="n"/>
      <c r="AF749" s="46" t="n"/>
    </row>
    <row r="750" ht="12.75" customHeight="1" s="104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  <c r="AA750" s="46" t="n"/>
      <c r="AB750" s="46" t="n"/>
      <c r="AC750" s="46" t="n"/>
      <c r="AD750" s="46" t="n"/>
      <c r="AE750" s="46" t="n"/>
      <c r="AF750" s="46" t="n"/>
    </row>
    <row r="751" ht="12.75" customHeight="1" s="104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  <c r="AA751" s="46" t="n"/>
      <c r="AB751" s="46" t="n"/>
      <c r="AC751" s="46" t="n"/>
      <c r="AD751" s="46" t="n"/>
      <c r="AE751" s="46" t="n"/>
      <c r="AF751" s="46" t="n"/>
    </row>
    <row r="752" ht="12.75" customHeight="1" s="104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  <c r="AA752" s="46" t="n"/>
      <c r="AB752" s="46" t="n"/>
      <c r="AC752" s="46" t="n"/>
      <c r="AD752" s="46" t="n"/>
      <c r="AE752" s="46" t="n"/>
      <c r="AF752" s="46" t="n"/>
    </row>
    <row r="753" ht="12.75" customHeight="1" s="104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  <c r="AA753" s="46" t="n"/>
      <c r="AB753" s="46" t="n"/>
      <c r="AC753" s="46" t="n"/>
      <c r="AD753" s="46" t="n"/>
      <c r="AE753" s="46" t="n"/>
      <c r="AF753" s="46" t="n"/>
    </row>
    <row r="754" ht="12.75" customHeight="1" s="10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  <c r="AA754" s="46" t="n"/>
      <c r="AB754" s="46" t="n"/>
      <c r="AC754" s="46" t="n"/>
      <c r="AD754" s="46" t="n"/>
      <c r="AE754" s="46" t="n"/>
      <c r="AF754" s="46" t="n"/>
    </row>
    <row r="755" ht="12.75" customHeight="1" s="104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  <c r="AA755" s="46" t="n"/>
      <c r="AB755" s="46" t="n"/>
      <c r="AC755" s="46" t="n"/>
      <c r="AD755" s="46" t="n"/>
      <c r="AE755" s="46" t="n"/>
      <c r="AF755" s="46" t="n"/>
    </row>
    <row r="756" ht="12.75" customHeight="1" s="104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  <c r="AA756" s="46" t="n"/>
      <c r="AB756" s="46" t="n"/>
      <c r="AC756" s="46" t="n"/>
      <c r="AD756" s="46" t="n"/>
      <c r="AE756" s="46" t="n"/>
      <c r="AF756" s="46" t="n"/>
    </row>
    <row r="757" ht="12.75" customHeight="1" s="104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  <c r="AA757" s="46" t="n"/>
      <c r="AB757" s="46" t="n"/>
      <c r="AC757" s="46" t="n"/>
      <c r="AD757" s="46" t="n"/>
      <c r="AE757" s="46" t="n"/>
      <c r="AF757" s="46" t="n"/>
    </row>
    <row r="758" ht="12.75" customHeight="1" s="104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  <c r="AA758" s="46" t="n"/>
      <c r="AB758" s="46" t="n"/>
      <c r="AC758" s="46" t="n"/>
      <c r="AD758" s="46" t="n"/>
      <c r="AE758" s="46" t="n"/>
      <c r="AF758" s="46" t="n"/>
    </row>
    <row r="759" ht="12.75" customHeight="1" s="104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  <c r="AA759" s="46" t="n"/>
      <c r="AB759" s="46" t="n"/>
      <c r="AC759" s="46" t="n"/>
      <c r="AD759" s="46" t="n"/>
      <c r="AE759" s="46" t="n"/>
      <c r="AF759" s="46" t="n"/>
    </row>
    <row r="760" ht="12.75" customHeight="1" s="104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  <c r="AA760" s="46" t="n"/>
      <c r="AB760" s="46" t="n"/>
      <c r="AC760" s="46" t="n"/>
      <c r="AD760" s="46" t="n"/>
      <c r="AE760" s="46" t="n"/>
      <c r="AF760" s="46" t="n"/>
    </row>
    <row r="761" ht="12.75" customHeight="1" s="104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  <c r="AA761" s="46" t="n"/>
      <c r="AB761" s="46" t="n"/>
      <c r="AC761" s="46" t="n"/>
      <c r="AD761" s="46" t="n"/>
      <c r="AE761" s="46" t="n"/>
      <c r="AF761" s="46" t="n"/>
    </row>
    <row r="762" ht="12.75" customHeight="1" s="104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  <c r="AA762" s="46" t="n"/>
      <c r="AB762" s="46" t="n"/>
      <c r="AC762" s="46" t="n"/>
      <c r="AD762" s="46" t="n"/>
      <c r="AE762" s="46" t="n"/>
      <c r="AF762" s="46" t="n"/>
    </row>
    <row r="763" ht="12.75" customHeight="1" s="104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  <c r="AA763" s="46" t="n"/>
      <c r="AB763" s="46" t="n"/>
      <c r="AC763" s="46" t="n"/>
      <c r="AD763" s="46" t="n"/>
      <c r="AE763" s="46" t="n"/>
      <c r="AF763" s="46" t="n"/>
    </row>
    <row r="764" ht="12.75" customHeight="1" s="10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  <c r="AA764" s="46" t="n"/>
      <c r="AB764" s="46" t="n"/>
      <c r="AC764" s="46" t="n"/>
      <c r="AD764" s="46" t="n"/>
      <c r="AE764" s="46" t="n"/>
      <c r="AF764" s="46" t="n"/>
    </row>
    <row r="765" ht="12.75" customHeight="1" s="104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  <c r="AA765" s="46" t="n"/>
      <c r="AB765" s="46" t="n"/>
      <c r="AC765" s="46" t="n"/>
      <c r="AD765" s="46" t="n"/>
      <c r="AE765" s="46" t="n"/>
      <c r="AF765" s="46" t="n"/>
    </row>
    <row r="766" ht="12.75" customHeight="1" s="104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  <c r="AA766" s="46" t="n"/>
      <c r="AB766" s="46" t="n"/>
      <c r="AC766" s="46" t="n"/>
      <c r="AD766" s="46" t="n"/>
      <c r="AE766" s="46" t="n"/>
      <c r="AF766" s="46" t="n"/>
    </row>
    <row r="767" ht="12.75" customHeight="1" s="104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  <c r="AA767" s="46" t="n"/>
      <c r="AB767" s="46" t="n"/>
      <c r="AC767" s="46" t="n"/>
      <c r="AD767" s="46" t="n"/>
      <c r="AE767" s="46" t="n"/>
      <c r="AF767" s="46" t="n"/>
    </row>
    <row r="768" ht="12.75" customHeight="1" s="104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  <c r="AA768" s="46" t="n"/>
      <c r="AB768" s="46" t="n"/>
      <c r="AC768" s="46" t="n"/>
      <c r="AD768" s="46" t="n"/>
      <c r="AE768" s="46" t="n"/>
      <c r="AF768" s="46" t="n"/>
    </row>
    <row r="769" ht="12.75" customHeight="1" s="104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  <c r="AA769" s="46" t="n"/>
      <c r="AB769" s="46" t="n"/>
      <c r="AC769" s="46" t="n"/>
      <c r="AD769" s="46" t="n"/>
      <c r="AE769" s="46" t="n"/>
      <c r="AF769" s="46" t="n"/>
    </row>
    <row r="770" ht="12.75" customHeight="1" s="104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  <c r="AA770" s="46" t="n"/>
      <c r="AB770" s="46" t="n"/>
      <c r="AC770" s="46" t="n"/>
      <c r="AD770" s="46" t="n"/>
      <c r="AE770" s="46" t="n"/>
      <c r="AF770" s="46" t="n"/>
    </row>
    <row r="771" ht="12.75" customHeight="1" s="104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  <c r="AA771" s="46" t="n"/>
      <c r="AB771" s="46" t="n"/>
      <c r="AC771" s="46" t="n"/>
      <c r="AD771" s="46" t="n"/>
      <c r="AE771" s="46" t="n"/>
      <c r="AF771" s="46" t="n"/>
    </row>
    <row r="772" ht="12.75" customHeight="1" s="104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  <c r="AA772" s="46" t="n"/>
      <c r="AB772" s="46" t="n"/>
      <c r="AC772" s="46" t="n"/>
      <c r="AD772" s="46" t="n"/>
      <c r="AE772" s="46" t="n"/>
      <c r="AF772" s="46" t="n"/>
    </row>
    <row r="773" ht="12.75" customHeight="1" s="104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  <c r="AA773" s="46" t="n"/>
      <c r="AB773" s="46" t="n"/>
      <c r="AC773" s="46" t="n"/>
      <c r="AD773" s="46" t="n"/>
      <c r="AE773" s="46" t="n"/>
      <c r="AF773" s="46" t="n"/>
    </row>
    <row r="774" ht="12.75" customHeight="1" s="10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  <c r="AA774" s="46" t="n"/>
      <c r="AB774" s="46" t="n"/>
      <c r="AC774" s="46" t="n"/>
      <c r="AD774" s="46" t="n"/>
      <c r="AE774" s="46" t="n"/>
      <c r="AF774" s="46" t="n"/>
    </row>
    <row r="775" ht="12.75" customHeight="1" s="104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  <c r="AA775" s="46" t="n"/>
      <c r="AB775" s="46" t="n"/>
      <c r="AC775" s="46" t="n"/>
      <c r="AD775" s="46" t="n"/>
      <c r="AE775" s="46" t="n"/>
      <c r="AF775" s="46" t="n"/>
    </row>
    <row r="776" ht="12.75" customHeight="1" s="104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  <c r="AA776" s="46" t="n"/>
      <c r="AB776" s="46" t="n"/>
      <c r="AC776" s="46" t="n"/>
      <c r="AD776" s="46" t="n"/>
      <c r="AE776" s="46" t="n"/>
      <c r="AF776" s="46" t="n"/>
    </row>
    <row r="777" ht="12.75" customHeight="1" s="104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  <c r="AA777" s="46" t="n"/>
      <c r="AB777" s="46" t="n"/>
      <c r="AC777" s="46" t="n"/>
      <c r="AD777" s="46" t="n"/>
      <c r="AE777" s="46" t="n"/>
      <c r="AF777" s="46" t="n"/>
    </row>
    <row r="778" ht="12.75" customHeight="1" s="104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  <c r="AA778" s="46" t="n"/>
      <c r="AB778" s="46" t="n"/>
      <c r="AC778" s="46" t="n"/>
      <c r="AD778" s="46" t="n"/>
      <c r="AE778" s="46" t="n"/>
      <c r="AF778" s="46" t="n"/>
    </row>
    <row r="779" ht="12.75" customHeight="1" s="104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  <c r="AA779" s="46" t="n"/>
      <c r="AB779" s="46" t="n"/>
      <c r="AC779" s="46" t="n"/>
      <c r="AD779" s="46" t="n"/>
      <c r="AE779" s="46" t="n"/>
      <c r="AF779" s="46" t="n"/>
    </row>
    <row r="780" ht="12.75" customHeight="1" s="104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  <c r="AA780" s="46" t="n"/>
      <c r="AB780" s="46" t="n"/>
      <c r="AC780" s="46" t="n"/>
      <c r="AD780" s="46" t="n"/>
      <c r="AE780" s="46" t="n"/>
      <c r="AF780" s="46" t="n"/>
    </row>
    <row r="781" ht="12.75" customHeight="1" s="104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  <c r="AA781" s="46" t="n"/>
      <c r="AB781" s="46" t="n"/>
      <c r="AC781" s="46" t="n"/>
      <c r="AD781" s="46" t="n"/>
      <c r="AE781" s="46" t="n"/>
      <c r="AF781" s="46" t="n"/>
    </row>
    <row r="782" ht="12.75" customHeight="1" s="104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  <c r="AA782" s="46" t="n"/>
      <c r="AB782" s="46" t="n"/>
      <c r="AC782" s="46" t="n"/>
      <c r="AD782" s="46" t="n"/>
      <c r="AE782" s="46" t="n"/>
      <c r="AF782" s="46" t="n"/>
    </row>
    <row r="783" ht="12.75" customHeight="1" s="104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  <c r="AA783" s="46" t="n"/>
      <c r="AB783" s="46" t="n"/>
      <c r="AC783" s="46" t="n"/>
      <c r="AD783" s="46" t="n"/>
      <c r="AE783" s="46" t="n"/>
      <c r="AF783" s="46" t="n"/>
    </row>
    <row r="784" ht="12.75" customHeight="1" s="10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  <c r="AA784" s="46" t="n"/>
      <c r="AB784" s="46" t="n"/>
      <c r="AC784" s="46" t="n"/>
      <c r="AD784" s="46" t="n"/>
      <c r="AE784" s="46" t="n"/>
      <c r="AF784" s="46" t="n"/>
    </row>
    <row r="785" ht="12.75" customHeight="1" s="104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  <c r="AA785" s="46" t="n"/>
      <c r="AB785" s="46" t="n"/>
      <c r="AC785" s="46" t="n"/>
      <c r="AD785" s="46" t="n"/>
      <c r="AE785" s="46" t="n"/>
      <c r="AF785" s="46" t="n"/>
    </row>
    <row r="786" ht="12.75" customHeight="1" s="104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  <c r="AA786" s="46" t="n"/>
      <c r="AB786" s="46" t="n"/>
      <c r="AC786" s="46" t="n"/>
      <c r="AD786" s="46" t="n"/>
      <c r="AE786" s="46" t="n"/>
      <c r="AF786" s="46" t="n"/>
    </row>
    <row r="787" ht="12.75" customHeight="1" s="104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  <c r="AA787" s="46" t="n"/>
      <c r="AB787" s="46" t="n"/>
      <c r="AC787" s="46" t="n"/>
      <c r="AD787" s="46" t="n"/>
      <c r="AE787" s="46" t="n"/>
      <c r="AF787" s="46" t="n"/>
    </row>
    <row r="788" ht="12.75" customHeight="1" s="104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  <c r="AA788" s="46" t="n"/>
      <c r="AB788" s="46" t="n"/>
      <c r="AC788" s="46" t="n"/>
      <c r="AD788" s="46" t="n"/>
      <c r="AE788" s="46" t="n"/>
      <c r="AF788" s="46" t="n"/>
    </row>
    <row r="789" ht="12.75" customHeight="1" s="104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  <c r="AA789" s="46" t="n"/>
      <c r="AB789" s="46" t="n"/>
      <c r="AC789" s="46" t="n"/>
      <c r="AD789" s="46" t="n"/>
      <c r="AE789" s="46" t="n"/>
      <c r="AF789" s="46" t="n"/>
    </row>
    <row r="790" ht="12.75" customHeight="1" s="104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  <c r="AA790" s="46" t="n"/>
      <c r="AB790" s="46" t="n"/>
      <c r="AC790" s="46" t="n"/>
      <c r="AD790" s="46" t="n"/>
      <c r="AE790" s="46" t="n"/>
      <c r="AF790" s="46" t="n"/>
    </row>
    <row r="791" ht="12.75" customHeight="1" s="104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  <c r="AA791" s="46" t="n"/>
      <c r="AB791" s="46" t="n"/>
      <c r="AC791" s="46" t="n"/>
      <c r="AD791" s="46" t="n"/>
      <c r="AE791" s="46" t="n"/>
      <c r="AF791" s="46" t="n"/>
    </row>
    <row r="792" ht="12.75" customHeight="1" s="104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  <c r="AA792" s="46" t="n"/>
      <c r="AB792" s="46" t="n"/>
      <c r="AC792" s="46" t="n"/>
      <c r="AD792" s="46" t="n"/>
      <c r="AE792" s="46" t="n"/>
      <c r="AF792" s="46" t="n"/>
    </row>
    <row r="793" ht="12.75" customHeight="1" s="104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  <c r="AA793" s="46" t="n"/>
      <c r="AB793" s="46" t="n"/>
      <c r="AC793" s="46" t="n"/>
      <c r="AD793" s="46" t="n"/>
      <c r="AE793" s="46" t="n"/>
      <c r="AF793" s="46" t="n"/>
    </row>
    <row r="794" ht="12.75" customHeight="1" s="10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  <c r="AA794" s="46" t="n"/>
      <c r="AB794" s="46" t="n"/>
      <c r="AC794" s="46" t="n"/>
      <c r="AD794" s="46" t="n"/>
      <c r="AE794" s="46" t="n"/>
      <c r="AF794" s="46" t="n"/>
    </row>
    <row r="795" ht="12.75" customHeight="1" s="104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  <c r="AA795" s="46" t="n"/>
      <c r="AB795" s="46" t="n"/>
      <c r="AC795" s="46" t="n"/>
      <c r="AD795" s="46" t="n"/>
      <c r="AE795" s="46" t="n"/>
      <c r="AF795" s="46" t="n"/>
    </row>
    <row r="796" ht="12.75" customHeight="1" s="104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  <c r="AA796" s="46" t="n"/>
      <c r="AB796" s="46" t="n"/>
      <c r="AC796" s="46" t="n"/>
      <c r="AD796" s="46" t="n"/>
      <c r="AE796" s="46" t="n"/>
      <c r="AF796" s="46" t="n"/>
    </row>
    <row r="797" ht="12.75" customHeight="1" s="104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  <c r="AA797" s="46" t="n"/>
      <c r="AB797" s="46" t="n"/>
      <c r="AC797" s="46" t="n"/>
      <c r="AD797" s="46" t="n"/>
      <c r="AE797" s="46" t="n"/>
      <c r="AF797" s="46" t="n"/>
    </row>
    <row r="798" ht="12.75" customHeight="1" s="104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  <c r="AA798" s="46" t="n"/>
      <c r="AB798" s="46" t="n"/>
      <c r="AC798" s="46" t="n"/>
      <c r="AD798" s="46" t="n"/>
      <c r="AE798" s="46" t="n"/>
      <c r="AF798" s="46" t="n"/>
    </row>
    <row r="799" ht="12.75" customHeight="1" s="104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  <c r="AA799" s="46" t="n"/>
      <c r="AB799" s="46" t="n"/>
      <c r="AC799" s="46" t="n"/>
      <c r="AD799" s="46" t="n"/>
      <c r="AE799" s="46" t="n"/>
      <c r="AF799" s="46" t="n"/>
    </row>
    <row r="800" ht="12.75" customHeight="1" s="104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  <c r="AA800" s="46" t="n"/>
      <c r="AB800" s="46" t="n"/>
      <c r="AC800" s="46" t="n"/>
      <c r="AD800" s="46" t="n"/>
      <c r="AE800" s="46" t="n"/>
      <c r="AF800" s="46" t="n"/>
    </row>
    <row r="801" ht="12.75" customHeight="1" s="104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  <c r="AA801" s="46" t="n"/>
      <c r="AB801" s="46" t="n"/>
      <c r="AC801" s="46" t="n"/>
      <c r="AD801" s="46" t="n"/>
      <c r="AE801" s="46" t="n"/>
      <c r="AF801" s="46" t="n"/>
    </row>
    <row r="802" ht="12.75" customHeight="1" s="104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  <c r="AA802" s="46" t="n"/>
      <c r="AB802" s="46" t="n"/>
      <c r="AC802" s="46" t="n"/>
      <c r="AD802" s="46" t="n"/>
      <c r="AE802" s="46" t="n"/>
      <c r="AF802" s="46" t="n"/>
    </row>
    <row r="803" ht="12.75" customHeight="1" s="104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  <c r="AA803" s="46" t="n"/>
      <c r="AB803" s="46" t="n"/>
      <c r="AC803" s="46" t="n"/>
      <c r="AD803" s="46" t="n"/>
      <c r="AE803" s="46" t="n"/>
      <c r="AF803" s="46" t="n"/>
    </row>
    <row r="804" ht="12.75" customHeight="1" s="1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  <c r="AA804" s="46" t="n"/>
      <c r="AB804" s="46" t="n"/>
      <c r="AC804" s="46" t="n"/>
      <c r="AD804" s="46" t="n"/>
      <c r="AE804" s="46" t="n"/>
      <c r="AF804" s="46" t="n"/>
    </row>
    <row r="805" ht="12.75" customHeight="1" s="104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  <c r="AA805" s="46" t="n"/>
      <c r="AB805" s="46" t="n"/>
      <c r="AC805" s="46" t="n"/>
      <c r="AD805" s="46" t="n"/>
      <c r="AE805" s="46" t="n"/>
      <c r="AF805" s="46" t="n"/>
    </row>
    <row r="806" ht="12.75" customHeight="1" s="104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  <c r="AA806" s="46" t="n"/>
      <c r="AB806" s="46" t="n"/>
      <c r="AC806" s="46" t="n"/>
      <c r="AD806" s="46" t="n"/>
      <c r="AE806" s="46" t="n"/>
      <c r="AF806" s="46" t="n"/>
    </row>
    <row r="807" ht="12.75" customHeight="1" s="104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  <c r="AA807" s="46" t="n"/>
      <c r="AB807" s="46" t="n"/>
      <c r="AC807" s="46" t="n"/>
      <c r="AD807" s="46" t="n"/>
      <c r="AE807" s="46" t="n"/>
      <c r="AF807" s="46" t="n"/>
    </row>
    <row r="808" ht="12.75" customHeight="1" s="104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  <c r="AA808" s="46" t="n"/>
      <c r="AB808" s="46" t="n"/>
      <c r="AC808" s="46" t="n"/>
      <c r="AD808" s="46" t="n"/>
      <c r="AE808" s="46" t="n"/>
      <c r="AF808" s="46" t="n"/>
    </row>
    <row r="809" ht="12.75" customHeight="1" s="104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  <c r="AA809" s="46" t="n"/>
      <c r="AB809" s="46" t="n"/>
      <c r="AC809" s="46" t="n"/>
      <c r="AD809" s="46" t="n"/>
      <c r="AE809" s="46" t="n"/>
      <c r="AF809" s="46" t="n"/>
    </row>
    <row r="810" ht="12.75" customHeight="1" s="104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  <c r="AA810" s="46" t="n"/>
      <c r="AB810" s="46" t="n"/>
      <c r="AC810" s="46" t="n"/>
      <c r="AD810" s="46" t="n"/>
      <c r="AE810" s="46" t="n"/>
      <c r="AF810" s="46" t="n"/>
    </row>
    <row r="811" ht="12.75" customHeight="1" s="104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  <c r="AA811" s="46" t="n"/>
      <c r="AB811" s="46" t="n"/>
      <c r="AC811" s="46" t="n"/>
      <c r="AD811" s="46" t="n"/>
      <c r="AE811" s="46" t="n"/>
      <c r="AF811" s="46" t="n"/>
    </row>
    <row r="812" ht="12.75" customHeight="1" s="104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  <c r="AA812" s="46" t="n"/>
      <c r="AB812" s="46" t="n"/>
      <c r="AC812" s="46" t="n"/>
      <c r="AD812" s="46" t="n"/>
      <c r="AE812" s="46" t="n"/>
      <c r="AF812" s="46" t="n"/>
    </row>
    <row r="813" ht="12.75" customHeight="1" s="104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  <c r="AA813" s="46" t="n"/>
      <c r="AB813" s="46" t="n"/>
      <c r="AC813" s="46" t="n"/>
      <c r="AD813" s="46" t="n"/>
      <c r="AE813" s="46" t="n"/>
      <c r="AF813" s="46" t="n"/>
    </row>
    <row r="814" ht="12.75" customHeight="1" s="10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  <c r="AA814" s="46" t="n"/>
      <c r="AB814" s="46" t="n"/>
      <c r="AC814" s="46" t="n"/>
      <c r="AD814" s="46" t="n"/>
      <c r="AE814" s="46" t="n"/>
      <c r="AF814" s="46" t="n"/>
    </row>
    <row r="815" ht="12.75" customHeight="1" s="104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  <c r="AA815" s="46" t="n"/>
      <c r="AB815" s="46" t="n"/>
      <c r="AC815" s="46" t="n"/>
      <c r="AD815" s="46" t="n"/>
      <c r="AE815" s="46" t="n"/>
      <c r="AF815" s="46" t="n"/>
    </row>
    <row r="816" ht="12.75" customHeight="1" s="104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  <c r="AA816" s="46" t="n"/>
      <c r="AB816" s="46" t="n"/>
      <c r="AC816" s="46" t="n"/>
      <c r="AD816" s="46" t="n"/>
      <c r="AE816" s="46" t="n"/>
      <c r="AF816" s="46" t="n"/>
    </row>
    <row r="817" ht="12.75" customHeight="1" s="104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  <c r="AA817" s="46" t="n"/>
      <c r="AB817" s="46" t="n"/>
      <c r="AC817" s="46" t="n"/>
      <c r="AD817" s="46" t="n"/>
      <c r="AE817" s="46" t="n"/>
      <c r="AF817" s="46" t="n"/>
    </row>
    <row r="818" ht="12.75" customHeight="1" s="104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  <c r="AA818" s="46" t="n"/>
      <c r="AB818" s="46" t="n"/>
      <c r="AC818" s="46" t="n"/>
      <c r="AD818" s="46" t="n"/>
      <c r="AE818" s="46" t="n"/>
      <c r="AF818" s="46" t="n"/>
    </row>
    <row r="819" ht="12.75" customHeight="1" s="104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  <c r="AA819" s="46" t="n"/>
      <c r="AB819" s="46" t="n"/>
      <c r="AC819" s="46" t="n"/>
      <c r="AD819" s="46" t="n"/>
      <c r="AE819" s="46" t="n"/>
      <c r="AF819" s="46" t="n"/>
    </row>
    <row r="820" ht="12.75" customHeight="1" s="104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  <c r="AA820" s="46" t="n"/>
      <c r="AB820" s="46" t="n"/>
      <c r="AC820" s="46" t="n"/>
      <c r="AD820" s="46" t="n"/>
      <c r="AE820" s="46" t="n"/>
      <c r="AF820" s="46" t="n"/>
    </row>
    <row r="821" ht="12.75" customHeight="1" s="104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  <c r="AA821" s="46" t="n"/>
      <c r="AB821" s="46" t="n"/>
      <c r="AC821" s="46" t="n"/>
      <c r="AD821" s="46" t="n"/>
      <c r="AE821" s="46" t="n"/>
      <c r="AF821" s="46" t="n"/>
    </row>
    <row r="822" ht="12.75" customHeight="1" s="104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  <c r="AA822" s="46" t="n"/>
      <c r="AB822" s="46" t="n"/>
      <c r="AC822" s="46" t="n"/>
      <c r="AD822" s="46" t="n"/>
      <c r="AE822" s="46" t="n"/>
      <c r="AF822" s="46" t="n"/>
    </row>
    <row r="823" ht="12.75" customHeight="1" s="104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  <c r="AA823" s="46" t="n"/>
      <c r="AB823" s="46" t="n"/>
      <c r="AC823" s="46" t="n"/>
      <c r="AD823" s="46" t="n"/>
      <c r="AE823" s="46" t="n"/>
      <c r="AF823" s="46" t="n"/>
    </row>
    <row r="824" ht="12.75" customHeight="1" s="10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  <c r="AA824" s="46" t="n"/>
      <c r="AB824" s="46" t="n"/>
      <c r="AC824" s="46" t="n"/>
      <c r="AD824" s="46" t="n"/>
      <c r="AE824" s="46" t="n"/>
      <c r="AF824" s="46" t="n"/>
    </row>
    <row r="825" ht="12.75" customHeight="1" s="104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  <c r="AA825" s="46" t="n"/>
      <c r="AB825" s="46" t="n"/>
      <c r="AC825" s="46" t="n"/>
      <c r="AD825" s="46" t="n"/>
      <c r="AE825" s="46" t="n"/>
      <c r="AF825" s="46" t="n"/>
    </row>
    <row r="826" ht="12.75" customHeight="1" s="104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  <c r="AA826" s="46" t="n"/>
      <c r="AB826" s="46" t="n"/>
      <c r="AC826" s="46" t="n"/>
      <c r="AD826" s="46" t="n"/>
      <c r="AE826" s="46" t="n"/>
      <c r="AF826" s="46" t="n"/>
    </row>
    <row r="827" ht="12.75" customHeight="1" s="104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  <c r="AA827" s="46" t="n"/>
      <c r="AB827" s="46" t="n"/>
      <c r="AC827" s="46" t="n"/>
      <c r="AD827" s="46" t="n"/>
      <c r="AE827" s="46" t="n"/>
      <c r="AF827" s="46" t="n"/>
    </row>
    <row r="828" ht="12.75" customHeight="1" s="104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  <c r="AA828" s="46" t="n"/>
      <c r="AB828" s="46" t="n"/>
      <c r="AC828" s="46" t="n"/>
      <c r="AD828" s="46" t="n"/>
      <c r="AE828" s="46" t="n"/>
      <c r="AF828" s="46" t="n"/>
    </row>
    <row r="829" ht="12.75" customHeight="1" s="104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  <c r="AA829" s="46" t="n"/>
      <c r="AB829" s="46" t="n"/>
      <c r="AC829" s="46" t="n"/>
      <c r="AD829" s="46" t="n"/>
      <c r="AE829" s="46" t="n"/>
      <c r="AF829" s="46" t="n"/>
    </row>
    <row r="830" ht="12.75" customHeight="1" s="104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  <c r="AA830" s="46" t="n"/>
      <c r="AB830" s="46" t="n"/>
      <c r="AC830" s="46" t="n"/>
      <c r="AD830" s="46" t="n"/>
      <c r="AE830" s="46" t="n"/>
      <c r="AF830" s="46" t="n"/>
    </row>
    <row r="831" ht="12.75" customHeight="1" s="104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  <c r="AA831" s="46" t="n"/>
      <c r="AB831" s="46" t="n"/>
      <c r="AC831" s="46" t="n"/>
      <c r="AD831" s="46" t="n"/>
      <c r="AE831" s="46" t="n"/>
      <c r="AF831" s="46" t="n"/>
    </row>
    <row r="832" ht="12.75" customHeight="1" s="104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  <c r="AA832" s="46" t="n"/>
      <c r="AB832" s="46" t="n"/>
      <c r="AC832" s="46" t="n"/>
      <c r="AD832" s="46" t="n"/>
      <c r="AE832" s="46" t="n"/>
      <c r="AF832" s="46" t="n"/>
    </row>
    <row r="833" ht="12.75" customHeight="1" s="104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  <c r="AA833" s="46" t="n"/>
      <c r="AB833" s="46" t="n"/>
      <c r="AC833" s="46" t="n"/>
      <c r="AD833" s="46" t="n"/>
      <c r="AE833" s="46" t="n"/>
      <c r="AF833" s="46" t="n"/>
    </row>
    <row r="834" ht="12.75" customHeight="1" s="10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  <c r="AA834" s="46" t="n"/>
      <c r="AB834" s="46" t="n"/>
      <c r="AC834" s="46" t="n"/>
      <c r="AD834" s="46" t="n"/>
      <c r="AE834" s="46" t="n"/>
      <c r="AF834" s="46" t="n"/>
    </row>
    <row r="835" ht="12.75" customHeight="1" s="104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  <c r="AA835" s="46" t="n"/>
      <c r="AB835" s="46" t="n"/>
      <c r="AC835" s="46" t="n"/>
      <c r="AD835" s="46" t="n"/>
      <c r="AE835" s="46" t="n"/>
      <c r="AF835" s="46" t="n"/>
    </row>
    <row r="836" ht="12.75" customHeight="1" s="104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  <c r="AA836" s="46" t="n"/>
      <c r="AB836" s="46" t="n"/>
      <c r="AC836" s="46" t="n"/>
      <c r="AD836" s="46" t="n"/>
      <c r="AE836" s="46" t="n"/>
      <c r="AF836" s="46" t="n"/>
    </row>
    <row r="837" ht="12.75" customHeight="1" s="104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  <c r="AA837" s="46" t="n"/>
      <c r="AB837" s="46" t="n"/>
      <c r="AC837" s="46" t="n"/>
      <c r="AD837" s="46" t="n"/>
      <c r="AE837" s="46" t="n"/>
      <c r="AF837" s="46" t="n"/>
    </row>
    <row r="838" ht="12.75" customHeight="1" s="104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  <c r="AA838" s="46" t="n"/>
      <c r="AB838" s="46" t="n"/>
      <c r="AC838" s="46" t="n"/>
      <c r="AD838" s="46" t="n"/>
      <c r="AE838" s="46" t="n"/>
      <c r="AF838" s="46" t="n"/>
    </row>
    <row r="839" ht="12.75" customHeight="1" s="104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  <c r="AA839" s="46" t="n"/>
      <c r="AB839" s="46" t="n"/>
      <c r="AC839" s="46" t="n"/>
      <c r="AD839" s="46" t="n"/>
      <c r="AE839" s="46" t="n"/>
      <c r="AF839" s="46" t="n"/>
    </row>
    <row r="840" ht="12.75" customHeight="1" s="104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  <c r="AA840" s="46" t="n"/>
      <c r="AB840" s="46" t="n"/>
      <c r="AC840" s="46" t="n"/>
      <c r="AD840" s="46" t="n"/>
      <c r="AE840" s="46" t="n"/>
      <c r="AF840" s="46" t="n"/>
    </row>
    <row r="841" ht="12.75" customHeight="1" s="104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  <c r="AA841" s="46" t="n"/>
      <c r="AB841" s="46" t="n"/>
      <c r="AC841" s="46" t="n"/>
      <c r="AD841" s="46" t="n"/>
      <c r="AE841" s="46" t="n"/>
      <c r="AF841" s="46" t="n"/>
    </row>
    <row r="842" ht="12.75" customHeight="1" s="104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  <c r="AA842" s="46" t="n"/>
      <c r="AB842" s="46" t="n"/>
      <c r="AC842" s="46" t="n"/>
      <c r="AD842" s="46" t="n"/>
      <c r="AE842" s="46" t="n"/>
      <c r="AF842" s="46" t="n"/>
    </row>
    <row r="843" ht="12.75" customHeight="1" s="104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  <c r="AA843" s="46" t="n"/>
      <c r="AB843" s="46" t="n"/>
      <c r="AC843" s="46" t="n"/>
      <c r="AD843" s="46" t="n"/>
      <c r="AE843" s="46" t="n"/>
      <c r="AF843" s="46" t="n"/>
    </row>
    <row r="844" ht="12.75" customHeight="1" s="10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  <c r="AA844" s="46" t="n"/>
      <c r="AB844" s="46" t="n"/>
      <c r="AC844" s="46" t="n"/>
      <c r="AD844" s="46" t="n"/>
      <c r="AE844" s="46" t="n"/>
      <c r="AF844" s="46" t="n"/>
    </row>
    <row r="845" ht="12.75" customHeight="1" s="104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  <c r="AA845" s="46" t="n"/>
      <c r="AB845" s="46" t="n"/>
      <c r="AC845" s="46" t="n"/>
      <c r="AD845" s="46" t="n"/>
      <c r="AE845" s="46" t="n"/>
      <c r="AF845" s="46" t="n"/>
    </row>
    <row r="846" ht="12.75" customHeight="1" s="104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  <c r="AA846" s="46" t="n"/>
      <c r="AB846" s="46" t="n"/>
      <c r="AC846" s="46" t="n"/>
      <c r="AD846" s="46" t="n"/>
      <c r="AE846" s="46" t="n"/>
      <c r="AF846" s="46" t="n"/>
    </row>
    <row r="847" ht="12.75" customHeight="1" s="104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  <c r="AA847" s="46" t="n"/>
      <c r="AB847" s="46" t="n"/>
      <c r="AC847" s="46" t="n"/>
      <c r="AD847" s="46" t="n"/>
      <c r="AE847" s="46" t="n"/>
      <c r="AF847" s="46" t="n"/>
    </row>
    <row r="848" ht="12.75" customHeight="1" s="104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  <c r="AA848" s="46" t="n"/>
      <c r="AB848" s="46" t="n"/>
      <c r="AC848" s="46" t="n"/>
      <c r="AD848" s="46" t="n"/>
      <c r="AE848" s="46" t="n"/>
      <c r="AF848" s="46" t="n"/>
    </row>
    <row r="849" ht="12.75" customHeight="1" s="104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  <c r="AA849" s="46" t="n"/>
      <c r="AB849" s="46" t="n"/>
      <c r="AC849" s="46" t="n"/>
      <c r="AD849" s="46" t="n"/>
      <c r="AE849" s="46" t="n"/>
      <c r="AF849" s="46" t="n"/>
    </row>
    <row r="850" ht="12.75" customHeight="1" s="104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  <c r="AA850" s="46" t="n"/>
      <c r="AB850" s="46" t="n"/>
      <c r="AC850" s="46" t="n"/>
      <c r="AD850" s="46" t="n"/>
      <c r="AE850" s="46" t="n"/>
      <c r="AF850" s="46" t="n"/>
    </row>
    <row r="851" ht="12.75" customHeight="1" s="104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  <c r="AA851" s="46" t="n"/>
      <c r="AB851" s="46" t="n"/>
      <c r="AC851" s="46" t="n"/>
      <c r="AD851" s="46" t="n"/>
      <c r="AE851" s="46" t="n"/>
      <c r="AF851" s="46" t="n"/>
    </row>
    <row r="852" ht="12.75" customHeight="1" s="104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  <c r="AA852" s="46" t="n"/>
      <c r="AB852" s="46" t="n"/>
      <c r="AC852" s="46" t="n"/>
      <c r="AD852" s="46" t="n"/>
      <c r="AE852" s="46" t="n"/>
      <c r="AF852" s="46" t="n"/>
    </row>
    <row r="853" ht="12.75" customHeight="1" s="104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  <c r="AA853" s="46" t="n"/>
      <c r="AB853" s="46" t="n"/>
      <c r="AC853" s="46" t="n"/>
      <c r="AD853" s="46" t="n"/>
      <c r="AE853" s="46" t="n"/>
      <c r="AF853" s="46" t="n"/>
    </row>
    <row r="854" ht="12.75" customHeight="1" s="10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  <c r="AA854" s="46" t="n"/>
      <c r="AB854" s="46" t="n"/>
      <c r="AC854" s="46" t="n"/>
      <c r="AD854" s="46" t="n"/>
      <c r="AE854" s="46" t="n"/>
      <c r="AF854" s="46" t="n"/>
    </row>
    <row r="855" ht="12.75" customHeight="1" s="104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  <c r="AA855" s="46" t="n"/>
      <c r="AB855" s="46" t="n"/>
      <c r="AC855" s="46" t="n"/>
      <c r="AD855" s="46" t="n"/>
      <c r="AE855" s="46" t="n"/>
      <c r="AF855" s="46" t="n"/>
    </row>
    <row r="856" ht="12.75" customHeight="1" s="104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  <c r="AA856" s="46" t="n"/>
      <c r="AB856" s="46" t="n"/>
      <c r="AC856" s="46" t="n"/>
      <c r="AD856" s="46" t="n"/>
      <c r="AE856" s="46" t="n"/>
      <c r="AF856" s="46" t="n"/>
    </row>
    <row r="857" ht="12.75" customHeight="1" s="104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  <c r="AA857" s="46" t="n"/>
      <c r="AB857" s="46" t="n"/>
      <c r="AC857" s="46" t="n"/>
      <c r="AD857" s="46" t="n"/>
      <c r="AE857" s="46" t="n"/>
      <c r="AF857" s="46" t="n"/>
    </row>
    <row r="858" ht="12.75" customHeight="1" s="104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  <c r="AA858" s="46" t="n"/>
      <c r="AB858" s="46" t="n"/>
      <c r="AC858" s="46" t="n"/>
      <c r="AD858" s="46" t="n"/>
      <c r="AE858" s="46" t="n"/>
      <c r="AF858" s="46" t="n"/>
    </row>
    <row r="859" ht="12.75" customHeight="1" s="104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  <c r="AA859" s="46" t="n"/>
      <c r="AB859" s="46" t="n"/>
      <c r="AC859" s="46" t="n"/>
      <c r="AD859" s="46" t="n"/>
      <c r="AE859" s="46" t="n"/>
      <c r="AF859" s="46" t="n"/>
    </row>
    <row r="860" ht="12.75" customHeight="1" s="104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  <c r="AA860" s="46" t="n"/>
      <c r="AB860" s="46" t="n"/>
      <c r="AC860" s="46" t="n"/>
      <c r="AD860" s="46" t="n"/>
      <c r="AE860" s="46" t="n"/>
      <c r="AF860" s="46" t="n"/>
    </row>
    <row r="861" ht="12.75" customHeight="1" s="104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  <c r="AA861" s="46" t="n"/>
      <c r="AB861" s="46" t="n"/>
      <c r="AC861" s="46" t="n"/>
      <c r="AD861" s="46" t="n"/>
      <c r="AE861" s="46" t="n"/>
      <c r="AF861" s="46" t="n"/>
    </row>
    <row r="862" ht="12.75" customHeight="1" s="104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  <c r="AA862" s="46" t="n"/>
      <c r="AB862" s="46" t="n"/>
      <c r="AC862" s="46" t="n"/>
      <c r="AD862" s="46" t="n"/>
      <c r="AE862" s="46" t="n"/>
      <c r="AF862" s="46" t="n"/>
    </row>
    <row r="863" ht="12.75" customHeight="1" s="104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  <c r="AA863" s="46" t="n"/>
      <c r="AB863" s="46" t="n"/>
      <c r="AC863" s="46" t="n"/>
      <c r="AD863" s="46" t="n"/>
      <c r="AE863" s="46" t="n"/>
      <c r="AF863" s="46" t="n"/>
    </row>
    <row r="864" ht="12.75" customHeight="1" s="10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  <c r="AA864" s="46" t="n"/>
      <c r="AB864" s="46" t="n"/>
      <c r="AC864" s="46" t="n"/>
      <c r="AD864" s="46" t="n"/>
      <c r="AE864" s="46" t="n"/>
      <c r="AF864" s="46" t="n"/>
    </row>
    <row r="865" ht="12.75" customHeight="1" s="104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  <c r="AA865" s="46" t="n"/>
      <c r="AB865" s="46" t="n"/>
      <c r="AC865" s="46" t="n"/>
      <c r="AD865" s="46" t="n"/>
      <c r="AE865" s="46" t="n"/>
      <c r="AF865" s="46" t="n"/>
    </row>
    <row r="866" ht="12.75" customHeight="1" s="104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  <c r="AA866" s="46" t="n"/>
      <c r="AB866" s="46" t="n"/>
      <c r="AC866" s="46" t="n"/>
      <c r="AD866" s="46" t="n"/>
      <c r="AE866" s="46" t="n"/>
      <c r="AF866" s="46" t="n"/>
    </row>
    <row r="867" ht="12.75" customHeight="1" s="104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  <c r="AA867" s="46" t="n"/>
      <c r="AB867" s="46" t="n"/>
      <c r="AC867" s="46" t="n"/>
      <c r="AD867" s="46" t="n"/>
      <c r="AE867" s="46" t="n"/>
      <c r="AF867" s="46" t="n"/>
    </row>
    <row r="868" ht="12.75" customHeight="1" s="104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  <c r="AA868" s="46" t="n"/>
      <c r="AB868" s="46" t="n"/>
      <c r="AC868" s="46" t="n"/>
      <c r="AD868" s="46" t="n"/>
      <c r="AE868" s="46" t="n"/>
      <c r="AF868" s="46" t="n"/>
    </row>
    <row r="869" ht="12.75" customHeight="1" s="104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  <c r="AA869" s="46" t="n"/>
      <c r="AB869" s="46" t="n"/>
      <c r="AC869" s="46" t="n"/>
      <c r="AD869" s="46" t="n"/>
      <c r="AE869" s="46" t="n"/>
      <c r="AF869" s="46" t="n"/>
    </row>
    <row r="870" ht="12.75" customHeight="1" s="104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  <c r="AA870" s="46" t="n"/>
      <c r="AB870" s="46" t="n"/>
      <c r="AC870" s="46" t="n"/>
      <c r="AD870" s="46" t="n"/>
      <c r="AE870" s="46" t="n"/>
      <c r="AF870" s="46" t="n"/>
    </row>
    <row r="871" ht="12.75" customHeight="1" s="104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  <c r="AA871" s="46" t="n"/>
      <c r="AB871" s="46" t="n"/>
      <c r="AC871" s="46" t="n"/>
      <c r="AD871" s="46" t="n"/>
      <c r="AE871" s="46" t="n"/>
      <c r="AF871" s="46" t="n"/>
    </row>
    <row r="872" ht="12.75" customHeight="1" s="104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  <c r="AA872" s="46" t="n"/>
      <c r="AB872" s="46" t="n"/>
      <c r="AC872" s="46" t="n"/>
      <c r="AD872" s="46" t="n"/>
      <c r="AE872" s="46" t="n"/>
      <c r="AF872" s="46" t="n"/>
    </row>
    <row r="873" ht="12.75" customHeight="1" s="104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  <c r="AA873" s="46" t="n"/>
      <c r="AB873" s="46" t="n"/>
      <c r="AC873" s="46" t="n"/>
      <c r="AD873" s="46" t="n"/>
      <c r="AE873" s="46" t="n"/>
      <c r="AF873" s="46" t="n"/>
    </row>
    <row r="874" ht="12.75" customHeight="1" s="10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  <c r="AA874" s="46" t="n"/>
      <c r="AB874" s="46" t="n"/>
      <c r="AC874" s="46" t="n"/>
      <c r="AD874" s="46" t="n"/>
      <c r="AE874" s="46" t="n"/>
      <c r="AF874" s="46" t="n"/>
    </row>
    <row r="875" ht="12.75" customHeight="1" s="104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  <c r="AA875" s="46" t="n"/>
      <c r="AB875" s="46" t="n"/>
      <c r="AC875" s="46" t="n"/>
      <c r="AD875" s="46" t="n"/>
      <c r="AE875" s="46" t="n"/>
      <c r="AF875" s="46" t="n"/>
    </row>
    <row r="876" ht="12.75" customHeight="1" s="104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  <c r="AA876" s="46" t="n"/>
      <c r="AB876" s="46" t="n"/>
      <c r="AC876" s="46" t="n"/>
      <c r="AD876" s="46" t="n"/>
      <c r="AE876" s="46" t="n"/>
      <c r="AF876" s="46" t="n"/>
    </row>
    <row r="877" ht="12.75" customHeight="1" s="104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  <c r="AA877" s="46" t="n"/>
      <c r="AB877" s="46" t="n"/>
      <c r="AC877" s="46" t="n"/>
      <c r="AD877" s="46" t="n"/>
      <c r="AE877" s="46" t="n"/>
      <c r="AF877" s="46" t="n"/>
    </row>
    <row r="878" ht="12.75" customHeight="1" s="104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  <c r="AA878" s="46" t="n"/>
      <c r="AB878" s="46" t="n"/>
      <c r="AC878" s="46" t="n"/>
      <c r="AD878" s="46" t="n"/>
      <c r="AE878" s="46" t="n"/>
      <c r="AF878" s="46" t="n"/>
    </row>
    <row r="879" ht="12.75" customHeight="1" s="104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  <c r="AA879" s="46" t="n"/>
      <c r="AB879" s="46" t="n"/>
      <c r="AC879" s="46" t="n"/>
      <c r="AD879" s="46" t="n"/>
      <c r="AE879" s="46" t="n"/>
      <c r="AF879" s="46" t="n"/>
    </row>
    <row r="880" ht="12.75" customHeight="1" s="104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  <c r="AA880" s="46" t="n"/>
      <c r="AB880" s="46" t="n"/>
      <c r="AC880" s="46" t="n"/>
      <c r="AD880" s="46" t="n"/>
      <c r="AE880" s="46" t="n"/>
      <c r="AF880" s="46" t="n"/>
    </row>
    <row r="881" ht="12.75" customHeight="1" s="104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  <c r="AA881" s="46" t="n"/>
      <c r="AB881" s="46" t="n"/>
      <c r="AC881" s="46" t="n"/>
      <c r="AD881" s="46" t="n"/>
      <c r="AE881" s="46" t="n"/>
      <c r="AF881" s="46" t="n"/>
    </row>
    <row r="882" ht="12.75" customHeight="1" s="104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  <c r="AA882" s="46" t="n"/>
      <c r="AB882" s="46" t="n"/>
      <c r="AC882" s="46" t="n"/>
      <c r="AD882" s="46" t="n"/>
      <c r="AE882" s="46" t="n"/>
      <c r="AF882" s="46" t="n"/>
    </row>
    <row r="883" ht="12.75" customHeight="1" s="104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  <c r="AA883" s="46" t="n"/>
      <c r="AB883" s="46" t="n"/>
      <c r="AC883" s="46" t="n"/>
      <c r="AD883" s="46" t="n"/>
      <c r="AE883" s="46" t="n"/>
      <c r="AF883" s="46" t="n"/>
    </row>
    <row r="884" ht="12.75" customHeight="1" s="10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  <c r="AA884" s="46" t="n"/>
      <c r="AB884" s="46" t="n"/>
      <c r="AC884" s="46" t="n"/>
      <c r="AD884" s="46" t="n"/>
      <c r="AE884" s="46" t="n"/>
      <c r="AF884" s="46" t="n"/>
    </row>
    <row r="885" ht="12.75" customHeight="1" s="104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  <c r="AA885" s="46" t="n"/>
      <c r="AB885" s="46" t="n"/>
      <c r="AC885" s="46" t="n"/>
      <c r="AD885" s="46" t="n"/>
      <c r="AE885" s="46" t="n"/>
      <c r="AF885" s="46" t="n"/>
    </row>
    <row r="886" ht="12.75" customHeight="1" s="104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  <c r="AA886" s="46" t="n"/>
      <c r="AB886" s="46" t="n"/>
      <c r="AC886" s="46" t="n"/>
      <c r="AD886" s="46" t="n"/>
      <c r="AE886" s="46" t="n"/>
      <c r="AF886" s="46" t="n"/>
    </row>
    <row r="887" ht="12.75" customHeight="1" s="104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  <c r="AA887" s="46" t="n"/>
      <c r="AB887" s="46" t="n"/>
      <c r="AC887" s="46" t="n"/>
      <c r="AD887" s="46" t="n"/>
      <c r="AE887" s="46" t="n"/>
      <c r="AF887" s="46" t="n"/>
    </row>
    <row r="888" ht="12.75" customHeight="1" s="104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  <c r="AA888" s="46" t="n"/>
      <c r="AB888" s="46" t="n"/>
      <c r="AC888" s="46" t="n"/>
      <c r="AD888" s="46" t="n"/>
      <c r="AE888" s="46" t="n"/>
      <c r="AF888" s="46" t="n"/>
    </row>
    <row r="889" ht="12.75" customHeight="1" s="104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  <c r="AA889" s="46" t="n"/>
      <c r="AB889" s="46" t="n"/>
      <c r="AC889" s="46" t="n"/>
      <c r="AD889" s="46" t="n"/>
      <c r="AE889" s="46" t="n"/>
      <c r="AF889" s="46" t="n"/>
    </row>
    <row r="890" ht="12.75" customHeight="1" s="104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  <c r="AA890" s="46" t="n"/>
      <c r="AB890" s="46" t="n"/>
      <c r="AC890" s="46" t="n"/>
      <c r="AD890" s="46" t="n"/>
      <c r="AE890" s="46" t="n"/>
      <c r="AF890" s="46" t="n"/>
    </row>
    <row r="891" ht="12.75" customHeight="1" s="104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  <c r="AA891" s="46" t="n"/>
      <c r="AB891" s="46" t="n"/>
      <c r="AC891" s="46" t="n"/>
      <c r="AD891" s="46" t="n"/>
      <c r="AE891" s="46" t="n"/>
      <c r="AF891" s="46" t="n"/>
    </row>
    <row r="892" ht="12.75" customHeight="1" s="104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  <c r="AA892" s="46" t="n"/>
      <c r="AB892" s="46" t="n"/>
      <c r="AC892" s="46" t="n"/>
      <c r="AD892" s="46" t="n"/>
      <c r="AE892" s="46" t="n"/>
      <c r="AF892" s="46" t="n"/>
    </row>
    <row r="893" ht="12.75" customHeight="1" s="104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  <c r="AA893" s="46" t="n"/>
      <c r="AB893" s="46" t="n"/>
      <c r="AC893" s="46" t="n"/>
      <c r="AD893" s="46" t="n"/>
      <c r="AE893" s="46" t="n"/>
      <c r="AF893" s="46" t="n"/>
    </row>
    <row r="894" ht="12.75" customHeight="1" s="10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  <c r="AA894" s="46" t="n"/>
      <c r="AB894" s="46" t="n"/>
      <c r="AC894" s="46" t="n"/>
      <c r="AD894" s="46" t="n"/>
      <c r="AE894" s="46" t="n"/>
      <c r="AF894" s="46" t="n"/>
    </row>
    <row r="895" ht="12.75" customHeight="1" s="104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  <c r="AA895" s="46" t="n"/>
      <c r="AB895" s="46" t="n"/>
      <c r="AC895" s="46" t="n"/>
      <c r="AD895" s="46" t="n"/>
      <c r="AE895" s="46" t="n"/>
      <c r="AF895" s="46" t="n"/>
    </row>
    <row r="896" ht="12.75" customHeight="1" s="104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  <c r="AA896" s="46" t="n"/>
      <c r="AB896" s="46" t="n"/>
      <c r="AC896" s="46" t="n"/>
      <c r="AD896" s="46" t="n"/>
      <c r="AE896" s="46" t="n"/>
      <c r="AF896" s="46" t="n"/>
    </row>
    <row r="897" ht="12.75" customHeight="1" s="104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  <c r="AA897" s="46" t="n"/>
      <c r="AB897" s="46" t="n"/>
      <c r="AC897" s="46" t="n"/>
      <c r="AD897" s="46" t="n"/>
      <c r="AE897" s="46" t="n"/>
      <c r="AF897" s="46" t="n"/>
    </row>
    <row r="898" ht="12.75" customHeight="1" s="104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  <c r="AA898" s="46" t="n"/>
      <c r="AB898" s="46" t="n"/>
      <c r="AC898" s="46" t="n"/>
      <c r="AD898" s="46" t="n"/>
      <c r="AE898" s="46" t="n"/>
      <c r="AF898" s="46" t="n"/>
    </row>
    <row r="899" ht="12.75" customHeight="1" s="104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  <c r="AA899" s="46" t="n"/>
      <c r="AB899" s="46" t="n"/>
      <c r="AC899" s="46" t="n"/>
      <c r="AD899" s="46" t="n"/>
      <c r="AE899" s="46" t="n"/>
      <c r="AF899" s="46" t="n"/>
    </row>
    <row r="900" ht="12.75" customHeight="1" s="104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  <c r="AA900" s="46" t="n"/>
      <c r="AB900" s="46" t="n"/>
      <c r="AC900" s="46" t="n"/>
      <c r="AD900" s="46" t="n"/>
      <c r="AE900" s="46" t="n"/>
      <c r="AF900" s="46" t="n"/>
    </row>
    <row r="901" ht="12.75" customHeight="1" s="104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  <c r="AA901" s="46" t="n"/>
      <c r="AB901" s="46" t="n"/>
      <c r="AC901" s="46" t="n"/>
      <c r="AD901" s="46" t="n"/>
      <c r="AE901" s="46" t="n"/>
      <c r="AF901" s="46" t="n"/>
    </row>
    <row r="902" ht="12.75" customHeight="1" s="104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  <c r="AA902" s="46" t="n"/>
      <c r="AB902" s="46" t="n"/>
      <c r="AC902" s="46" t="n"/>
      <c r="AD902" s="46" t="n"/>
      <c r="AE902" s="46" t="n"/>
      <c r="AF902" s="46" t="n"/>
    </row>
    <row r="903" ht="12.75" customHeight="1" s="104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  <c r="AA903" s="46" t="n"/>
      <c r="AB903" s="46" t="n"/>
      <c r="AC903" s="46" t="n"/>
      <c r="AD903" s="46" t="n"/>
      <c r="AE903" s="46" t="n"/>
      <c r="AF903" s="46" t="n"/>
    </row>
    <row r="904" ht="12.75" customHeight="1" s="1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  <c r="AA904" s="46" t="n"/>
      <c r="AB904" s="46" t="n"/>
      <c r="AC904" s="46" t="n"/>
      <c r="AD904" s="46" t="n"/>
      <c r="AE904" s="46" t="n"/>
      <c r="AF904" s="46" t="n"/>
    </row>
    <row r="905" ht="12.75" customHeight="1" s="104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  <c r="AA905" s="46" t="n"/>
      <c r="AB905" s="46" t="n"/>
      <c r="AC905" s="46" t="n"/>
      <c r="AD905" s="46" t="n"/>
      <c r="AE905" s="46" t="n"/>
      <c r="AF905" s="46" t="n"/>
    </row>
    <row r="906" ht="12.75" customHeight="1" s="104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  <c r="AA906" s="46" t="n"/>
      <c r="AB906" s="46" t="n"/>
      <c r="AC906" s="46" t="n"/>
      <c r="AD906" s="46" t="n"/>
      <c r="AE906" s="46" t="n"/>
      <c r="AF906" s="46" t="n"/>
    </row>
    <row r="907" ht="12.75" customHeight="1" s="104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  <c r="AA907" s="46" t="n"/>
      <c r="AB907" s="46" t="n"/>
      <c r="AC907" s="46" t="n"/>
      <c r="AD907" s="46" t="n"/>
      <c r="AE907" s="46" t="n"/>
      <c r="AF907" s="46" t="n"/>
    </row>
    <row r="908" ht="12.75" customHeight="1" s="104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  <c r="AA908" s="46" t="n"/>
      <c r="AB908" s="46" t="n"/>
      <c r="AC908" s="46" t="n"/>
      <c r="AD908" s="46" t="n"/>
      <c r="AE908" s="46" t="n"/>
      <c r="AF908" s="46" t="n"/>
    </row>
    <row r="909" ht="12.75" customHeight="1" s="104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  <c r="AA909" s="46" t="n"/>
      <c r="AB909" s="46" t="n"/>
      <c r="AC909" s="46" t="n"/>
      <c r="AD909" s="46" t="n"/>
      <c r="AE909" s="46" t="n"/>
      <c r="AF909" s="46" t="n"/>
    </row>
    <row r="910" ht="12.75" customHeight="1" s="104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  <c r="AA910" s="46" t="n"/>
      <c r="AB910" s="46" t="n"/>
      <c r="AC910" s="46" t="n"/>
      <c r="AD910" s="46" t="n"/>
      <c r="AE910" s="46" t="n"/>
      <c r="AF910" s="46" t="n"/>
    </row>
    <row r="911" ht="12.75" customHeight="1" s="104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  <c r="AA911" s="46" t="n"/>
      <c r="AB911" s="46" t="n"/>
      <c r="AC911" s="46" t="n"/>
      <c r="AD911" s="46" t="n"/>
      <c r="AE911" s="46" t="n"/>
      <c r="AF911" s="46" t="n"/>
    </row>
    <row r="912" ht="12.75" customHeight="1" s="104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  <c r="AA912" s="46" t="n"/>
      <c r="AB912" s="46" t="n"/>
      <c r="AC912" s="46" t="n"/>
      <c r="AD912" s="46" t="n"/>
      <c r="AE912" s="46" t="n"/>
      <c r="AF912" s="46" t="n"/>
    </row>
    <row r="913" ht="12.75" customHeight="1" s="104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  <c r="AA913" s="46" t="n"/>
      <c r="AB913" s="46" t="n"/>
      <c r="AC913" s="46" t="n"/>
      <c r="AD913" s="46" t="n"/>
      <c r="AE913" s="46" t="n"/>
      <c r="AF913" s="46" t="n"/>
    </row>
    <row r="914" ht="12.75" customHeight="1" s="10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  <c r="AA914" s="46" t="n"/>
      <c r="AB914" s="46" t="n"/>
      <c r="AC914" s="46" t="n"/>
      <c r="AD914" s="46" t="n"/>
      <c r="AE914" s="46" t="n"/>
      <c r="AF914" s="46" t="n"/>
    </row>
    <row r="915" ht="12.75" customHeight="1" s="104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  <c r="AA915" s="46" t="n"/>
      <c r="AB915" s="46" t="n"/>
      <c r="AC915" s="46" t="n"/>
      <c r="AD915" s="46" t="n"/>
      <c r="AE915" s="46" t="n"/>
      <c r="AF915" s="46" t="n"/>
    </row>
    <row r="916" ht="12.75" customHeight="1" s="104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  <c r="AA916" s="46" t="n"/>
      <c r="AB916" s="46" t="n"/>
      <c r="AC916" s="46" t="n"/>
      <c r="AD916" s="46" t="n"/>
      <c r="AE916" s="46" t="n"/>
      <c r="AF916" s="46" t="n"/>
    </row>
    <row r="917" ht="12.75" customHeight="1" s="104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  <c r="AA917" s="46" t="n"/>
      <c r="AB917" s="46" t="n"/>
      <c r="AC917" s="46" t="n"/>
      <c r="AD917" s="46" t="n"/>
      <c r="AE917" s="46" t="n"/>
      <c r="AF917" s="46" t="n"/>
    </row>
    <row r="918" ht="12.75" customHeight="1" s="104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  <c r="AA918" s="46" t="n"/>
      <c r="AB918" s="46" t="n"/>
      <c r="AC918" s="46" t="n"/>
      <c r="AD918" s="46" t="n"/>
      <c r="AE918" s="46" t="n"/>
      <c r="AF918" s="46" t="n"/>
    </row>
    <row r="919" ht="12.75" customHeight="1" s="104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  <c r="AA919" s="46" t="n"/>
      <c r="AB919" s="46" t="n"/>
      <c r="AC919" s="46" t="n"/>
      <c r="AD919" s="46" t="n"/>
      <c r="AE919" s="46" t="n"/>
      <c r="AF919" s="46" t="n"/>
    </row>
    <row r="920" ht="12.75" customHeight="1" s="104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  <c r="AA920" s="46" t="n"/>
      <c r="AB920" s="46" t="n"/>
      <c r="AC920" s="46" t="n"/>
      <c r="AD920" s="46" t="n"/>
      <c r="AE920" s="46" t="n"/>
      <c r="AF920" s="46" t="n"/>
    </row>
    <row r="921" ht="12.75" customHeight="1" s="104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  <c r="AA921" s="46" t="n"/>
      <c r="AB921" s="46" t="n"/>
      <c r="AC921" s="46" t="n"/>
      <c r="AD921" s="46" t="n"/>
      <c r="AE921" s="46" t="n"/>
      <c r="AF921" s="46" t="n"/>
    </row>
    <row r="922" ht="12.75" customHeight="1" s="104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  <c r="AA922" s="46" t="n"/>
      <c r="AB922" s="46" t="n"/>
      <c r="AC922" s="46" t="n"/>
      <c r="AD922" s="46" t="n"/>
      <c r="AE922" s="46" t="n"/>
      <c r="AF922" s="46" t="n"/>
    </row>
    <row r="923" ht="12.75" customHeight="1" s="104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  <c r="AA923" s="46" t="n"/>
      <c r="AB923" s="46" t="n"/>
      <c r="AC923" s="46" t="n"/>
      <c r="AD923" s="46" t="n"/>
      <c r="AE923" s="46" t="n"/>
      <c r="AF923" s="46" t="n"/>
    </row>
    <row r="924" ht="12.75" customHeight="1" s="10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  <c r="AA924" s="46" t="n"/>
      <c r="AB924" s="46" t="n"/>
      <c r="AC924" s="46" t="n"/>
      <c r="AD924" s="46" t="n"/>
      <c r="AE924" s="46" t="n"/>
      <c r="AF924" s="46" t="n"/>
    </row>
    <row r="925" ht="12.75" customHeight="1" s="104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  <c r="AA925" s="46" t="n"/>
      <c r="AB925" s="46" t="n"/>
      <c r="AC925" s="46" t="n"/>
      <c r="AD925" s="46" t="n"/>
      <c r="AE925" s="46" t="n"/>
      <c r="AF925" s="46" t="n"/>
    </row>
    <row r="926" ht="12.75" customHeight="1" s="104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  <c r="AA926" s="46" t="n"/>
      <c r="AB926" s="46" t="n"/>
      <c r="AC926" s="46" t="n"/>
      <c r="AD926" s="46" t="n"/>
      <c r="AE926" s="46" t="n"/>
      <c r="AF926" s="46" t="n"/>
    </row>
    <row r="927" ht="12.75" customHeight="1" s="104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  <c r="AA927" s="46" t="n"/>
      <c r="AB927" s="46" t="n"/>
      <c r="AC927" s="46" t="n"/>
      <c r="AD927" s="46" t="n"/>
      <c r="AE927" s="46" t="n"/>
      <c r="AF927" s="46" t="n"/>
    </row>
    <row r="928" ht="12.75" customHeight="1" s="104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  <c r="AA928" s="46" t="n"/>
      <c r="AB928" s="46" t="n"/>
      <c r="AC928" s="46" t="n"/>
      <c r="AD928" s="46" t="n"/>
      <c r="AE928" s="46" t="n"/>
      <c r="AF928" s="46" t="n"/>
    </row>
    <row r="929" ht="12.75" customHeight="1" s="104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  <c r="AA929" s="46" t="n"/>
      <c r="AB929" s="46" t="n"/>
      <c r="AC929" s="46" t="n"/>
      <c r="AD929" s="46" t="n"/>
      <c r="AE929" s="46" t="n"/>
      <c r="AF929" s="46" t="n"/>
    </row>
    <row r="930" ht="12.75" customHeight="1" s="104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  <c r="AA930" s="46" t="n"/>
      <c r="AB930" s="46" t="n"/>
      <c r="AC930" s="46" t="n"/>
      <c r="AD930" s="46" t="n"/>
      <c r="AE930" s="46" t="n"/>
      <c r="AF930" s="46" t="n"/>
    </row>
    <row r="931" ht="12.75" customHeight="1" s="104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  <c r="AA931" s="46" t="n"/>
      <c r="AB931" s="46" t="n"/>
      <c r="AC931" s="46" t="n"/>
      <c r="AD931" s="46" t="n"/>
      <c r="AE931" s="46" t="n"/>
      <c r="AF931" s="46" t="n"/>
    </row>
    <row r="932" ht="12.75" customHeight="1" s="104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  <c r="AA932" s="46" t="n"/>
      <c r="AB932" s="46" t="n"/>
      <c r="AC932" s="46" t="n"/>
      <c r="AD932" s="46" t="n"/>
      <c r="AE932" s="46" t="n"/>
      <c r="AF932" s="46" t="n"/>
    </row>
    <row r="933" ht="12.75" customHeight="1" s="104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  <c r="AA933" s="46" t="n"/>
      <c r="AB933" s="46" t="n"/>
      <c r="AC933" s="46" t="n"/>
      <c r="AD933" s="46" t="n"/>
      <c r="AE933" s="46" t="n"/>
      <c r="AF933" s="46" t="n"/>
    </row>
    <row r="934" ht="12.75" customHeight="1" s="10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  <c r="AA934" s="46" t="n"/>
      <c r="AB934" s="46" t="n"/>
      <c r="AC934" s="46" t="n"/>
      <c r="AD934" s="46" t="n"/>
      <c r="AE934" s="46" t="n"/>
      <c r="AF934" s="46" t="n"/>
    </row>
    <row r="935" ht="12.75" customHeight="1" s="104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  <c r="AA935" s="46" t="n"/>
      <c r="AB935" s="46" t="n"/>
      <c r="AC935" s="46" t="n"/>
      <c r="AD935" s="46" t="n"/>
      <c r="AE935" s="46" t="n"/>
      <c r="AF935" s="46" t="n"/>
    </row>
    <row r="936" ht="12.75" customHeight="1" s="104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  <c r="AA936" s="46" t="n"/>
      <c r="AB936" s="46" t="n"/>
      <c r="AC936" s="46" t="n"/>
      <c r="AD936" s="46" t="n"/>
      <c r="AE936" s="46" t="n"/>
      <c r="AF936" s="46" t="n"/>
    </row>
    <row r="937" ht="12.75" customHeight="1" s="104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  <c r="AA937" s="46" t="n"/>
      <c r="AB937" s="46" t="n"/>
      <c r="AC937" s="46" t="n"/>
      <c r="AD937" s="46" t="n"/>
      <c r="AE937" s="46" t="n"/>
      <c r="AF937" s="46" t="n"/>
    </row>
    <row r="938" ht="12.75" customHeight="1" s="104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  <c r="AA938" s="46" t="n"/>
      <c r="AB938" s="46" t="n"/>
      <c r="AC938" s="46" t="n"/>
      <c r="AD938" s="46" t="n"/>
      <c r="AE938" s="46" t="n"/>
      <c r="AF938" s="46" t="n"/>
    </row>
    <row r="939" ht="12.75" customHeight="1" s="104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  <c r="AA939" s="46" t="n"/>
      <c r="AB939" s="46" t="n"/>
      <c r="AC939" s="46" t="n"/>
      <c r="AD939" s="46" t="n"/>
      <c r="AE939" s="46" t="n"/>
      <c r="AF939" s="46" t="n"/>
    </row>
    <row r="940" ht="12.75" customHeight="1" s="104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  <c r="AA940" s="46" t="n"/>
      <c r="AB940" s="46" t="n"/>
      <c r="AC940" s="46" t="n"/>
      <c r="AD940" s="46" t="n"/>
      <c r="AE940" s="46" t="n"/>
      <c r="AF940" s="46" t="n"/>
    </row>
    <row r="941" ht="12.75" customHeight="1" s="104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  <c r="AA941" s="46" t="n"/>
      <c r="AB941" s="46" t="n"/>
      <c r="AC941" s="46" t="n"/>
      <c r="AD941" s="46" t="n"/>
      <c r="AE941" s="46" t="n"/>
      <c r="AF941" s="46" t="n"/>
    </row>
    <row r="942" ht="12.75" customHeight="1" s="104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  <c r="AA942" s="46" t="n"/>
      <c r="AB942" s="46" t="n"/>
      <c r="AC942" s="46" t="n"/>
      <c r="AD942" s="46" t="n"/>
      <c r="AE942" s="46" t="n"/>
      <c r="AF942" s="46" t="n"/>
    </row>
    <row r="943" ht="12.75" customHeight="1" s="104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  <c r="AA943" s="46" t="n"/>
      <c r="AB943" s="46" t="n"/>
      <c r="AC943" s="46" t="n"/>
      <c r="AD943" s="46" t="n"/>
      <c r="AE943" s="46" t="n"/>
      <c r="AF943" s="46" t="n"/>
    </row>
    <row r="944" ht="12.75" customHeight="1" s="10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  <c r="AA944" s="46" t="n"/>
      <c r="AB944" s="46" t="n"/>
      <c r="AC944" s="46" t="n"/>
      <c r="AD944" s="46" t="n"/>
      <c r="AE944" s="46" t="n"/>
      <c r="AF944" s="46" t="n"/>
    </row>
    <row r="945" ht="12.75" customHeight="1" s="104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  <c r="AA945" s="46" t="n"/>
      <c r="AB945" s="46" t="n"/>
      <c r="AC945" s="46" t="n"/>
      <c r="AD945" s="46" t="n"/>
      <c r="AE945" s="46" t="n"/>
      <c r="AF945" s="46" t="n"/>
    </row>
    <row r="946" ht="12.75" customHeight="1" s="104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  <c r="AA946" s="46" t="n"/>
      <c r="AB946" s="46" t="n"/>
      <c r="AC946" s="46" t="n"/>
      <c r="AD946" s="46" t="n"/>
      <c r="AE946" s="46" t="n"/>
      <c r="AF946" s="46" t="n"/>
    </row>
    <row r="947" ht="12.75" customHeight="1" s="104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  <c r="AA947" s="46" t="n"/>
      <c r="AB947" s="46" t="n"/>
      <c r="AC947" s="46" t="n"/>
      <c r="AD947" s="46" t="n"/>
      <c r="AE947" s="46" t="n"/>
      <c r="AF947" s="46" t="n"/>
    </row>
    <row r="948" ht="12.75" customHeight="1" s="104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  <c r="AA948" s="46" t="n"/>
      <c r="AB948" s="46" t="n"/>
      <c r="AC948" s="46" t="n"/>
      <c r="AD948" s="46" t="n"/>
      <c r="AE948" s="46" t="n"/>
      <c r="AF948" s="46" t="n"/>
    </row>
    <row r="949" ht="12.75" customHeight="1" s="104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  <c r="AA949" s="46" t="n"/>
      <c r="AB949" s="46" t="n"/>
      <c r="AC949" s="46" t="n"/>
      <c r="AD949" s="46" t="n"/>
      <c r="AE949" s="46" t="n"/>
      <c r="AF949" s="46" t="n"/>
    </row>
    <row r="950" ht="12.75" customHeight="1" s="104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  <c r="AA950" s="46" t="n"/>
      <c r="AB950" s="46" t="n"/>
      <c r="AC950" s="46" t="n"/>
      <c r="AD950" s="46" t="n"/>
      <c r="AE950" s="46" t="n"/>
      <c r="AF950" s="46" t="n"/>
    </row>
    <row r="951" ht="12.75" customHeight="1" s="104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  <c r="AA951" s="46" t="n"/>
      <c r="AB951" s="46" t="n"/>
      <c r="AC951" s="46" t="n"/>
      <c r="AD951" s="46" t="n"/>
      <c r="AE951" s="46" t="n"/>
      <c r="AF951" s="46" t="n"/>
    </row>
    <row r="952" ht="12.75" customHeight="1" s="104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  <c r="AA952" s="46" t="n"/>
      <c r="AB952" s="46" t="n"/>
      <c r="AC952" s="46" t="n"/>
      <c r="AD952" s="46" t="n"/>
      <c r="AE952" s="46" t="n"/>
      <c r="AF952" s="46" t="n"/>
    </row>
    <row r="953" ht="12.75" customHeight="1" s="104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  <c r="AA953" s="46" t="n"/>
      <c r="AB953" s="46" t="n"/>
      <c r="AC953" s="46" t="n"/>
      <c r="AD953" s="46" t="n"/>
      <c r="AE953" s="46" t="n"/>
      <c r="AF953" s="46" t="n"/>
    </row>
    <row r="954" ht="12.75" customHeight="1" s="10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  <c r="AA954" s="46" t="n"/>
      <c r="AB954" s="46" t="n"/>
      <c r="AC954" s="46" t="n"/>
      <c r="AD954" s="46" t="n"/>
      <c r="AE954" s="46" t="n"/>
      <c r="AF954" s="46" t="n"/>
    </row>
    <row r="955" ht="12.75" customHeight="1" s="104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  <c r="AA955" s="46" t="n"/>
      <c r="AB955" s="46" t="n"/>
      <c r="AC955" s="46" t="n"/>
      <c r="AD955" s="46" t="n"/>
      <c r="AE955" s="46" t="n"/>
      <c r="AF955" s="46" t="n"/>
    </row>
    <row r="956" ht="12.75" customHeight="1" s="104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  <c r="AA956" s="46" t="n"/>
      <c r="AB956" s="46" t="n"/>
      <c r="AC956" s="46" t="n"/>
      <c r="AD956" s="46" t="n"/>
      <c r="AE956" s="46" t="n"/>
      <c r="AF956" s="46" t="n"/>
    </row>
    <row r="957" ht="12.75" customHeight="1" s="104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  <c r="AA957" s="46" t="n"/>
      <c r="AB957" s="46" t="n"/>
      <c r="AC957" s="46" t="n"/>
      <c r="AD957" s="46" t="n"/>
      <c r="AE957" s="46" t="n"/>
      <c r="AF957" s="46" t="n"/>
    </row>
    <row r="958" ht="12.75" customHeight="1" s="104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  <c r="AA958" s="46" t="n"/>
      <c r="AB958" s="46" t="n"/>
      <c r="AC958" s="46" t="n"/>
      <c r="AD958" s="46" t="n"/>
      <c r="AE958" s="46" t="n"/>
      <c r="AF958" s="46" t="n"/>
    </row>
    <row r="959" ht="12.75" customHeight="1" s="104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  <c r="AA959" s="46" t="n"/>
      <c r="AB959" s="46" t="n"/>
      <c r="AC959" s="46" t="n"/>
      <c r="AD959" s="46" t="n"/>
      <c r="AE959" s="46" t="n"/>
      <c r="AF959" s="46" t="n"/>
    </row>
    <row r="960" ht="12.75" customHeight="1" s="104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  <c r="AA960" s="46" t="n"/>
      <c r="AB960" s="46" t="n"/>
      <c r="AC960" s="46" t="n"/>
      <c r="AD960" s="46" t="n"/>
      <c r="AE960" s="46" t="n"/>
      <c r="AF960" s="46" t="n"/>
    </row>
    <row r="961" ht="12.75" customHeight="1" s="104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  <c r="AA961" s="46" t="n"/>
      <c r="AB961" s="46" t="n"/>
      <c r="AC961" s="46" t="n"/>
      <c r="AD961" s="46" t="n"/>
      <c r="AE961" s="46" t="n"/>
      <c r="AF961" s="46" t="n"/>
    </row>
    <row r="962" ht="12.75" customHeight="1" s="104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  <c r="AA962" s="46" t="n"/>
      <c r="AB962" s="46" t="n"/>
      <c r="AC962" s="46" t="n"/>
      <c r="AD962" s="46" t="n"/>
      <c r="AE962" s="46" t="n"/>
      <c r="AF962" s="46" t="n"/>
    </row>
    <row r="963" ht="12.75" customHeight="1" s="104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  <c r="AA963" s="46" t="n"/>
      <c r="AB963" s="46" t="n"/>
      <c r="AC963" s="46" t="n"/>
      <c r="AD963" s="46" t="n"/>
      <c r="AE963" s="46" t="n"/>
      <c r="AF963" s="46" t="n"/>
    </row>
    <row r="964" ht="12.75" customHeight="1" s="10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  <c r="AA964" s="46" t="n"/>
      <c r="AB964" s="46" t="n"/>
      <c r="AC964" s="46" t="n"/>
      <c r="AD964" s="46" t="n"/>
      <c r="AE964" s="46" t="n"/>
      <c r="AF964" s="46" t="n"/>
    </row>
    <row r="965" ht="12.75" customHeight="1" s="104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  <c r="AA965" s="46" t="n"/>
      <c r="AB965" s="46" t="n"/>
      <c r="AC965" s="46" t="n"/>
      <c r="AD965" s="46" t="n"/>
      <c r="AE965" s="46" t="n"/>
      <c r="AF965" s="46" t="n"/>
    </row>
    <row r="966" ht="12.75" customHeight="1" s="104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  <c r="AA966" s="46" t="n"/>
      <c r="AB966" s="46" t="n"/>
      <c r="AC966" s="46" t="n"/>
      <c r="AD966" s="46" t="n"/>
      <c r="AE966" s="46" t="n"/>
      <c r="AF966" s="46" t="n"/>
    </row>
    <row r="967" ht="12.75" customHeight="1" s="104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  <c r="AA967" s="46" t="n"/>
      <c r="AB967" s="46" t="n"/>
      <c r="AC967" s="46" t="n"/>
      <c r="AD967" s="46" t="n"/>
      <c r="AE967" s="46" t="n"/>
      <c r="AF967" s="46" t="n"/>
    </row>
    <row r="968" ht="12.75" customHeight="1" s="104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  <c r="AA968" s="46" t="n"/>
      <c r="AB968" s="46" t="n"/>
      <c r="AC968" s="46" t="n"/>
      <c r="AD968" s="46" t="n"/>
      <c r="AE968" s="46" t="n"/>
      <c r="AF968" s="46" t="n"/>
    </row>
    <row r="969" ht="12.75" customHeight="1" s="104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  <c r="AA969" s="46" t="n"/>
      <c r="AB969" s="46" t="n"/>
      <c r="AC969" s="46" t="n"/>
      <c r="AD969" s="46" t="n"/>
      <c r="AE969" s="46" t="n"/>
      <c r="AF969" s="46" t="n"/>
    </row>
    <row r="970" ht="12.75" customHeight="1" s="104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  <c r="AA970" s="46" t="n"/>
      <c r="AB970" s="46" t="n"/>
      <c r="AC970" s="46" t="n"/>
      <c r="AD970" s="46" t="n"/>
      <c r="AE970" s="46" t="n"/>
      <c r="AF970" s="46" t="n"/>
    </row>
    <row r="971" ht="12.75" customHeight="1" s="104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  <c r="AA971" s="46" t="n"/>
      <c r="AB971" s="46" t="n"/>
      <c r="AC971" s="46" t="n"/>
      <c r="AD971" s="46" t="n"/>
      <c r="AE971" s="46" t="n"/>
      <c r="AF971" s="46" t="n"/>
    </row>
    <row r="972" ht="12.75" customHeight="1" s="104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  <c r="AA972" s="46" t="n"/>
      <c r="AB972" s="46" t="n"/>
      <c r="AC972" s="46" t="n"/>
      <c r="AD972" s="46" t="n"/>
      <c r="AE972" s="46" t="n"/>
      <c r="AF972" s="46" t="n"/>
    </row>
    <row r="973" ht="12.75" customHeight="1" s="104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  <c r="AA973" s="46" t="n"/>
      <c r="AB973" s="46" t="n"/>
      <c r="AC973" s="46" t="n"/>
      <c r="AD973" s="46" t="n"/>
      <c r="AE973" s="46" t="n"/>
      <c r="AF973" s="46" t="n"/>
    </row>
    <row r="974" ht="12.75" customHeight="1" s="10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  <c r="AA974" s="46" t="n"/>
      <c r="AB974" s="46" t="n"/>
      <c r="AC974" s="46" t="n"/>
      <c r="AD974" s="46" t="n"/>
      <c r="AE974" s="46" t="n"/>
      <c r="AF974" s="46" t="n"/>
    </row>
    <row r="975" ht="12.75" customHeight="1" s="104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  <c r="AA975" s="46" t="n"/>
      <c r="AB975" s="46" t="n"/>
      <c r="AC975" s="46" t="n"/>
      <c r="AD975" s="46" t="n"/>
      <c r="AE975" s="46" t="n"/>
      <c r="AF975" s="46" t="n"/>
    </row>
    <row r="976" ht="12.75" customHeight="1" s="104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  <c r="AA976" s="46" t="n"/>
      <c r="AB976" s="46" t="n"/>
      <c r="AC976" s="46" t="n"/>
      <c r="AD976" s="46" t="n"/>
      <c r="AE976" s="46" t="n"/>
      <c r="AF976" s="46" t="n"/>
    </row>
    <row r="977" ht="12.75" customHeight="1" s="104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  <c r="AA977" s="46" t="n"/>
      <c r="AB977" s="46" t="n"/>
      <c r="AC977" s="46" t="n"/>
      <c r="AD977" s="46" t="n"/>
      <c r="AE977" s="46" t="n"/>
      <c r="AF977" s="46" t="n"/>
    </row>
    <row r="978" ht="12.75" customHeight="1" s="104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  <c r="AA978" s="46" t="n"/>
      <c r="AB978" s="46" t="n"/>
      <c r="AC978" s="46" t="n"/>
      <c r="AD978" s="46" t="n"/>
      <c r="AE978" s="46" t="n"/>
      <c r="AF978" s="46" t="n"/>
    </row>
    <row r="979" ht="12.75" customHeight="1" s="104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  <c r="AA979" s="46" t="n"/>
      <c r="AB979" s="46" t="n"/>
      <c r="AC979" s="46" t="n"/>
      <c r="AD979" s="46" t="n"/>
      <c r="AE979" s="46" t="n"/>
      <c r="AF979" s="46" t="n"/>
    </row>
    <row r="980" ht="12.75" customHeight="1" s="104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  <c r="AA980" s="46" t="n"/>
      <c r="AB980" s="46" t="n"/>
      <c r="AC980" s="46" t="n"/>
      <c r="AD980" s="46" t="n"/>
      <c r="AE980" s="46" t="n"/>
      <c r="AF980" s="46" t="n"/>
    </row>
    <row r="981" ht="12.75" customHeight="1" s="104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  <c r="AA981" s="46" t="n"/>
      <c r="AB981" s="46" t="n"/>
      <c r="AC981" s="46" t="n"/>
      <c r="AD981" s="46" t="n"/>
      <c r="AE981" s="46" t="n"/>
      <c r="AF981" s="46" t="n"/>
    </row>
    <row r="982" ht="12.75" customHeight="1" s="104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  <c r="AA982" s="46" t="n"/>
      <c r="AB982" s="46" t="n"/>
      <c r="AC982" s="46" t="n"/>
      <c r="AD982" s="46" t="n"/>
      <c r="AE982" s="46" t="n"/>
      <c r="AF982" s="46" t="n"/>
    </row>
    <row r="983" ht="12.75" customHeight="1" s="104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  <c r="AA983" s="46" t="n"/>
      <c r="AB983" s="46" t="n"/>
      <c r="AC983" s="46" t="n"/>
      <c r="AD983" s="46" t="n"/>
      <c r="AE983" s="46" t="n"/>
      <c r="AF983" s="46" t="n"/>
    </row>
    <row r="984" ht="12.75" customHeight="1" s="10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  <c r="AA984" s="46" t="n"/>
      <c r="AB984" s="46" t="n"/>
      <c r="AC984" s="46" t="n"/>
      <c r="AD984" s="46" t="n"/>
      <c r="AE984" s="46" t="n"/>
      <c r="AF984" s="46" t="n"/>
    </row>
    <row r="985" ht="12.75" customHeight="1" s="104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  <c r="AA985" s="46" t="n"/>
      <c r="AB985" s="46" t="n"/>
      <c r="AC985" s="46" t="n"/>
      <c r="AD985" s="46" t="n"/>
      <c r="AE985" s="46" t="n"/>
      <c r="AF985" s="46" t="n"/>
    </row>
    <row r="986" ht="12.75" customHeight="1" s="104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  <c r="AA986" s="46" t="n"/>
      <c r="AB986" s="46" t="n"/>
      <c r="AC986" s="46" t="n"/>
      <c r="AD986" s="46" t="n"/>
      <c r="AE986" s="46" t="n"/>
      <c r="AF986" s="46" t="n"/>
    </row>
    <row r="987" ht="12.75" customHeight="1" s="104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  <c r="AA987" s="46" t="n"/>
      <c r="AB987" s="46" t="n"/>
      <c r="AC987" s="46" t="n"/>
      <c r="AD987" s="46" t="n"/>
      <c r="AE987" s="46" t="n"/>
      <c r="AF987" s="46" t="n"/>
    </row>
    <row r="988" ht="12.75" customHeight="1" s="104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  <c r="AA988" s="46" t="n"/>
      <c r="AB988" s="46" t="n"/>
      <c r="AC988" s="46" t="n"/>
      <c r="AD988" s="46" t="n"/>
      <c r="AE988" s="46" t="n"/>
      <c r="AF988" s="46" t="n"/>
    </row>
    <row r="989" ht="12.75" customHeight="1" s="104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  <c r="AA989" s="46" t="n"/>
      <c r="AB989" s="46" t="n"/>
      <c r="AC989" s="46" t="n"/>
      <c r="AD989" s="46" t="n"/>
      <c r="AE989" s="46" t="n"/>
      <c r="AF989" s="46" t="n"/>
    </row>
    <row r="990" ht="12.75" customHeight="1" s="104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  <c r="AA990" s="46" t="n"/>
      <c r="AB990" s="46" t="n"/>
      <c r="AC990" s="46" t="n"/>
      <c r="AD990" s="46" t="n"/>
      <c r="AE990" s="46" t="n"/>
      <c r="AF990" s="46" t="n"/>
    </row>
    <row r="991" ht="12.75" customHeight="1" s="104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  <c r="AA991" s="46" t="n"/>
      <c r="AB991" s="46" t="n"/>
      <c r="AC991" s="46" t="n"/>
      <c r="AD991" s="46" t="n"/>
      <c r="AE991" s="46" t="n"/>
      <c r="AF991" s="46" t="n"/>
    </row>
    <row r="992" ht="12.75" customHeight="1" s="104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  <c r="AA992" s="46" t="n"/>
      <c r="AB992" s="46" t="n"/>
      <c r="AC992" s="46" t="n"/>
      <c r="AD992" s="46" t="n"/>
      <c r="AE992" s="46" t="n"/>
      <c r="AF992" s="46" t="n"/>
    </row>
    <row r="993" ht="12.75" customHeight="1" s="104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  <c r="AA993" s="46" t="n"/>
      <c r="AB993" s="46" t="n"/>
      <c r="AC993" s="46" t="n"/>
      <c r="AD993" s="46" t="n"/>
      <c r="AE993" s="46" t="n"/>
      <c r="AF993" s="46" t="n"/>
    </row>
    <row r="994" ht="12.75" customHeight="1" s="10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  <c r="AA994" s="46" t="n"/>
      <c r="AB994" s="46" t="n"/>
      <c r="AC994" s="46" t="n"/>
      <c r="AD994" s="46" t="n"/>
      <c r="AE994" s="46" t="n"/>
      <c r="AF994" s="46" t="n"/>
    </row>
    <row r="995" ht="12.75" customHeight="1" s="104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  <c r="AA995" s="46" t="n"/>
      <c r="AB995" s="46" t="n"/>
      <c r="AC995" s="46" t="n"/>
      <c r="AD995" s="46" t="n"/>
      <c r="AE995" s="46" t="n"/>
      <c r="AF995" s="46" t="n"/>
    </row>
    <row r="996" ht="12.75" customHeight="1" s="104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  <c r="AA996" s="46" t="n"/>
      <c r="AB996" s="46" t="n"/>
      <c r="AC996" s="46" t="n"/>
      <c r="AD996" s="46" t="n"/>
      <c r="AE996" s="46" t="n"/>
      <c r="AF996" s="46" t="n"/>
    </row>
    <row r="997" ht="12.75" customHeight="1" s="104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  <c r="AA997" s="46" t="n"/>
      <c r="AB997" s="46" t="n"/>
      <c r="AC997" s="46" t="n"/>
      <c r="AD997" s="46" t="n"/>
      <c r="AE997" s="46" t="n"/>
      <c r="AF997" s="46" t="n"/>
    </row>
    <row r="998" ht="12.75" customHeight="1" s="104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  <c r="AA998" s="46" t="n"/>
      <c r="AB998" s="46" t="n"/>
      <c r="AC998" s="46" t="n"/>
      <c r="AD998" s="46" t="n"/>
      <c r="AE998" s="46" t="n"/>
      <c r="AF998" s="46" t="n"/>
    </row>
    <row r="999" ht="12.75" customHeight="1" s="104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  <c r="AA999" s="46" t="n"/>
      <c r="AB999" s="46" t="n"/>
      <c r="AC999" s="46" t="n"/>
      <c r="AD999" s="46" t="n"/>
      <c r="AE999" s="46" t="n"/>
      <c r="AF999" s="46" t="n"/>
    </row>
    <row r="1000" ht="12.75" customHeight="1" s="104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  <c r="AA1000" s="46" t="n"/>
      <c r="AB1000" s="46" t="n"/>
      <c r="AC1000" s="46" t="n"/>
      <c r="AD1000" s="46" t="n"/>
      <c r="AE1000" s="46" t="n"/>
      <c r="AF1000" s="46" t="n"/>
    </row>
    <row r="1001" ht="12.75" customHeight="1" s="104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  <c r="T1001" s="46" t="n"/>
      <c r="U1001" s="46" t="n"/>
      <c r="V1001" s="46" t="n"/>
      <c r="W1001" s="46" t="n"/>
      <c r="X1001" s="46" t="n"/>
      <c r="Y1001" s="46" t="n"/>
      <c r="Z1001" s="46" t="n"/>
      <c r="AA1001" s="46" t="n"/>
      <c r="AB1001" s="46" t="n"/>
      <c r="AC1001" s="46" t="n"/>
      <c r="AD1001" s="46" t="n"/>
      <c r="AE1001" s="46" t="n"/>
      <c r="AF1001" s="46" t="n"/>
    </row>
  </sheetData>
  <mergeCells count="9">
    <mergeCell ref="E47:O47"/>
    <mergeCell ref="B13:L13"/>
    <mergeCell ref="E43:O43"/>
    <mergeCell ref="E44:O44"/>
    <mergeCell ref="B2:L2"/>
    <mergeCell ref="E46:O46"/>
    <mergeCell ref="E48:O48"/>
    <mergeCell ref="E45:O45"/>
    <mergeCell ref="Q3:S3"/>
  </mergeCells>
  <pageMargins left="0.31" right="0.11" top="1" bottom="1" header="0" footer="0"/>
  <pageSetup orientation="landscape" paperSize="9" scale="5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99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546875" defaultRowHeight="15" customHeight="1"/>
  <cols>
    <col width="3.33203125" customWidth="1" style="104" min="1" max="1"/>
    <col width="39.6640625" customWidth="1" style="104" min="4" max="4"/>
    <col width="4.5546875" customWidth="1" style="104" min="5" max="8"/>
    <col width="49.44140625" customWidth="1" style="104" min="9" max="9"/>
    <col width="20.6640625" customWidth="1" style="104" min="10" max="11"/>
  </cols>
  <sheetData>
    <row r="1" ht="12" customHeight="1" s="104">
      <c r="A1" s="7" t="n"/>
      <c r="B1" s="70" t="n"/>
      <c r="C1" s="70" t="n"/>
      <c r="D1" s="70" t="n"/>
      <c r="E1" s="70" t="n"/>
      <c r="F1" s="71" t="n"/>
      <c r="G1" s="70" t="n"/>
      <c r="H1" s="70" t="n"/>
      <c r="I1" s="70" t="n"/>
      <c r="J1" s="70" t="n"/>
      <c r="K1" s="70" t="n"/>
      <c r="L1" s="5" t="n"/>
      <c r="M1" s="5" t="n"/>
      <c r="N1" s="5" t="n"/>
    </row>
    <row r="2" ht="27" customHeight="1" s="104">
      <c r="A2" s="7" t="n"/>
      <c r="B2" s="14" t="n"/>
      <c r="C2" s="13" t="inlineStr">
        <is>
          <t>Item</t>
        </is>
      </c>
      <c r="D2" s="14" t="inlineStr">
        <is>
          <t>Questão</t>
        </is>
      </c>
      <c r="E2" s="14" t="inlineStr">
        <is>
          <t>C</t>
        </is>
      </c>
      <c r="F2" s="72" t="inlineStr">
        <is>
          <t>NC</t>
        </is>
      </c>
      <c r="G2" s="14" t="inlineStr">
        <is>
          <t>NA</t>
        </is>
      </c>
      <c r="H2" s="14" t="inlineStr">
        <is>
          <t>OM</t>
        </is>
      </c>
      <c r="I2" s="14" t="inlineStr">
        <is>
          <t>Evidência</t>
        </is>
      </c>
      <c r="J2" s="14" t="inlineStr">
        <is>
          <t>Observação</t>
        </is>
      </c>
      <c r="K2" s="128" t="n"/>
      <c r="L2" s="5" t="n"/>
      <c r="M2" s="5" t="n"/>
      <c r="N2" s="5" t="n"/>
    </row>
    <row r="3" ht="88.2" customHeight="1" s="104">
      <c r="A3" s="16" t="n"/>
      <c r="B3" s="73" t="inlineStr">
        <is>
          <t>SISTEMA DE GESTÃO DA QUALIDADE</t>
        </is>
      </c>
      <c r="C3" s="17" t="inlineStr">
        <is>
          <t>4.1.6</t>
        </is>
      </c>
      <c r="D3" s="18" t="inlineStr">
        <is>
          <t>A organização documentou procedimento de validação de softwares que impactem no SGQ?</t>
        </is>
      </c>
      <c r="E3" s="21" t="n"/>
      <c r="F3" s="74" t="inlineStr">
        <is>
          <t>X</t>
        </is>
      </c>
      <c r="G3" s="10" t="n"/>
      <c r="H3" s="10" t="n"/>
      <c r="I3" s="75" t="inlineStr">
        <is>
          <t>- PSQ.029 - Procedimento de Gestão de Mudança 
- FOR.137 - Relatório de Gestão de Mudança
(Software utilizados desde o início do laboratório, garantindo sua eficiência e rastreabilidade. Caso ocorra alguma mudança, será validado no FOR.137)</t>
        </is>
      </c>
      <c r="J3" s="148" t="inlineStr">
        <is>
          <t>Corporativo: Atualizar PSQ.027 - Procedimento de Validação. Criar formulários de validação de software.
Corporativo + Rio: Preencher formulários de validação dos softwares (DECIDE, SMR, SGO, Optifacts e Qualiex).</t>
        </is>
      </c>
      <c r="K3" s="128" t="n"/>
      <c r="L3" s="22" t="n"/>
      <c r="M3" s="22" t="n"/>
      <c r="N3" s="22" t="n"/>
    </row>
    <row r="4" ht="63" customHeight="1" s="104">
      <c r="A4" s="24" t="n"/>
      <c r="B4" s="149" t="inlineStr">
        <is>
          <t xml:space="preserve">RESPONSABILIDADE DA DIREÇÃO								</t>
        </is>
      </c>
      <c r="C4" s="17" t="inlineStr">
        <is>
          <t>5.1</t>
        </is>
      </c>
      <c r="D4" s="25" t="inlineStr">
        <is>
          <t>A alta direção fornece evidência de seu comprometimento com os requisitos do SGQ: política da qualidade, objetivos da qualidade e conduz análises críticas?</t>
        </is>
      </c>
      <c r="E4" s="10" t="n"/>
      <c r="F4" s="76" t="n"/>
      <c r="G4" s="27" t="n"/>
      <c r="H4" s="27" t="inlineStr">
        <is>
          <t>x</t>
        </is>
      </c>
      <c r="I4" s="75" t="inlineStr">
        <is>
          <t>Reuniões com diretoria, alinhamento da ata e atuação em pesquisa de satisfação</t>
        </is>
      </c>
      <c r="J4" s="75" t="inlineStr">
        <is>
          <t>Realizar uma nova Revisão Gerencial, incluindo principalmente as saídas em relação a pesquisa de satisfação. Verificar também itens em relação a indicadores / BSC (Aluysio) - (ação em conjunto com item 5.6.3, 6.3 e 8.1)
Verificar atalho no drive sobre a pesquisa de satisfação e suas tratativas.</t>
        </is>
      </c>
      <c r="K4" s="128" t="n"/>
      <c r="L4" s="20">
        <f>(#REF!)/(#REF!+#REF!+#REF!)</f>
        <v/>
      </c>
      <c r="M4" s="20">
        <f>(#REF!)/(#REF!+#REF!+#REF!)</f>
        <v/>
      </c>
      <c r="N4" s="20">
        <f>(#REF!)/(#REF!+#REF!+#REF!)</f>
        <v/>
      </c>
    </row>
    <row r="5" ht="37.8" customHeight="1" s="104">
      <c r="A5" s="24" t="n"/>
      <c r="B5" s="150" t="n"/>
      <c r="C5" s="17" t="inlineStr">
        <is>
          <t>5.2</t>
        </is>
      </c>
      <c r="D5" s="25" t="inlineStr">
        <is>
          <t>A alta direção assegura que os requisitos regulatórios e aplicáveis sejam determinados e atendidos?</t>
        </is>
      </c>
      <c r="E5" s="21" t="n"/>
      <c r="F5" s="76" t="n"/>
      <c r="G5" s="27" t="n"/>
      <c r="H5" s="27" t="inlineStr">
        <is>
          <t>x</t>
        </is>
      </c>
      <c r="I5" s="75" t="inlineStr">
        <is>
          <t>Saúde visual: Decide, UV, SMR (verificação da luz azul...)</t>
        </is>
      </c>
      <c r="J5" s="75" t="inlineStr">
        <is>
          <t>Não temos algumas normas sendo seguidas na integra, mas temos algumas especificações dos produtos controlados no qualiex.  A não utilização da ISO para tolerancia otica será levada para os coordenadores de QMS</t>
        </is>
      </c>
      <c r="K5" s="128" t="n"/>
      <c r="L5" s="22" t="n"/>
      <c r="M5" s="22" t="n"/>
      <c r="N5" s="22" t="n"/>
    </row>
    <row r="6" ht="96" customHeight="1" s="104">
      <c r="A6" s="24" t="n"/>
      <c r="B6" s="150" t="n"/>
      <c r="C6" s="17" t="inlineStr">
        <is>
          <t>5.5.1</t>
        </is>
      </c>
      <c r="D6" s="25" t="inlineStr">
        <is>
          <t>A alta direção documenta e assegura a inter-relação do pessoal que gerencia, desempenha e verifica o trabalho?</t>
        </is>
      </c>
      <c r="E6" s="21" t="n"/>
      <c r="F6" s="76" t="n"/>
      <c r="G6" s="27" t="n"/>
      <c r="H6" s="27" t="inlineStr">
        <is>
          <t>x</t>
        </is>
      </c>
      <c r="I6" s="75" t="inlineStr">
        <is>
          <t>- Descrição de Atividade (https://apps1.qualiex.com/Docs/Documents?folder=F2EQJCC4VTK9EUF)
- FOR.109 - Matriz de Habilidade - LabRio 2022 - Rev.02 (https://docs.google.com/spreadsheets/d/1T_WW9coCXAHY78KyFNexxG3kZl0v6NlrttpXbVh2Whk/edit#gid=217238903)</t>
        </is>
      </c>
      <c r="J6" s="75" t="inlineStr">
        <is>
          <t>Não está existe documento no Qualiex em relação a Descrição de Atividade para os seguintes setores:
- Atendimento ao cliente;
- Estoque;
- Expedição;
- Recursos Humanos;
- EHS.</t>
        </is>
      </c>
      <c r="K6" s="128" t="n"/>
      <c r="L6" s="22" t="n"/>
      <c r="M6" s="22" t="n"/>
      <c r="N6" s="22" t="n"/>
    </row>
    <row r="7" ht="37.8" customHeight="1" s="104">
      <c r="A7" s="24" t="n"/>
      <c r="B7" s="150" t="n"/>
      <c r="C7" s="17" t="inlineStr">
        <is>
          <t>5.5.3</t>
        </is>
      </c>
      <c r="D7" s="25" t="inlineStr">
        <is>
          <t>A alta direção assegura um processo de comunicação apropriado à organização com relação ao SGQ?</t>
        </is>
      </c>
      <c r="E7" s="21" t="n"/>
      <c r="F7" s="76" t="n"/>
      <c r="G7" s="27" t="n"/>
      <c r="H7" s="27" t="inlineStr">
        <is>
          <t>x</t>
        </is>
      </c>
      <c r="I7" s="75" t="inlineStr">
        <is>
          <t>- Será retornado as reuninões sobre comunicações relativas à eficiência do sistema de gestão da qualidade.</t>
        </is>
      </c>
      <c r="J7" s="75" t="inlineStr">
        <is>
          <t>Planejar e executar as reuniões periódicas em relação a comunicação do  SGQ.</t>
        </is>
      </c>
      <c r="K7" s="128" t="n"/>
      <c r="L7" s="22" t="n"/>
      <c r="M7" s="22" t="n"/>
      <c r="N7" s="22" t="n"/>
    </row>
    <row r="8" ht="96" customHeight="1" s="104">
      <c r="A8" s="24" t="n"/>
      <c r="B8" s="151" t="n"/>
      <c r="C8" s="17" t="inlineStr">
        <is>
          <t>5.6.3</t>
        </is>
      </c>
      <c r="D8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E8" s="21" t="n"/>
      <c r="F8" s="76" t="n"/>
      <c r="G8" s="27" t="n"/>
      <c r="H8" s="27" t="inlineStr">
        <is>
          <t>x</t>
        </is>
      </c>
      <c r="I8" s="75" t="inlineStr">
        <is>
          <t>- PSQ.025 - Procedimento de Revisão da Gestão
- FOR.135 - Relatório de Revisão Gerencial (https://docs.google.com/spreadsheets/d/1Gub8MKyYp5AcNQUssAbOZvvp_giuviFk/edit#gid=993094433)</t>
        </is>
      </c>
      <c r="J8" s="35" t="inlineStr">
        <is>
          <t>- Verificar pesquisa de satisfação do cliente;
- Realizar um reunião para gerar revisão gerencial
(ação em conjunto com item 5.1 e 6.3)</t>
        </is>
      </c>
      <c r="K8" s="128" t="n"/>
      <c r="L8" s="22" t="n"/>
      <c r="M8" s="22" t="n"/>
      <c r="N8" s="22" t="n"/>
    </row>
    <row r="9" ht="138.6" customHeight="1" s="104">
      <c r="A9" s="24" t="n"/>
      <c r="B9" s="149" t="inlineStr">
        <is>
          <t>GESTÃO DE RECURSOS</t>
        </is>
      </c>
      <c r="C9" s="17" t="inlineStr">
        <is>
          <t>6.2</t>
        </is>
      </c>
      <c r="D9" s="25" t="inlineStr">
        <is>
          <t>O pessoal que executa o trabalho que afeta a qualidade possui competência e é treinado para a atividade que exerce? Os registros são mantidos?  A eficácia é avaliada?</t>
        </is>
      </c>
      <c r="E9" s="21" t="n"/>
      <c r="F9" s="76" t="n"/>
      <c r="G9" s="27" t="n"/>
      <c r="H9" s="27" t="inlineStr">
        <is>
          <t>x</t>
        </is>
      </c>
      <c r="I9" s="77" t="inlineStr">
        <is>
          <t>- FOR.109 - Matriz de Habilidade;
- FOR.133 - Planejamento de Treinamento;
- RH.FOR.033 - Lista de Presença;
- FOR.092 - Controle de Treinamento;
- FOR.141 - Auto Avaliação;
- FOR.142 - Avaliação de Eficácia do Treinamento.
https://drive.google.com/drive/u/2/folders/1sfWNKRbX0vut3uYUaA1AGx5ozfhCHxM8
- Comunicação para todos os colaboradores via e-mail sobre  os treinamentos realizados.</t>
        </is>
      </c>
      <c r="J9" s="19" t="inlineStr">
        <is>
          <t>- RH precisa melhorar o preenchimento, avaliação
- Líderes: Preenchimento da matriz de habilidade e planejamento de treinamento</t>
        </is>
      </c>
      <c r="K9" s="128" t="n"/>
      <c r="L9" s="22" t="n"/>
      <c r="M9" s="22" t="n"/>
      <c r="N9" s="22" t="n"/>
    </row>
    <row r="10" ht="153.75" customHeight="1" s="104">
      <c r="A10" s="24" t="n"/>
      <c r="B10" s="151" t="n"/>
      <c r="C10" s="31" t="n">
        <v>44626</v>
      </c>
      <c r="D1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E10" s="21" t="n"/>
      <c r="F10" s="76" t="inlineStr">
        <is>
          <t>x</t>
        </is>
      </c>
      <c r="G10" s="27" t="n"/>
      <c r="H10" s="27" t="n"/>
      <c r="I10" s="77" t="inlineStr">
        <is>
          <t>ver se existe tratativa para temperatura e umidade fora da especificação
https://docs.google.com/spreadsheets/d/13-t8DcNUfXAYLzoNum8xvjTCJoprYP4Zy8TV3HzyoKg/edit#gid=1473838937
**ver na aba evidências</t>
        </is>
      </c>
      <c r="J10" s="152" t="inlineStr">
        <is>
          <t>Relatório para verificação das particulas da sala limpa não traz informações suficientes para comparar com o padrão.
Será abordado na nova revisão gerencial para tomar novas ações para validação
https://apps1.qualiex.com/Docs/Documents/Details/ADC2DLVPAE0D2JN
Temperatura da sala fora de especificação. Qual é a tratativa neste ponto?
https://docs.google.com/spreadsheets/d/13-t8DcNUfXAYLzoNum8xvjTCJoprYP4Zy8TV3HzyoKg/edit#gid=1473838937</t>
        </is>
      </c>
      <c r="K10" s="128" t="n"/>
      <c r="L10" s="22" t="n"/>
      <c r="M10" s="22" t="n"/>
      <c r="N10" s="22" t="n"/>
    </row>
    <row r="11" ht="106.5" customHeight="1" s="104">
      <c r="A11" s="24" t="n"/>
      <c r="B11" s="149" t="inlineStr">
        <is>
          <t xml:space="preserve">	REALIZAÇÃO DE PRODUTO (FABRICAÇÃO)</t>
        </is>
      </c>
      <c r="C11" s="17" t="inlineStr">
        <is>
          <t>7.1</t>
        </is>
      </c>
      <c r="D11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E11" s="10" t="n"/>
      <c r="F11" s="76" t="inlineStr">
        <is>
          <t>x</t>
        </is>
      </c>
      <c r="G11" s="27" t="n"/>
      <c r="H11" s="27" t="n"/>
      <c r="I11" s="75" t="inlineStr">
        <is>
          <t>- FOR.081 - Formulário HMC - PCP Latam Português - Lab Geral - LabRio 2022 Rev.01 (https://docs.google.com/spreadsheets/d/13-t8DcNUfXAYLzoNum8xvjTCJoprYP4Zy8TV3HzyoKg/edit#gid=2131303326)</t>
        </is>
      </c>
      <c r="J11" s="35" t="inlineStr">
        <is>
          <t>- Valores precisam ficar no formato padrão, para não gerar não conformidades;
- Ações para especificações fora.</t>
        </is>
      </c>
      <c r="K11" s="128" t="n"/>
      <c r="L11" s="20">
        <f>(L10)/(L10+M10+N10)</f>
        <v/>
      </c>
      <c r="M11" s="20">
        <f>(M10)/(L10+M10+N10)</f>
        <v/>
      </c>
      <c r="N11" s="20">
        <f>(N10)/(L10+M10+N10)</f>
        <v/>
      </c>
    </row>
    <row r="12" ht="88.2" customHeight="1" s="104">
      <c r="A12" s="24" t="n"/>
      <c r="B12" s="150" t="n"/>
      <c r="C12" s="17" t="inlineStr">
        <is>
          <t>7.2.3</t>
        </is>
      </c>
      <c r="D12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E12" s="21" t="n"/>
      <c r="F12" s="76" t="n"/>
      <c r="G12" s="27" t="n"/>
      <c r="H12" s="27" t="inlineStr">
        <is>
          <t>x</t>
        </is>
      </c>
      <c r="I12" s="75" t="inlineStr">
        <is>
          <t>- Ponta comercial (pós-venda e televendas): realizado comunicação com o cliente (ótica)
- LabRio: Comunicação é feita com a ponta comercial, ponta comercial entra em contato com a ótica. Dependendo do caso setor técnico (Equipe do Rogério Castro) entrar em contato ótica.</t>
        </is>
      </c>
      <c r="J12" s="35" t="inlineStr">
        <is>
          <t>- Precisa criar procedimentos em relação a comunicação com o cliente, contendo: b)tratamento de solicitações, contratos ou pedidos, incluindo emendas; c)realimentação do cliente, incluindo reclamações; d)notas de aviso. 
- Juntar com o item 8.2.2</t>
        </is>
      </c>
      <c r="K12" s="128" t="n"/>
      <c r="L12" s="22" t="n"/>
      <c r="M12" s="22" t="n"/>
      <c r="N12" s="22" t="n"/>
    </row>
    <row r="13" ht="88.2" customHeight="1" s="104">
      <c r="A13" s="24" t="n"/>
      <c r="B13" s="150" t="n"/>
      <c r="C13" s="17" t="inlineStr">
        <is>
          <t>7.5.1</t>
        </is>
      </c>
      <c r="D13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E13" s="21" t="n"/>
      <c r="F13" s="76" t="inlineStr">
        <is>
          <t>x</t>
        </is>
      </c>
      <c r="G13" s="27" t="n"/>
      <c r="H13" s="27" t="n"/>
      <c r="I13" s="75" t="inlineStr">
        <is>
          <t>verificar um pedido no sistema e solicitar o rastreamento em questão planejamento de produção, verificação de Decide, SMR lote salvo + preenchimento da planilha
- verificar registro FOR.132: Controle de Utilização do UV 400</t>
        </is>
      </c>
      <c r="J13" s="35" t="inlineStr">
        <is>
          <t>- Faltou folheto (em evidências), conforme documento TAB.009 - Tabela de Embalagens nas Linhas Digitais
- Lente colorida organica não segue o procedimento de UV, porém é aplicado Spin antes e depois colocar 1 minuto no UV. (atualizar no procedimento)        
- Finalizar procedimento de rastreabilidade de pedido (Deyved)
- Realizar procedimento de rastreamento do DECIDE (Renan)</t>
        </is>
      </c>
      <c r="K13" s="128" t="n"/>
      <c r="L13" s="22" t="n"/>
      <c r="M13" s="22" t="n"/>
      <c r="N13" s="22" t="n"/>
    </row>
    <row r="14" ht="96" customHeight="1" s="104">
      <c r="A14" s="24" t="n"/>
      <c r="B14" s="150" t="n"/>
      <c r="C14" s="17" t="inlineStr">
        <is>
          <t>7.5.6</t>
        </is>
      </c>
      <c r="D14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E14" s="21" t="n"/>
      <c r="F14" s="76" t="inlineStr">
        <is>
          <t>x</t>
        </is>
      </c>
      <c r="G14" s="27" t="n"/>
      <c r="H14" s="27" t="n"/>
      <c r="I14" s="75" t="inlineStr">
        <is>
          <t xml:space="preserve">ver validação de software
ver calibração do SMR e treinamento em relação a calibração
PSQ.027 - Procedimento de Validação
FOR.159 - Validação de Softaware                        </t>
        </is>
      </c>
      <c r="J14" s="35" t="inlineStr">
        <is>
          <t>- Validar os software
- Compra das lentes de referências do SMR para calibração</t>
        </is>
      </c>
      <c r="K14" s="128" t="n"/>
      <c r="L14" s="22" t="n"/>
      <c r="M14" s="22" t="n"/>
      <c r="N14" s="22" t="n"/>
    </row>
    <row r="15" ht="96" customHeight="1" s="104">
      <c r="A15" s="24" t="n"/>
      <c r="B15" s="150" t="n"/>
      <c r="C15" s="17" t="inlineStr">
        <is>
          <t>7.5.8</t>
        </is>
      </c>
      <c r="D15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E15" s="21" t="n"/>
      <c r="F15" s="76" t="n"/>
      <c r="G15" s="27" t="n"/>
      <c r="H15" s="27" t="inlineStr">
        <is>
          <t>x</t>
        </is>
      </c>
      <c r="I15" s="78" t="inlineStr">
        <is>
          <t>- POP.734 - Manual Operacional - Produto Não Conforme - Lab Rio</t>
        </is>
      </c>
      <c r="J15" s="35" t="inlineStr">
        <is>
          <t>- Identificar novamente alguns setores, pois está com identificação falhada.</t>
        </is>
      </c>
      <c r="K15" s="128" t="n"/>
      <c r="L15" s="22" t="n"/>
      <c r="M15" s="22" t="n"/>
      <c r="N15" s="22" t="n"/>
    </row>
    <row r="16" ht="96" customHeight="1" s="104">
      <c r="A16" s="24" t="n"/>
      <c r="B16" s="150" t="n"/>
      <c r="C16" s="17" t="inlineStr">
        <is>
          <t>7.5.9.1</t>
        </is>
      </c>
      <c r="D16" s="25" t="inlineStr">
        <is>
          <t>A organização documenta procedimento de rastreabilidade dos produtos?</t>
        </is>
      </c>
      <c r="E16" s="21" t="n"/>
      <c r="F16" s="76" t="n"/>
      <c r="G16" s="27" t="n"/>
      <c r="H16" s="27" t="inlineStr">
        <is>
          <t>x</t>
        </is>
      </c>
      <c r="I16" s="78" t="inlineStr">
        <is>
          <t xml:space="preserve">- PSQ.026 - Procedimento de Identificação e Rastreabilidade
</t>
        </is>
      </c>
      <c r="J16" s="35" t="inlineStr">
        <is>
          <t>Melhorar a forma de rastrear o bloco de origem, pois a informação do lote do bloco fica até a surfaçagem</t>
        </is>
      </c>
      <c r="K16" s="128" t="n"/>
      <c r="L16" s="22" t="n"/>
      <c r="M16" s="22" t="n"/>
      <c r="N16" s="22" t="n"/>
    </row>
    <row r="17" ht="96" customHeight="1" s="104">
      <c r="A17" s="24" t="n"/>
      <c r="B17" s="150" t="n"/>
      <c r="C17" s="17" t="inlineStr">
        <is>
          <t>7.5.10</t>
        </is>
      </c>
      <c r="D17" s="25" t="inlineStr">
        <is>
          <t>A organização identifica, verifica, protege e resguarda itens de propriedade do cliente como contratos, documentos e registros?Isso é comunicado ao cliente?</t>
        </is>
      </c>
      <c r="E17" s="21" t="n"/>
      <c r="F17" s="76" t="n"/>
      <c r="G17" s="27" t="n"/>
      <c r="H17" s="27" t="inlineStr">
        <is>
          <t>x</t>
        </is>
      </c>
      <c r="I17" s="75" t="inlineStr">
        <is>
          <t>- PSQ.019 - Procedimento de Preservação de Insumo e Produto</t>
        </is>
      </c>
      <c r="J17" s="35" t="inlineStr">
        <is>
          <t>- Comunicação entre LabRio e cliente é realizado via: telefone ou e-mail, não conseguiu mostrar um recente.
- Revisar POP.744 com informação de identificação de rastreabilidade.</t>
        </is>
      </c>
      <c r="K17" s="128" t="n"/>
      <c r="L17" s="22" t="n"/>
      <c r="M17" s="22" t="n"/>
      <c r="N17" s="22" t="n"/>
    </row>
    <row r="18" ht="201.6" customHeight="1" s="104">
      <c r="A18" s="24" t="n"/>
      <c r="B18" s="150" t="n"/>
      <c r="C18" s="17" t="inlineStr">
        <is>
          <t>7.5.11</t>
        </is>
      </c>
      <c r="D18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E18" s="21" t="n"/>
      <c r="F18" s="76" t="inlineStr">
        <is>
          <t>x</t>
        </is>
      </c>
      <c r="G18" s="27" t="n"/>
      <c r="H18" s="27" t="n"/>
      <c r="I18" s="75" t="inlineStr">
        <is>
          <t>- FOR.122 - Controle de Umidade e Temperatura: Estoque
(https://docs.google.com/spreadsheets/d/1kjU-wzLLU-qzkQ3GL8zqVIIeupvNDeT4H8XEIilT8lg/edit#gid=375603829)
- FOR.155 - Controle de Temperatura de Armazenamento: Primers e Vernizes (https://docs.google.com/spreadsheets/d/1Q_hgaDNwmnIH2fVKgHvXqD-KV-kwtULi4ELrETe89ek/edit#gid=375603829)
- FOR.006 - Inspeção e Testes de Recebimento de Insumos (https://docs.google.com/spreadsheets/d/17tXRyq55mFrfbAMjr0A9TO2ONTMswttK6Ac1xJh2F-s/edit#gid=309398118)</t>
        </is>
      </c>
      <c r="J18" s="35" t="inlineStr">
        <is>
          <t>- Realizar tratativa para adequar a temperatura do estoque e também para as medições do turno 3;
- Realizar preenchimento e controle da temperatura dos vernizes (FOR.155) (falaram que existe preenchimento em papel)
- Verificar os galões de vernizes do estoque para confirmar se estão todos etiquetados;
- Faltam certificados dos vernizes recebidos em 2021</t>
        </is>
      </c>
      <c r="K18" s="128" t="n"/>
      <c r="L18" s="22" t="n"/>
      <c r="M18" s="22" t="n"/>
      <c r="N18" s="22" t="n"/>
    </row>
    <row r="19" ht="96" customHeight="1" s="104">
      <c r="A19" s="24" t="n"/>
      <c r="B19" s="151" t="n"/>
      <c r="C19" s="17" t="inlineStr">
        <is>
          <t>7.6</t>
        </is>
      </c>
      <c r="D19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E19" s="21" t="n"/>
      <c r="F19" s="76" t="inlineStr">
        <is>
          <t>x</t>
        </is>
      </c>
      <c r="G19" s="27" t="n"/>
      <c r="H19" s="27" t="n"/>
      <c r="I19" s="79" t="inlineStr">
        <is>
          <t>https://drive.google.com/drive/u/2/folders/1OD08q5FfBaChxQSvgQ6eYJr1EW-ADfX3</t>
        </is>
      </c>
      <c r="J19" s="35" t="inlineStr">
        <is>
          <t>- Stephany: Garantir a gestão completa dos equipamentos que garantem testes e inspeção</t>
        </is>
      </c>
      <c r="K19" s="128" t="n"/>
      <c r="L19" s="22" t="n"/>
      <c r="M19" s="22" t="n"/>
      <c r="N19" s="22" t="n"/>
    </row>
    <row r="20" ht="96" customHeight="1" s="104">
      <c r="A20" s="24" t="n"/>
      <c r="B20" s="149" t="inlineStr">
        <is>
          <t>MEDIÇÃO, ANÁLISE E MELHORIA</t>
        </is>
      </c>
      <c r="C20" s="17" t="inlineStr">
        <is>
          <t>8.1</t>
        </is>
      </c>
      <c r="D20" s="25" t="inlineStr">
        <is>
          <t>A organização planeja e implementa processos de monitoramento, medição, análise e melhoria que demonstrem e assegurem a eficácia dos produtos e SGQ?</t>
        </is>
      </c>
      <c r="E20" s="10" t="n"/>
      <c r="F20" s="76" t="n"/>
      <c r="G20" s="27" t="n"/>
      <c r="H20" s="27" t="inlineStr">
        <is>
          <t>x</t>
        </is>
      </c>
      <c r="I20" s="35" t="inlineStr">
        <is>
          <t>- PSQ.025 - Procedimento de Revisão da Gestão</t>
        </is>
      </c>
      <c r="J20" s="35" t="inlineStr">
        <is>
          <t>Verifica Relatorio da revisão gerencial que está no item "Melhoria" como "Não se aplica"</t>
        </is>
      </c>
      <c r="K20" s="128" t="n"/>
      <c r="L20" s="20">
        <f>(#REF!)/(#REF!+#REF!+#REF!)</f>
        <v/>
      </c>
      <c r="M20" s="20">
        <f>(#REF!)/(#REF!+#REF!+#REF!)</f>
        <v/>
      </c>
      <c r="N20" s="20">
        <f>(#REF!)/(#REF!+#REF!+#REF!)</f>
        <v/>
      </c>
    </row>
    <row r="21" ht="96" customHeight="1" s="104">
      <c r="A21" s="24" t="n"/>
      <c r="B21" s="150" t="n"/>
      <c r="C21" s="17" t="inlineStr">
        <is>
          <t>8.2.1</t>
        </is>
      </c>
      <c r="D21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E21" s="21" t="n"/>
      <c r="F21" s="76" t="n"/>
      <c r="G21" s="27" t="n"/>
      <c r="H21" s="27" t="inlineStr">
        <is>
          <t>x</t>
        </is>
      </c>
      <c r="I21" s="25" t="inlineStr">
        <is>
          <t>- POP.747 - Monitoramento de Realimentação do Cliente</t>
        </is>
      </c>
      <c r="J21" s="35" t="inlineStr">
        <is>
          <t>ver com atendimento
Não possui evidência das tratativas</t>
        </is>
      </c>
      <c r="K21" s="128" t="n"/>
      <c r="L21" s="22" t="n"/>
      <c r="M21" s="22" t="n"/>
      <c r="N21" s="22" t="n"/>
    </row>
    <row r="22" ht="100.8" customHeight="1" s="104">
      <c r="A22" s="80" t="n"/>
      <c r="B22" s="150" t="n"/>
      <c r="C22" s="81" t="inlineStr">
        <is>
          <t>8.2.2</t>
        </is>
      </c>
      <c r="D22" s="82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E22" s="83" t="n"/>
      <c r="F22" s="83" t="n"/>
      <c r="G22" s="83" t="n"/>
      <c r="H22" s="84" t="inlineStr">
        <is>
          <t>x</t>
        </is>
      </c>
      <c r="I22" s="82" t="inlineStr">
        <is>
          <t>- Reclamações de qualidade do produto é realizado pelo departamento técnico (Rogério Castro);
- Via e-mail;
- Orgaplus é possível gerar relatórios de reclamação por produto (criar procedimento como é feito este relatório).</t>
        </is>
      </c>
      <c r="J22" s="82" t="inlineStr">
        <is>
          <t>- Fazer procedimento com os tratamentos das reclamações, contendo: a)receber e registrar as informações; b)avaliar as informações de modo a determinar se a realimentação constitui reclamação; c)investigar reclamações; d)determinar a necessidade de comunicar as informações às autoridades regulatórias apropriadas; e)tratar reclamações relacionadas ao produto; f)determinar a necessidade de iniciar correções ou ações corretivas.
- Pode ser realizado junto com o item 7.2.3</t>
        </is>
      </c>
      <c r="K22" s="128" t="n"/>
      <c r="L22" s="85" t="n"/>
      <c r="M22" s="85" t="n"/>
      <c r="N22" s="85" t="n"/>
    </row>
    <row r="23" ht="113.4" customHeight="1" s="104">
      <c r="A23" s="80" t="n"/>
      <c r="B23" s="150" t="n"/>
      <c r="C23" s="86" t="inlineStr">
        <is>
          <t>8.2.4</t>
        </is>
      </c>
      <c r="D23" s="87" t="inlineStr">
        <is>
          <t>A organização possui procedimento para auditoria interna? As autoridades são definidas? Os registros são mantidos? É realizado acompanhamento de atividades apontadas em outras auditorias?</t>
        </is>
      </c>
      <c r="E23" s="88" t="n"/>
      <c r="F23" s="88" t="n"/>
      <c r="G23" s="88" t="n"/>
      <c r="H23" s="89" t="inlineStr">
        <is>
          <t>x</t>
        </is>
      </c>
      <c r="I23" s="87" t="inlineStr">
        <is>
          <t>- PSQ.024 - Procedimento de Auditoria
- Auditoria de QMS (Interna, externa e terceiros) Ok
- Auditoria 5S (https://drive.google.com/drive/u/2/folders/11lCPkGxau8Ibz4N8EvDQem211uUc5mV_)
- Auditoria de Produto (https://drive.google.com/drive/u/2/folders/1j3rBXGSNhi0g3KsW5KMMhMjVlb_Izy2r)</t>
        </is>
      </c>
      <c r="J23" s="87" t="inlineStr">
        <is>
          <t>- Corporativo: Retirar auditoria de excelência operacional do PSQ 024 e obsoletar o formulario de excelencia operacional
- LabRio: realizar tratativas dos resultados das auditorias</t>
        </is>
      </c>
      <c r="K23" s="153" t="n"/>
      <c r="L23" s="85" t="n"/>
      <c r="M23" s="85" t="n"/>
      <c r="N23" s="85" t="n"/>
    </row>
    <row r="24" ht="96" customHeight="1" s="104">
      <c r="A24" s="24" t="n"/>
      <c r="B24" s="150" t="n"/>
      <c r="C24" s="17" t="inlineStr">
        <is>
          <t>8.2.5</t>
        </is>
      </c>
      <c r="D24" s="25" t="inlineStr">
        <is>
          <t>É realizado monitoramento e medição dos processos do SGQ? Possui KPIs? Os resultados planejados que não forem alcançados, são realizadas correções e ações corretivas?</t>
        </is>
      </c>
      <c r="E24" s="21" t="n"/>
      <c r="F24" s="76" t="inlineStr">
        <is>
          <t>x</t>
        </is>
      </c>
      <c r="G24" s="27" t="n"/>
      <c r="H24" s="27" t="n"/>
      <c r="I24" s="35" t="inlineStr">
        <is>
          <t>BSC fora da meta:
- Retorno de cliente: Janeiro
- Service Rate: Fevereiro e maio
- Late orders: Fevereiro, março abril e maio</t>
        </is>
      </c>
      <c r="J24" s="35" t="inlineStr">
        <is>
          <t>Realizar tratativa com plano de ação no mínimo</t>
        </is>
      </c>
      <c r="K24" s="128" t="n"/>
      <c r="L24" s="22" t="n"/>
      <c r="M24" s="22" t="n"/>
      <c r="N24" s="22" t="n"/>
    </row>
    <row r="25" ht="96" customHeight="1" s="104">
      <c r="A25" s="24" t="n"/>
      <c r="B25" s="150" t="n"/>
      <c r="C25" s="17" t="inlineStr">
        <is>
          <t>8.2.6</t>
        </is>
      </c>
      <c r="D25" s="25" t="inlineStr">
        <is>
          <t xml:space="preserve">A organização monitora características e requisitos do produto? É realizado registro dos responsáveis por liberação do produto para fim de rastreabilidade? </t>
        </is>
      </c>
      <c r="E25" s="21" t="n"/>
      <c r="F25" s="76" t="inlineStr">
        <is>
          <t>x</t>
        </is>
      </c>
      <c r="G25" s="27" t="n"/>
      <c r="H25" s="27" t="n"/>
      <c r="I25" s="35" t="inlineStr">
        <is>
          <t xml:space="preserve">- PSQ.018 - Procedimento de Realização de Produto;
- FOR.116 - Formulario de Testes HC e AR (https://docs.google.com/spreadsheets/d/1MRF52Nt2TblCMqKqboUWAnb5kBrdbm05JKBBuQ2TMDE/edit#gid=219170642)
</t>
        </is>
      </c>
      <c r="J25" s="35" t="inlineStr">
        <is>
          <t>Não está sendo indetificado quem libera lote em testes do AR</t>
        </is>
      </c>
      <c r="K25" s="128" t="n"/>
      <c r="L25" s="22" t="n"/>
      <c r="M25" s="22" t="n"/>
      <c r="N25" s="22" t="n"/>
    </row>
    <row r="26" ht="88.2" customHeight="1" s="104">
      <c r="A26" s="24" t="n"/>
      <c r="B26" s="150" t="n"/>
      <c r="C26" s="17" t="inlineStr">
        <is>
          <t>8.3.3</t>
        </is>
      </c>
      <c r="D26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E26" s="21" t="n"/>
      <c r="F26" s="76" t="inlineStr">
        <is>
          <t>x</t>
        </is>
      </c>
      <c r="G26" s="27" t="n"/>
      <c r="H26" s="27" t="n"/>
      <c r="I26" s="35" t="inlineStr">
        <is>
          <t>- POP.747 - Monitoramento de Realimentação do Cliente</t>
        </is>
      </c>
      <c r="J26" s="35" t="inlineStr">
        <is>
          <t>- Criar procedimento de como é realizado o recolhimento do produto;</t>
        </is>
      </c>
      <c r="K26" s="128" t="n"/>
      <c r="L26" s="22" t="n"/>
      <c r="M26" s="22" t="n"/>
      <c r="N26" s="22" t="n"/>
    </row>
    <row r="27" ht="96" customHeight="1" s="104">
      <c r="A27" s="24" t="n"/>
      <c r="B27" s="150" t="n"/>
      <c r="C27" s="17" t="inlineStr">
        <is>
          <t>8.4</t>
        </is>
      </c>
      <c r="D27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E27" s="21" t="n"/>
      <c r="F27" s="76" t="inlineStr">
        <is>
          <t>x</t>
        </is>
      </c>
      <c r="G27" s="27" t="n"/>
      <c r="H27" s="27" t="n"/>
      <c r="I27" s="35" t="inlineStr">
        <is>
          <t>- PSQ.025 - Procedimento de Revisão da Gestão</t>
        </is>
      </c>
      <c r="J27" s="35" t="inlineStr">
        <is>
          <t>- Registro pela chamada (solicitação via telefone)
- Precal (identificação via relatório fisico)
- Tratativas: Conversa, treinamento (sem registro)</t>
        </is>
      </c>
      <c r="K27" s="128" t="n"/>
      <c r="L27" s="22" t="n"/>
      <c r="M27" s="22" t="n"/>
      <c r="N27" s="22" t="n"/>
    </row>
    <row r="28" ht="96" customHeight="1" s="104">
      <c r="A28" s="24" t="n"/>
      <c r="B28" s="150" t="n"/>
      <c r="C28" s="17" t="inlineStr">
        <is>
          <t>8.5.1</t>
        </is>
      </c>
      <c r="D28" s="25" t="inlineStr">
        <is>
          <t xml:space="preserve">A organização identifica e implementa ações para assegurar melhoria contínua do SGQ e outros processos relacionados ao produto? </t>
        </is>
      </c>
      <c r="E28" s="21" t="n"/>
      <c r="F28" s="76" t="n"/>
      <c r="G28" s="27" t="n"/>
      <c r="H28" s="27" t="inlineStr">
        <is>
          <t>x</t>
        </is>
      </c>
      <c r="I28" s="35" t="n"/>
      <c r="J28" s="35" t="inlineStr">
        <is>
          <t>- Retomar as auditorias de 5S - última realizada em 22 abril
- Gerar plano de ação para as tratativas das auditorias de produto</t>
        </is>
      </c>
      <c r="K28" s="128" t="n"/>
      <c r="L28" s="22" t="n"/>
      <c r="M28" s="22" t="n"/>
      <c r="N28" s="22" t="n"/>
    </row>
    <row r="29" ht="96" customHeight="1" s="104">
      <c r="A29" s="24" t="n"/>
      <c r="B29" s="150" t="n"/>
      <c r="C29" s="17" t="inlineStr">
        <is>
          <t>8.5.2</t>
        </is>
      </c>
      <c r="D29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E29" s="21" t="n"/>
      <c r="F29" s="76" t="n"/>
      <c r="G29" s="27" t="n"/>
      <c r="H29" s="27" t="inlineStr">
        <is>
          <t>x</t>
        </is>
      </c>
      <c r="I29" s="35" t="inlineStr">
        <is>
          <t xml:space="preserve">- PSQ.022 - Procedimento de Não Conformidade-Ações Corretivas e Preventivas
</t>
        </is>
      </c>
      <c r="J29" s="35" t="inlineStr">
        <is>
          <t>- Relacionamento com o cliente: possui conversa e treinamento, mas não possui registros para evidências. (Itens relacionados:7.2.3, 8.2.2 e 8.5.2)</t>
        </is>
      </c>
      <c r="K29" s="128" t="n"/>
      <c r="L29" s="22" t="n"/>
      <c r="M29" s="22" t="n"/>
      <c r="N29" s="22" t="n"/>
    </row>
    <row r="30" ht="96" customHeight="1" s="104">
      <c r="A30" s="24" t="n"/>
      <c r="B30" s="151" t="n"/>
      <c r="C30" s="17" t="inlineStr">
        <is>
          <t>8.5.3</t>
        </is>
      </c>
      <c r="D30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E30" s="21" t="n"/>
      <c r="F30" s="76" t="n"/>
      <c r="G30" s="27" t="n"/>
      <c r="H30" s="27" t="inlineStr">
        <is>
          <t>x</t>
        </is>
      </c>
      <c r="I30" s="35" t="inlineStr">
        <is>
          <t xml:space="preserve">- PSQ.022 - Procedimento de Não Conformidade-Ações Corretivas e Preventivas
</t>
        </is>
      </c>
      <c r="J30" s="35" t="inlineStr">
        <is>
          <t>- Gerar evidências para as tratativas de RNC, 8D e A3.
(incluso no plano junto ao item 7.1)</t>
        </is>
      </c>
      <c r="K30" s="128" t="n"/>
      <c r="L30" s="22" t="n"/>
      <c r="M30" s="22" t="n"/>
      <c r="N30" s="22" t="n"/>
    </row>
    <row r="31" ht="13.2" customHeight="1" s="104">
      <c r="B31" s="90" t="n"/>
      <c r="E31" s="39">
        <f>COUNTIF(E3:E30,"X")</f>
        <v/>
      </c>
      <c r="F31" s="39">
        <f>COUNTIF(F3:F30,"X")</f>
        <v/>
      </c>
      <c r="G31" s="39">
        <f>COUNTIF(G3:G30,"X")</f>
        <v/>
      </c>
      <c r="H31" s="39">
        <f>COUNTIF(H3:H30,"X")</f>
        <v/>
      </c>
    </row>
    <row r="32" ht="13.2" customHeight="1" s="104">
      <c r="B32" s="90" t="n"/>
    </row>
    <row r="33" ht="13.2" customHeight="1" s="104">
      <c r="B33" s="90" t="n"/>
    </row>
    <row r="34" ht="13.2" customHeight="1" s="104">
      <c r="B34" s="90" t="n"/>
    </row>
    <row r="35" ht="13.2" customHeight="1" s="104">
      <c r="B35" s="90" t="n"/>
    </row>
    <row r="36" ht="13.2" customHeight="1" s="104">
      <c r="B36" s="90" t="n"/>
    </row>
    <row r="37" ht="13.2" customHeight="1" s="104">
      <c r="B37" s="90" t="n"/>
    </row>
    <row r="38" ht="13.2" customHeight="1" s="104">
      <c r="B38" s="90" t="n"/>
    </row>
    <row r="39" ht="13.2" customHeight="1" s="104">
      <c r="B39" s="90" t="n"/>
    </row>
    <row r="40" ht="13.2" customHeight="1" s="104">
      <c r="B40" s="90" t="n"/>
    </row>
    <row r="41" ht="13.2" customHeight="1" s="104">
      <c r="B41" s="90" t="n"/>
    </row>
    <row r="42" ht="13.2" customHeight="1" s="104">
      <c r="B42" s="90" t="n"/>
    </row>
    <row r="43" ht="13.2" customHeight="1" s="104">
      <c r="B43" s="90" t="n"/>
    </row>
    <row r="44" ht="13.2" customHeight="1" s="104">
      <c r="B44" s="90" t="n"/>
    </row>
    <row r="45" ht="13.2" customHeight="1" s="104">
      <c r="B45" s="90" t="n"/>
    </row>
    <row r="46" ht="13.2" customHeight="1" s="104">
      <c r="B46" s="90" t="n"/>
    </row>
    <row r="47" ht="13.2" customHeight="1" s="104">
      <c r="B47" s="90" t="n"/>
    </row>
    <row r="48" ht="13.2" customHeight="1" s="104">
      <c r="B48" s="90" t="n"/>
    </row>
    <row r="49" ht="13.2" customHeight="1" s="104">
      <c r="B49" s="90" t="n"/>
    </row>
    <row r="50" ht="13.2" customHeight="1" s="104">
      <c r="B50" s="90" t="n"/>
    </row>
    <row r="51" ht="13.2" customHeight="1" s="104">
      <c r="B51" s="90" t="n"/>
    </row>
    <row r="52" ht="13.2" customHeight="1" s="104">
      <c r="B52" s="90" t="n"/>
    </row>
    <row r="53" ht="13.2" customHeight="1" s="104">
      <c r="B53" s="90" t="n"/>
    </row>
    <row r="54" ht="13.2" customHeight="1" s="104">
      <c r="B54" s="90" t="n"/>
    </row>
    <row r="55" ht="13.2" customHeight="1" s="104">
      <c r="B55" s="90" t="n"/>
    </row>
    <row r="56" ht="13.2" customHeight="1" s="104">
      <c r="B56" s="90" t="n"/>
    </row>
    <row r="57" ht="13.2" customHeight="1" s="104">
      <c r="B57" s="90" t="n"/>
    </row>
    <row r="58" ht="13.2" customHeight="1" s="104">
      <c r="B58" s="90" t="n"/>
    </row>
    <row r="59" ht="13.2" customHeight="1" s="104">
      <c r="B59" s="90" t="n"/>
    </row>
    <row r="60" ht="13.2" customHeight="1" s="104">
      <c r="B60" s="90" t="n"/>
    </row>
    <row r="61" ht="13.2" customHeight="1" s="104">
      <c r="B61" s="90" t="n"/>
    </row>
    <row r="62" ht="13.2" customHeight="1" s="104">
      <c r="B62" s="90" t="n"/>
    </row>
    <row r="63" ht="13.2" customHeight="1" s="104">
      <c r="B63" s="90" t="n"/>
    </row>
    <row r="64" ht="13.2" customHeight="1" s="104">
      <c r="B64" s="90" t="n"/>
    </row>
    <row r="65" ht="13.2" customHeight="1" s="104">
      <c r="B65" s="90" t="n"/>
    </row>
    <row r="66" ht="13.2" customHeight="1" s="104">
      <c r="B66" s="90" t="n"/>
    </row>
    <row r="67" ht="13.2" customHeight="1" s="104">
      <c r="B67" s="90" t="n"/>
    </row>
    <row r="68" ht="13.2" customHeight="1" s="104">
      <c r="B68" s="90" t="n"/>
    </row>
    <row r="69" ht="13.2" customHeight="1" s="104">
      <c r="B69" s="90" t="n"/>
    </row>
    <row r="70" ht="13.2" customHeight="1" s="104">
      <c r="B70" s="90" t="n"/>
    </row>
    <row r="71" ht="13.2" customHeight="1" s="104">
      <c r="B71" s="90" t="n"/>
    </row>
    <row r="72" ht="13.2" customHeight="1" s="104">
      <c r="B72" s="90" t="n"/>
    </row>
    <row r="73" ht="13.2" customHeight="1" s="104">
      <c r="B73" s="90" t="n"/>
    </row>
    <row r="74" ht="13.2" customHeight="1" s="104">
      <c r="B74" s="90" t="n"/>
    </row>
    <row r="75" ht="13.2" customHeight="1" s="104">
      <c r="B75" s="90" t="n"/>
    </row>
    <row r="76" ht="13.2" customHeight="1" s="104">
      <c r="B76" s="90" t="n"/>
    </row>
    <row r="77" ht="13.2" customHeight="1" s="104">
      <c r="B77" s="90" t="n"/>
    </row>
    <row r="78" ht="13.2" customHeight="1" s="104">
      <c r="B78" s="90" t="n"/>
    </row>
    <row r="79" ht="13.2" customHeight="1" s="104">
      <c r="B79" s="90" t="n"/>
    </row>
    <row r="80" ht="13.2" customHeight="1" s="104">
      <c r="B80" s="90" t="n"/>
    </row>
    <row r="81" ht="13.2" customHeight="1" s="104">
      <c r="B81" s="90" t="n"/>
    </row>
    <row r="82" ht="13.2" customHeight="1" s="104">
      <c r="B82" s="90" t="n"/>
    </row>
    <row r="83" ht="13.2" customHeight="1" s="104">
      <c r="B83" s="90" t="n"/>
    </row>
    <row r="84" ht="13.2" customHeight="1" s="104">
      <c r="B84" s="90" t="n"/>
    </row>
    <row r="85" ht="13.2" customHeight="1" s="104">
      <c r="B85" s="90" t="n"/>
    </row>
    <row r="86" ht="13.2" customHeight="1" s="104">
      <c r="B86" s="90" t="n"/>
    </row>
    <row r="87" ht="13.2" customHeight="1" s="104">
      <c r="B87" s="90" t="n"/>
    </row>
    <row r="88" ht="13.2" customHeight="1" s="104">
      <c r="B88" s="90" t="n"/>
    </row>
    <row r="89" ht="13.2" customHeight="1" s="104">
      <c r="B89" s="90" t="n"/>
    </row>
    <row r="90" ht="13.2" customHeight="1" s="104">
      <c r="B90" s="90" t="n"/>
    </row>
    <row r="91" ht="13.2" customHeight="1" s="104">
      <c r="B91" s="90" t="n"/>
    </row>
    <row r="92" ht="13.2" customHeight="1" s="104">
      <c r="B92" s="90" t="n"/>
    </row>
    <row r="93" ht="13.2" customHeight="1" s="104">
      <c r="B93" s="90" t="n"/>
    </row>
    <row r="94" ht="13.2" customHeight="1" s="104">
      <c r="B94" s="90" t="n"/>
    </row>
    <row r="95" ht="13.2" customHeight="1" s="104">
      <c r="B95" s="90" t="n"/>
    </row>
    <row r="96" ht="13.2" customHeight="1" s="104">
      <c r="B96" s="90" t="n"/>
    </row>
    <row r="97" ht="13.2" customHeight="1" s="104">
      <c r="B97" s="90" t="n"/>
    </row>
    <row r="98" ht="13.2" customHeight="1" s="104">
      <c r="B98" s="90" t="n"/>
    </row>
    <row r="99" ht="13.2" customHeight="1" s="104">
      <c r="B99" s="90" t="n"/>
    </row>
    <row r="100" ht="13.2" customHeight="1" s="104">
      <c r="B100" s="90" t="n"/>
    </row>
    <row r="101" ht="13.2" customHeight="1" s="104">
      <c r="B101" s="90" t="n"/>
    </row>
    <row r="102" ht="13.2" customHeight="1" s="104">
      <c r="B102" s="90" t="n"/>
    </row>
    <row r="103" ht="13.2" customHeight="1" s="104">
      <c r="B103" s="90" t="n"/>
    </row>
    <row r="104" ht="13.2" customHeight="1" s="104">
      <c r="B104" s="90" t="n"/>
    </row>
    <row r="105" ht="13.2" customHeight="1" s="104">
      <c r="B105" s="90" t="n"/>
    </row>
    <row r="106" ht="13.2" customHeight="1" s="104">
      <c r="B106" s="90" t="n"/>
    </row>
    <row r="107" ht="13.2" customHeight="1" s="104">
      <c r="B107" s="90" t="n"/>
    </row>
    <row r="108" ht="13.2" customHeight="1" s="104">
      <c r="B108" s="90" t="n"/>
    </row>
    <row r="109" ht="13.2" customHeight="1" s="104">
      <c r="B109" s="90" t="n"/>
    </row>
    <row r="110" ht="13.2" customHeight="1" s="104">
      <c r="B110" s="90" t="n"/>
    </row>
    <row r="111" ht="13.2" customHeight="1" s="104">
      <c r="B111" s="90" t="n"/>
    </row>
    <row r="112" ht="13.2" customHeight="1" s="104">
      <c r="B112" s="90" t="n"/>
    </row>
    <row r="113" ht="13.2" customHeight="1" s="104">
      <c r="B113" s="90" t="n"/>
    </row>
    <row r="114" ht="13.2" customHeight="1" s="104">
      <c r="B114" s="90" t="n"/>
    </row>
    <row r="115" ht="13.2" customHeight="1" s="104">
      <c r="B115" s="90" t="n"/>
    </row>
    <row r="116" ht="13.2" customHeight="1" s="104">
      <c r="B116" s="90" t="n"/>
    </row>
    <row r="117" ht="13.2" customHeight="1" s="104">
      <c r="B117" s="90" t="n"/>
    </row>
    <row r="118" ht="13.2" customHeight="1" s="104">
      <c r="B118" s="90" t="n"/>
    </row>
    <row r="119" ht="13.2" customHeight="1" s="104">
      <c r="B119" s="90" t="n"/>
    </row>
    <row r="120" ht="13.2" customHeight="1" s="104">
      <c r="B120" s="90" t="n"/>
    </row>
    <row r="121" ht="13.2" customHeight="1" s="104">
      <c r="B121" s="90" t="n"/>
    </row>
    <row r="122" ht="13.2" customHeight="1" s="104">
      <c r="B122" s="90" t="n"/>
    </row>
    <row r="123" ht="13.2" customHeight="1" s="104">
      <c r="B123" s="90" t="n"/>
    </row>
    <row r="124" ht="13.2" customHeight="1" s="104">
      <c r="B124" s="90" t="n"/>
    </row>
    <row r="125" ht="13.2" customHeight="1" s="104">
      <c r="B125" s="90" t="n"/>
    </row>
    <row r="126" ht="13.2" customHeight="1" s="104">
      <c r="B126" s="90" t="n"/>
    </row>
    <row r="127" ht="13.2" customHeight="1" s="104">
      <c r="B127" s="90" t="n"/>
    </row>
    <row r="128" ht="13.2" customHeight="1" s="104">
      <c r="B128" s="90" t="n"/>
    </row>
    <row r="129" ht="13.2" customHeight="1" s="104">
      <c r="B129" s="90" t="n"/>
    </row>
    <row r="130" ht="13.2" customHeight="1" s="104">
      <c r="B130" s="90" t="n"/>
    </row>
    <row r="131" ht="13.2" customHeight="1" s="104">
      <c r="B131" s="90" t="n"/>
    </row>
    <row r="132" ht="13.2" customHeight="1" s="104">
      <c r="B132" s="90" t="n"/>
    </row>
    <row r="133" ht="13.2" customHeight="1" s="104">
      <c r="B133" s="90" t="n"/>
    </row>
    <row r="134" ht="13.2" customHeight="1" s="104">
      <c r="B134" s="90" t="n"/>
    </row>
    <row r="135" ht="13.2" customHeight="1" s="104">
      <c r="B135" s="90" t="n"/>
    </row>
    <row r="136" ht="13.2" customHeight="1" s="104">
      <c r="B136" s="90" t="n"/>
    </row>
    <row r="137" ht="13.2" customHeight="1" s="104">
      <c r="B137" s="90" t="n"/>
    </row>
    <row r="138" ht="13.2" customHeight="1" s="104">
      <c r="B138" s="90" t="n"/>
    </row>
    <row r="139" ht="13.2" customHeight="1" s="104">
      <c r="B139" s="90" t="n"/>
    </row>
    <row r="140" ht="13.2" customHeight="1" s="104">
      <c r="B140" s="90" t="n"/>
    </row>
    <row r="141" ht="13.2" customHeight="1" s="104">
      <c r="B141" s="90" t="n"/>
    </row>
    <row r="142" ht="13.2" customHeight="1" s="104">
      <c r="B142" s="90" t="n"/>
    </row>
    <row r="143" ht="13.2" customHeight="1" s="104">
      <c r="B143" s="90" t="n"/>
    </row>
    <row r="144" ht="13.2" customHeight="1" s="104">
      <c r="B144" s="90" t="n"/>
    </row>
    <row r="145" ht="13.2" customHeight="1" s="104">
      <c r="B145" s="90" t="n"/>
    </row>
    <row r="146" ht="13.2" customHeight="1" s="104">
      <c r="B146" s="90" t="n"/>
    </row>
    <row r="147" ht="13.2" customHeight="1" s="104">
      <c r="B147" s="90" t="n"/>
    </row>
    <row r="148" ht="13.2" customHeight="1" s="104">
      <c r="B148" s="90" t="n"/>
    </row>
    <row r="149" ht="13.2" customHeight="1" s="104">
      <c r="B149" s="90" t="n"/>
    </row>
    <row r="150" ht="13.2" customHeight="1" s="104">
      <c r="B150" s="90" t="n"/>
    </row>
    <row r="151" ht="13.2" customHeight="1" s="104">
      <c r="B151" s="90" t="n"/>
    </row>
    <row r="152" ht="13.2" customHeight="1" s="104">
      <c r="B152" s="90" t="n"/>
    </row>
    <row r="153" ht="13.2" customHeight="1" s="104">
      <c r="B153" s="90" t="n"/>
    </row>
    <row r="154" ht="13.2" customHeight="1" s="104">
      <c r="B154" s="90" t="n"/>
    </row>
    <row r="155" ht="13.2" customHeight="1" s="104">
      <c r="B155" s="90" t="n"/>
    </row>
    <row r="156" ht="13.2" customHeight="1" s="104">
      <c r="B156" s="90" t="n"/>
    </row>
    <row r="157" ht="13.2" customHeight="1" s="104">
      <c r="B157" s="90" t="n"/>
    </row>
    <row r="158" ht="13.2" customHeight="1" s="104">
      <c r="B158" s="90" t="n"/>
    </row>
    <row r="159" ht="13.2" customHeight="1" s="104">
      <c r="B159" s="90" t="n"/>
    </row>
    <row r="160" ht="13.2" customHeight="1" s="104">
      <c r="B160" s="90" t="n"/>
    </row>
    <row r="161" ht="13.2" customHeight="1" s="104">
      <c r="B161" s="90" t="n"/>
    </row>
    <row r="162" ht="13.2" customHeight="1" s="104">
      <c r="B162" s="90" t="n"/>
    </row>
    <row r="163" ht="13.2" customHeight="1" s="104">
      <c r="B163" s="90" t="n"/>
    </row>
    <row r="164" ht="13.2" customHeight="1" s="104">
      <c r="B164" s="90" t="n"/>
    </row>
    <row r="165" ht="13.2" customHeight="1" s="104">
      <c r="B165" s="90" t="n"/>
    </row>
    <row r="166" ht="13.2" customHeight="1" s="104">
      <c r="B166" s="90" t="n"/>
    </row>
    <row r="167" ht="13.2" customHeight="1" s="104">
      <c r="B167" s="90" t="n"/>
    </row>
    <row r="168" ht="13.2" customHeight="1" s="104">
      <c r="B168" s="90" t="n"/>
    </row>
    <row r="169" ht="13.2" customHeight="1" s="104">
      <c r="B169" s="90" t="n"/>
    </row>
    <row r="170" ht="13.2" customHeight="1" s="104">
      <c r="B170" s="90" t="n"/>
    </row>
    <row r="171" ht="13.2" customHeight="1" s="104">
      <c r="B171" s="90" t="n"/>
    </row>
    <row r="172" ht="13.2" customHeight="1" s="104">
      <c r="B172" s="90" t="n"/>
    </row>
    <row r="173" ht="13.2" customHeight="1" s="104">
      <c r="B173" s="90" t="n"/>
    </row>
    <row r="174" ht="13.2" customHeight="1" s="104">
      <c r="B174" s="90" t="n"/>
    </row>
    <row r="175" ht="13.2" customHeight="1" s="104">
      <c r="B175" s="90" t="n"/>
    </row>
    <row r="176" ht="13.2" customHeight="1" s="104">
      <c r="B176" s="90" t="n"/>
    </row>
    <row r="177" ht="13.2" customHeight="1" s="104">
      <c r="B177" s="90" t="n"/>
    </row>
    <row r="178" ht="13.2" customHeight="1" s="104">
      <c r="B178" s="90" t="n"/>
    </row>
    <row r="179" ht="13.2" customHeight="1" s="104">
      <c r="B179" s="90" t="n"/>
    </row>
    <row r="180" ht="13.2" customHeight="1" s="104">
      <c r="B180" s="90" t="n"/>
    </row>
    <row r="181" ht="13.2" customHeight="1" s="104">
      <c r="B181" s="90" t="n"/>
    </row>
    <row r="182" ht="13.2" customHeight="1" s="104">
      <c r="B182" s="90" t="n"/>
    </row>
    <row r="183" ht="13.2" customHeight="1" s="104">
      <c r="B183" s="90" t="n"/>
    </row>
    <row r="184" ht="13.2" customHeight="1" s="104">
      <c r="B184" s="90" t="n"/>
    </row>
    <row r="185" ht="13.2" customHeight="1" s="104">
      <c r="B185" s="90" t="n"/>
    </row>
    <row r="186" ht="13.2" customHeight="1" s="104">
      <c r="B186" s="90" t="n"/>
    </row>
    <row r="187" ht="13.2" customHeight="1" s="104">
      <c r="B187" s="90" t="n"/>
    </row>
    <row r="188" ht="13.2" customHeight="1" s="104">
      <c r="B188" s="90" t="n"/>
    </row>
    <row r="189" ht="13.2" customHeight="1" s="104">
      <c r="B189" s="90" t="n"/>
    </row>
    <row r="190" ht="13.2" customHeight="1" s="104">
      <c r="B190" s="90" t="n"/>
    </row>
    <row r="191" ht="13.2" customHeight="1" s="104">
      <c r="B191" s="90" t="n"/>
    </row>
    <row r="192" ht="13.2" customHeight="1" s="104">
      <c r="B192" s="90" t="n"/>
    </row>
    <row r="193" ht="13.2" customHeight="1" s="104">
      <c r="B193" s="90" t="n"/>
    </row>
    <row r="194" ht="13.2" customHeight="1" s="104">
      <c r="B194" s="90" t="n"/>
    </row>
    <row r="195" ht="13.2" customHeight="1" s="104">
      <c r="B195" s="90" t="n"/>
    </row>
    <row r="196" ht="13.2" customHeight="1" s="104">
      <c r="B196" s="90" t="n"/>
    </row>
    <row r="197" ht="13.2" customHeight="1" s="104">
      <c r="B197" s="90" t="n"/>
    </row>
    <row r="198" ht="13.2" customHeight="1" s="104">
      <c r="B198" s="90" t="n"/>
    </row>
    <row r="199" ht="13.2" customHeight="1" s="104">
      <c r="B199" s="90" t="n"/>
    </row>
    <row r="200" ht="13.2" customHeight="1" s="104">
      <c r="B200" s="90" t="n"/>
    </row>
    <row r="201" ht="13.2" customHeight="1" s="104">
      <c r="B201" s="90" t="n"/>
    </row>
    <row r="202" ht="13.2" customHeight="1" s="104">
      <c r="B202" s="90" t="n"/>
    </row>
    <row r="203" ht="13.2" customHeight="1" s="104">
      <c r="B203" s="90" t="n"/>
    </row>
    <row r="204" ht="13.2" customHeight="1" s="104">
      <c r="B204" s="90" t="n"/>
    </row>
    <row r="205" ht="13.2" customHeight="1" s="104">
      <c r="B205" s="90" t="n"/>
    </row>
    <row r="206" ht="13.2" customHeight="1" s="104">
      <c r="B206" s="90" t="n"/>
    </row>
    <row r="207" ht="13.2" customHeight="1" s="104">
      <c r="B207" s="90" t="n"/>
    </row>
    <row r="208" ht="13.2" customHeight="1" s="104">
      <c r="B208" s="90" t="n"/>
    </row>
    <row r="209" ht="13.2" customHeight="1" s="104">
      <c r="B209" s="90" t="n"/>
    </row>
    <row r="210" ht="13.2" customHeight="1" s="104">
      <c r="B210" s="90" t="n"/>
    </row>
    <row r="211" ht="13.2" customHeight="1" s="104">
      <c r="B211" s="90" t="n"/>
    </row>
    <row r="212" ht="13.2" customHeight="1" s="104">
      <c r="B212" s="90" t="n"/>
    </row>
    <row r="213" ht="13.2" customHeight="1" s="104">
      <c r="B213" s="90" t="n"/>
    </row>
    <row r="214" ht="13.2" customHeight="1" s="104">
      <c r="B214" s="90" t="n"/>
    </row>
    <row r="215" ht="13.2" customHeight="1" s="104">
      <c r="B215" s="90" t="n"/>
    </row>
    <row r="216" ht="13.2" customHeight="1" s="104">
      <c r="B216" s="90" t="n"/>
    </row>
    <row r="217" ht="13.2" customHeight="1" s="104">
      <c r="B217" s="90" t="n"/>
    </row>
    <row r="218" ht="13.2" customHeight="1" s="104">
      <c r="B218" s="90" t="n"/>
    </row>
    <row r="219" ht="13.2" customHeight="1" s="104">
      <c r="B219" s="90" t="n"/>
    </row>
    <row r="220" ht="13.2" customHeight="1" s="104">
      <c r="B220" s="90" t="n"/>
    </row>
    <row r="221" ht="13.2" customHeight="1" s="104">
      <c r="B221" s="90" t="n"/>
    </row>
    <row r="222" ht="13.2" customHeight="1" s="104">
      <c r="B222" s="90" t="n"/>
    </row>
    <row r="223" ht="13.2" customHeight="1" s="104">
      <c r="B223" s="90" t="n"/>
    </row>
    <row r="224" ht="13.2" customHeight="1" s="104">
      <c r="B224" s="90" t="n"/>
    </row>
    <row r="225" ht="13.2" customHeight="1" s="104">
      <c r="B225" s="90" t="n"/>
    </row>
    <row r="226" ht="13.2" customHeight="1" s="104">
      <c r="B226" s="90" t="n"/>
    </row>
    <row r="227" ht="13.2" customHeight="1" s="104">
      <c r="B227" s="90" t="n"/>
    </row>
    <row r="228" ht="13.2" customHeight="1" s="104">
      <c r="B228" s="90" t="n"/>
    </row>
    <row r="229" ht="13.2" customHeight="1" s="104">
      <c r="B229" s="90" t="n"/>
    </row>
    <row r="230" ht="13.2" customHeight="1" s="104">
      <c r="B230" s="90" t="n"/>
    </row>
    <row r="231" ht="13.2" customHeight="1" s="104">
      <c r="B231" s="90" t="n"/>
    </row>
    <row r="232" ht="13.2" customHeight="1" s="104">
      <c r="B232" s="90" t="n"/>
    </row>
    <row r="233" ht="13.2" customHeight="1" s="104">
      <c r="B233" s="90" t="n"/>
    </row>
    <row r="234" ht="13.2" customHeight="1" s="104">
      <c r="B234" s="90" t="n"/>
    </row>
    <row r="235" ht="13.2" customHeight="1" s="104">
      <c r="B235" s="90" t="n"/>
    </row>
    <row r="236" ht="13.2" customHeight="1" s="104">
      <c r="B236" s="90" t="n"/>
    </row>
    <row r="237" ht="13.2" customHeight="1" s="104">
      <c r="B237" s="90" t="n"/>
    </row>
    <row r="238" ht="13.2" customHeight="1" s="104">
      <c r="B238" s="90" t="n"/>
    </row>
    <row r="239" ht="13.2" customHeight="1" s="104">
      <c r="B239" s="90" t="n"/>
    </row>
    <row r="240" ht="13.2" customHeight="1" s="104">
      <c r="B240" s="90" t="n"/>
    </row>
    <row r="241" ht="13.2" customHeight="1" s="104">
      <c r="B241" s="90" t="n"/>
    </row>
    <row r="242" ht="13.2" customHeight="1" s="104">
      <c r="B242" s="90" t="n"/>
    </row>
    <row r="243" ht="13.2" customHeight="1" s="104">
      <c r="B243" s="90" t="n"/>
    </row>
    <row r="244" ht="13.2" customHeight="1" s="104">
      <c r="B244" s="90" t="n"/>
    </row>
    <row r="245" ht="13.2" customHeight="1" s="104">
      <c r="B245" s="90" t="n"/>
    </row>
    <row r="246" ht="13.2" customHeight="1" s="104">
      <c r="B246" s="90" t="n"/>
    </row>
    <row r="247" ht="13.2" customHeight="1" s="104">
      <c r="B247" s="90" t="n"/>
    </row>
    <row r="248" ht="13.2" customHeight="1" s="104">
      <c r="B248" s="90" t="n"/>
    </row>
    <row r="249" ht="13.2" customHeight="1" s="104">
      <c r="B249" s="90" t="n"/>
    </row>
    <row r="250" ht="13.2" customHeight="1" s="104">
      <c r="B250" s="90" t="n"/>
    </row>
    <row r="251" ht="13.2" customHeight="1" s="104">
      <c r="B251" s="90" t="n"/>
    </row>
    <row r="252" ht="13.2" customHeight="1" s="104">
      <c r="B252" s="90" t="n"/>
    </row>
    <row r="253" ht="13.2" customHeight="1" s="104">
      <c r="B253" s="90" t="n"/>
    </row>
    <row r="254" ht="13.2" customHeight="1" s="104">
      <c r="B254" s="90" t="n"/>
    </row>
    <row r="255" ht="13.2" customHeight="1" s="104">
      <c r="B255" s="90" t="n"/>
    </row>
    <row r="256" ht="13.2" customHeight="1" s="104">
      <c r="B256" s="90" t="n"/>
    </row>
    <row r="257" ht="13.2" customHeight="1" s="104">
      <c r="B257" s="90" t="n"/>
    </row>
    <row r="258" ht="13.2" customHeight="1" s="104">
      <c r="B258" s="90" t="n"/>
    </row>
    <row r="259" ht="13.2" customHeight="1" s="104">
      <c r="B259" s="90" t="n"/>
    </row>
    <row r="260" ht="13.2" customHeight="1" s="104">
      <c r="B260" s="90" t="n"/>
    </row>
    <row r="261" ht="13.2" customHeight="1" s="104">
      <c r="B261" s="90" t="n"/>
    </row>
    <row r="262" ht="13.2" customHeight="1" s="104">
      <c r="B262" s="90" t="n"/>
    </row>
    <row r="263" ht="13.2" customHeight="1" s="104">
      <c r="B263" s="90" t="n"/>
    </row>
    <row r="264" ht="13.2" customHeight="1" s="104">
      <c r="B264" s="90" t="n"/>
    </row>
    <row r="265" ht="13.2" customHeight="1" s="104">
      <c r="B265" s="90" t="n"/>
    </row>
    <row r="266" ht="13.2" customHeight="1" s="104">
      <c r="B266" s="90" t="n"/>
    </row>
    <row r="267" ht="13.2" customHeight="1" s="104">
      <c r="B267" s="90" t="n"/>
    </row>
    <row r="268" ht="13.2" customHeight="1" s="104">
      <c r="B268" s="90" t="n"/>
    </row>
    <row r="269" ht="13.2" customHeight="1" s="104">
      <c r="B269" s="90" t="n"/>
    </row>
    <row r="270" ht="13.2" customHeight="1" s="104">
      <c r="B270" s="90" t="n"/>
    </row>
    <row r="271" ht="13.2" customHeight="1" s="104">
      <c r="B271" s="90" t="n"/>
    </row>
    <row r="272" ht="13.2" customHeight="1" s="104">
      <c r="B272" s="90" t="n"/>
    </row>
    <row r="273" ht="13.2" customHeight="1" s="104">
      <c r="B273" s="90" t="n"/>
    </row>
    <row r="274" ht="13.2" customHeight="1" s="104">
      <c r="B274" s="90" t="n"/>
    </row>
    <row r="275" ht="13.2" customHeight="1" s="104">
      <c r="B275" s="90" t="n"/>
    </row>
    <row r="276" ht="13.2" customHeight="1" s="104">
      <c r="B276" s="90" t="n"/>
    </row>
    <row r="277" ht="13.2" customHeight="1" s="104">
      <c r="B277" s="90" t="n"/>
    </row>
    <row r="278" ht="13.2" customHeight="1" s="104">
      <c r="B278" s="90" t="n"/>
    </row>
    <row r="279" ht="13.2" customHeight="1" s="104">
      <c r="B279" s="90" t="n"/>
    </row>
    <row r="280" ht="13.2" customHeight="1" s="104">
      <c r="B280" s="90" t="n"/>
    </row>
    <row r="281" ht="13.2" customHeight="1" s="104">
      <c r="B281" s="90" t="n"/>
    </row>
    <row r="282" ht="13.2" customHeight="1" s="104">
      <c r="B282" s="90" t="n"/>
    </row>
    <row r="283" ht="13.2" customHeight="1" s="104">
      <c r="B283" s="90" t="n"/>
    </row>
    <row r="284" ht="13.2" customHeight="1" s="104">
      <c r="B284" s="90" t="n"/>
    </row>
    <row r="285" ht="13.2" customHeight="1" s="104">
      <c r="B285" s="90" t="n"/>
    </row>
    <row r="286" ht="13.2" customHeight="1" s="104">
      <c r="B286" s="90" t="n"/>
    </row>
    <row r="287" ht="13.2" customHeight="1" s="104">
      <c r="B287" s="90" t="n"/>
    </row>
    <row r="288" ht="13.2" customHeight="1" s="104">
      <c r="B288" s="90" t="n"/>
    </row>
    <row r="289" ht="13.2" customHeight="1" s="104">
      <c r="B289" s="90" t="n"/>
    </row>
    <row r="290" ht="13.2" customHeight="1" s="104">
      <c r="B290" s="90" t="n"/>
    </row>
    <row r="291" ht="13.2" customHeight="1" s="104">
      <c r="B291" s="90" t="n"/>
    </row>
    <row r="292" ht="13.2" customHeight="1" s="104">
      <c r="B292" s="90" t="n"/>
    </row>
    <row r="293" ht="13.2" customHeight="1" s="104">
      <c r="B293" s="90" t="n"/>
    </row>
    <row r="294" ht="13.2" customHeight="1" s="104">
      <c r="B294" s="90" t="n"/>
    </row>
    <row r="295" ht="13.2" customHeight="1" s="104">
      <c r="B295" s="90" t="n"/>
    </row>
    <row r="296" ht="13.2" customHeight="1" s="104">
      <c r="B296" s="90" t="n"/>
    </row>
    <row r="297" ht="13.2" customHeight="1" s="104">
      <c r="B297" s="90" t="n"/>
    </row>
    <row r="298" ht="13.2" customHeight="1" s="104">
      <c r="B298" s="90" t="n"/>
    </row>
    <row r="299" ht="13.2" customHeight="1" s="104">
      <c r="B299" s="90" t="n"/>
    </row>
    <row r="300" ht="13.2" customHeight="1" s="104">
      <c r="B300" s="90" t="n"/>
    </row>
    <row r="301" ht="13.2" customHeight="1" s="104">
      <c r="B301" s="90" t="n"/>
    </row>
    <row r="302" ht="13.2" customHeight="1" s="104">
      <c r="B302" s="90" t="n"/>
    </row>
    <row r="303" ht="13.2" customHeight="1" s="104">
      <c r="B303" s="90" t="n"/>
    </row>
    <row r="304" ht="13.2" customHeight="1" s="104">
      <c r="B304" s="90" t="n"/>
    </row>
    <row r="305" ht="13.2" customHeight="1" s="104">
      <c r="B305" s="90" t="n"/>
    </row>
    <row r="306" ht="13.2" customHeight="1" s="104">
      <c r="B306" s="90" t="n"/>
    </row>
    <row r="307" ht="13.2" customHeight="1" s="104">
      <c r="B307" s="90" t="n"/>
    </row>
    <row r="308" ht="13.2" customHeight="1" s="104">
      <c r="B308" s="90" t="n"/>
    </row>
    <row r="309" ht="13.2" customHeight="1" s="104">
      <c r="B309" s="90" t="n"/>
    </row>
    <row r="310" ht="13.2" customHeight="1" s="104">
      <c r="B310" s="90" t="n"/>
    </row>
    <row r="311" ht="13.2" customHeight="1" s="104">
      <c r="B311" s="90" t="n"/>
    </row>
    <row r="312" ht="13.2" customHeight="1" s="104">
      <c r="B312" s="90" t="n"/>
    </row>
    <row r="313" ht="13.2" customHeight="1" s="104">
      <c r="B313" s="90" t="n"/>
    </row>
    <row r="314" ht="13.2" customHeight="1" s="104">
      <c r="B314" s="90" t="n"/>
    </row>
    <row r="315" ht="13.2" customHeight="1" s="104">
      <c r="B315" s="90" t="n"/>
    </row>
    <row r="316" ht="13.2" customHeight="1" s="104">
      <c r="B316" s="90" t="n"/>
    </row>
    <row r="317" ht="13.2" customHeight="1" s="104">
      <c r="B317" s="90" t="n"/>
    </row>
    <row r="318" ht="13.2" customHeight="1" s="104">
      <c r="B318" s="90" t="n"/>
    </row>
    <row r="319" ht="13.2" customHeight="1" s="104">
      <c r="B319" s="90" t="n"/>
    </row>
    <row r="320" ht="13.2" customHeight="1" s="104">
      <c r="B320" s="90" t="n"/>
    </row>
    <row r="321" ht="13.2" customHeight="1" s="104">
      <c r="B321" s="90" t="n"/>
    </row>
    <row r="322" ht="13.2" customHeight="1" s="104">
      <c r="B322" s="90" t="n"/>
    </row>
    <row r="323" ht="13.2" customHeight="1" s="104">
      <c r="B323" s="90" t="n"/>
    </row>
    <row r="324" ht="13.2" customHeight="1" s="104">
      <c r="B324" s="90" t="n"/>
    </row>
    <row r="325" ht="13.2" customHeight="1" s="104">
      <c r="B325" s="90" t="n"/>
    </row>
    <row r="326" ht="13.2" customHeight="1" s="104">
      <c r="B326" s="90" t="n"/>
    </row>
    <row r="327" ht="13.2" customHeight="1" s="104">
      <c r="B327" s="90" t="n"/>
    </row>
    <row r="328" ht="13.2" customHeight="1" s="104">
      <c r="B328" s="90" t="n"/>
    </row>
    <row r="329" ht="13.2" customHeight="1" s="104">
      <c r="B329" s="90" t="n"/>
    </row>
    <row r="330" ht="13.2" customHeight="1" s="104">
      <c r="B330" s="90" t="n"/>
    </row>
    <row r="331" ht="13.2" customHeight="1" s="104">
      <c r="B331" s="90" t="n"/>
    </row>
    <row r="332" ht="13.2" customHeight="1" s="104">
      <c r="B332" s="90" t="n"/>
    </row>
    <row r="333" ht="13.2" customHeight="1" s="104">
      <c r="B333" s="90" t="n"/>
    </row>
    <row r="334" ht="13.2" customHeight="1" s="104">
      <c r="B334" s="90" t="n"/>
    </row>
    <row r="335" ht="13.2" customHeight="1" s="104">
      <c r="B335" s="90" t="n"/>
    </row>
    <row r="336" ht="13.2" customHeight="1" s="104">
      <c r="B336" s="90" t="n"/>
    </row>
    <row r="337" ht="13.2" customHeight="1" s="104">
      <c r="B337" s="90" t="n"/>
    </row>
    <row r="338" ht="13.2" customHeight="1" s="104">
      <c r="B338" s="90" t="n"/>
    </row>
    <row r="339" ht="13.2" customHeight="1" s="104">
      <c r="B339" s="90" t="n"/>
    </row>
    <row r="340" ht="13.2" customHeight="1" s="104">
      <c r="B340" s="90" t="n"/>
    </row>
    <row r="341" ht="13.2" customHeight="1" s="104">
      <c r="B341" s="90" t="n"/>
    </row>
    <row r="342" ht="13.2" customHeight="1" s="104">
      <c r="B342" s="90" t="n"/>
    </row>
    <row r="343" ht="13.2" customHeight="1" s="104">
      <c r="B343" s="90" t="n"/>
    </row>
    <row r="344" ht="13.2" customHeight="1" s="104">
      <c r="B344" s="90" t="n"/>
    </row>
    <row r="345" ht="13.2" customHeight="1" s="104">
      <c r="B345" s="90" t="n"/>
    </row>
    <row r="346" ht="13.2" customHeight="1" s="104">
      <c r="B346" s="90" t="n"/>
    </row>
    <row r="347" ht="13.2" customHeight="1" s="104">
      <c r="B347" s="90" t="n"/>
    </row>
    <row r="348" ht="13.2" customHeight="1" s="104">
      <c r="B348" s="90" t="n"/>
    </row>
    <row r="349" ht="13.2" customHeight="1" s="104">
      <c r="B349" s="90" t="n"/>
    </row>
    <row r="350" ht="13.2" customHeight="1" s="104">
      <c r="B350" s="90" t="n"/>
    </row>
    <row r="351" ht="13.2" customHeight="1" s="104">
      <c r="B351" s="90" t="n"/>
    </row>
    <row r="352" ht="13.2" customHeight="1" s="104">
      <c r="B352" s="90" t="n"/>
    </row>
    <row r="353" ht="13.2" customHeight="1" s="104">
      <c r="B353" s="90" t="n"/>
    </row>
    <row r="354" ht="13.2" customHeight="1" s="104">
      <c r="B354" s="90" t="n"/>
    </row>
    <row r="355" ht="13.2" customHeight="1" s="104">
      <c r="B355" s="90" t="n"/>
    </row>
    <row r="356" ht="13.2" customHeight="1" s="104">
      <c r="B356" s="90" t="n"/>
    </row>
    <row r="357" ht="13.2" customHeight="1" s="104">
      <c r="B357" s="90" t="n"/>
    </row>
    <row r="358" ht="13.2" customHeight="1" s="104">
      <c r="B358" s="90" t="n"/>
    </row>
    <row r="359" ht="13.2" customHeight="1" s="104">
      <c r="B359" s="90" t="n"/>
    </row>
    <row r="360" ht="13.2" customHeight="1" s="104">
      <c r="B360" s="90" t="n"/>
    </row>
    <row r="361" ht="13.2" customHeight="1" s="104">
      <c r="B361" s="90" t="n"/>
    </row>
    <row r="362" ht="13.2" customHeight="1" s="104">
      <c r="B362" s="90" t="n"/>
    </row>
    <row r="363" ht="13.2" customHeight="1" s="104">
      <c r="B363" s="90" t="n"/>
    </row>
    <row r="364" ht="13.2" customHeight="1" s="104">
      <c r="B364" s="90" t="n"/>
    </row>
    <row r="365" ht="13.2" customHeight="1" s="104">
      <c r="B365" s="90" t="n"/>
    </row>
    <row r="366" ht="13.2" customHeight="1" s="104">
      <c r="B366" s="90" t="n"/>
    </row>
    <row r="367" ht="13.2" customHeight="1" s="104">
      <c r="B367" s="90" t="n"/>
    </row>
    <row r="368" ht="13.2" customHeight="1" s="104">
      <c r="B368" s="90" t="n"/>
    </row>
    <row r="369" ht="13.2" customHeight="1" s="104">
      <c r="B369" s="90" t="n"/>
    </row>
    <row r="370" ht="13.2" customHeight="1" s="104">
      <c r="B370" s="90" t="n"/>
    </row>
    <row r="371" ht="13.2" customHeight="1" s="104">
      <c r="B371" s="90" t="n"/>
    </row>
    <row r="372" ht="13.2" customHeight="1" s="104">
      <c r="B372" s="90" t="n"/>
    </row>
    <row r="373" ht="13.2" customHeight="1" s="104">
      <c r="B373" s="90" t="n"/>
    </row>
    <row r="374" ht="13.2" customHeight="1" s="104">
      <c r="B374" s="90" t="n"/>
    </row>
    <row r="375" ht="13.2" customHeight="1" s="104">
      <c r="B375" s="90" t="n"/>
    </row>
    <row r="376" ht="13.2" customHeight="1" s="104">
      <c r="B376" s="90" t="n"/>
    </row>
    <row r="377" ht="13.2" customHeight="1" s="104">
      <c r="B377" s="90" t="n"/>
    </row>
    <row r="378" ht="13.2" customHeight="1" s="104">
      <c r="B378" s="90" t="n"/>
    </row>
    <row r="379" ht="13.2" customHeight="1" s="104">
      <c r="B379" s="90" t="n"/>
    </row>
    <row r="380" ht="13.2" customHeight="1" s="104">
      <c r="B380" s="90" t="n"/>
    </row>
    <row r="381" ht="13.2" customHeight="1" s="104">
      <c r="B381" s="90" t="n"/>
    </row>
    <row r="382" ht="13.2" customHeight="1" s="104">
      <c r="B382" s="90" t="n"/>
    </row>
    <row r="383" ht="13.2" customHeight="1" s="104">
      <c r="B383" s="90" t="n"/>
    </row>
    <row r="384" ht="13.2" customHeight="1" s="104">
      <c r="B384" s="90" t="n"/>
    </row>
    <row r="385" ht="13.2" customHeight="1" s="104">
      <c r="B385" s="90" t="n"/>
    </row>
    <row r="386" ht="13.2" customHeight="1" s="104">
      <c r="B386" s="90" t="n"/>
    </row>
    <row r="387" ht="13.2" customHeight="1" s="104">
      <c r="B387" s="90" t="n"/>
    </row>
    <row r="388" ht="13.2" customHeight="1" s="104">
      <c r="B388" s="90" t="n"/>
    </row>
    <row r="389" ht="13.2" customHeight="1" s="104">
      <c r="B389" s="90" t="n"/>
    </row>
    <row r="390" ht="13.2" customHeight="1" s="104">
      <c r="B390" s="90" t="n"/>
    </row>
    <row r="391" ht="13.2" customHeight="1" s="104">
      <c r="B391" s="90" t="n"/>
    </row>
    <row r="392" ht="13.2" customHeight="1" s="104">
      <c r="B392" s="90" t="n"/>
    </row>
    <row r="393" ht="13.2" customHeight="1" s="104">
      <c r="B393" s="90" t="n"/>
    </row>
    <row r="394" ht="13.2" customHeight="1" s="104">
      <c r="B394" s="90" t="n"/>
    </row>
    <row r="395" ht="13.2" customHeight="1" s="104">
      <c r="B395" s="90" t="n"/>
    </row>
    <row r="396" ht="13.2" customHeight="1" s="104">
      <c r="B396" s="90" t="n"/>
    </row>
    <row r="397" ht="13.2" customHeight="1" s="104">
      <c r="B397" s="90" t="n"/>
    </row>
    <row r="398" ht="13.2" customHeight="1" s="104">
      <c r="B398" s="90" t="n"/>
    </row>
    <row r="399" ht="13.2" customHeight="1" s="104">
      <c r="B399" s="90" t="n"/>
    </row>
    <row r="400" ht="13.2" customHeight="1" s="104">
      <c r="B400" s="90" t="n"/>
    </row>
    <row r="401" ht="13.2" customHeight="1" s="104">
      <c r="B401" s="90" t="n"/>
    </row>
    <row r="402" ht="13.2" customHeight="1" s="104">
      <c r="B402" s="90" t="n"/>
    </row>
    <row r="403" ht="13.2" customHeight="1" s="104">
      <c r="B403" s="90" t="n"/>
    </row>
    <row r="404" ht="13.2" customHeight="1" s="104">
      <c r="B404" s="90" t="n"/>
    </row>
    <row r="405" ht="13.2" customHeight="1" s="104">
      <c r="B405" s="90" t="n"/>
    </row>
    <row r="406" ht="13.2" customHeight="1" s="104">
      <c r="B406" s="90" t="n"/>
    </row>
    <row r="407" ht="13.2" customHeight="1" s="104">
      <c r="B407" s="90" t="n"/>
    </row>
    <row r="408" ht="13.2" customHeight="1" s="104">
      <c r="B408" s="90" t="n"/>
    </row>
    <row r="409" ht="13.2" customHeight="1" s="104">
      <c r="B409" s="90" t="n"/>
    </row>
    <row r="410" ht="13.2" customHeight="1" s="104">
      <c r="B410" s="90" t="n"/>
    </row>
    <row r="411" ht="13.2" customHeight="1" s="104">
      <c r="B411" s="90" t="n"/>
    </row>
    <row r="412" ht="13.2" customHeight="1" s="104">
      <c r="B412" s="90" t="n"/>
    </row>
    <row r="413" ht="13.2" customHeight="1" s="104">
      <c r="B413" s="90" t="n"/>
    </row>
    <row r="414" ht="13.2" customHeight="1" s="104">
      <c r="B414" s="90" t="n"/>
    </row>
    <row r="415" ht="13.2" customHeight="1" s="104">
      <c r="B415" s="90" t="n"/>
    </row>
    <row r="416" ht="13.2" customHeight="1" s="104">
      <c r="B416" s="90" t="n"/>
    </row>
    <row r="417" ht="13.2" customHeight="1" s="104">
      <c r="B417" s="90" t="n"/>
    </row>
    <row r="418" ht="13.2" customHeight="1" s="104">
      <c r="B418" s="90" t="n"/>
    </row>
    <row r="419" ht="13.2" customHeight="1" s="104">
      <c r="B419" s="90" t="n"/>
    </row>
    <row r="420" ht="13.2" customHeight="1" s="104">
      <c r="B420" s="90" t="n"/>
    </row>
    <row r="421" ht="13.2" customHeight="1" s="104">
      <c r="B421" s="90" t="n"/>
    </row>
    <row r="422" ht="13.2" customHeight="1" s="104">
      <c r="B422" s="90" t="n"/>
    </row>
    <row r="423" ht="13.2" customHeight="1" s="104">
      <c r="B423" s="90" t="n"/>
    </row>
    <row r="424" ht="13.2" customHeight="1" s="104">
      <c r="B424" s="90" t="n"/>
    </row>
    <row r="425" ht="13.2" customHeight="1" s="104">
      <c r="B425" s="90" t="n"/>
    </row>
    <row r="426" ht="13.2" customHeight="1" s="104">
      <c r="B426" s="90" t="n"/>
    </row>
    <row r="427" ht="13.2" customHeight="1" s="104">
      <c r="B427" s="90" t="n"/>
    </row>
    <row r="428" ht="13.2" customHeight="1" s="104">
      <c r="B428" s="90" t="n"/>
    </row>
    <row r="429" ht="13.2" customHeight="1" s="104">
      <c r="B429" s="90" t="n"/>
    </row>
    <row r="430" ht="13.2" customHeight="1" s="104">
      <c r="B430" s="90" t="n"/>
    </row>
    <row r="431" ht="13.2" customHeight="1" s="104">
      <c r="B431" s="90" t="n"/>
    </row>
    <row r="432" ht="13.2" customHeight="1" s="104">
      <c r="B432" s="90" t="n"/>
    </row>
    <row r="433" ht="13.2" customHeight="1" s="104">
      <c r="B433" s="90" t="n"/>
    </row>
    <row r="434" ht="13.2" customHeight="1" s="104">
      <c r="B434" s="90" t="n"/>
    </row>
    <row r="435" ht="13.2" customHeight="1" s="104">
      <c r="B435" s="90" t="n"/>
    </row>
    <row r="436" ht="13.2" customHeight="1" s="104">
      <c r="B436" s="90" t="n"/>
    </row>
    <row r="437" ht="13.2" customHeight="1" s="104">
      <c r="B437" s="90" t="n"/>
    </row>
    <row r="438" ht="13.2" customHeight="1" s="104">
      <c r="B438" s="90" t="n"/>
    </row>
    <row r="439" ht="13.2" customHeight="1" s="104">
      <c r="B439" s="90" t="n"/>
    </row>
    <row r="440" ht="13.2" customHeight="1" s="104">
      <c r="B440" s="90" t="n"/>
    </row>
    <row r="441" ht="13.2" customHeight="1" s="104">
      <c r="B441" s="90" t="n"/>
    </row>
    <row r="442" ht="13.2" customHeight="1" s="104">
      <c r="B442" s="90" t="n"/>
    </row>
    <row r="443" ht="13.2" customHeight="1" s="104">
      <c r="B443" s="90" t="n"/>
    </row>
    <row r="444" ht="13.2" customHeight="1" s="104">
      <c r="B444" s="90" t="n"/>
    </row>
    <row r="445" ht="13.2" customHeight="1" s="104">
      <c r="B445" s="90" t="n"/>
    </row>
    <row r="446" ht="13.2" customHeight="1" s="104">
      <c r="B446" s="90" t="n"/>
    </row>
    <row r="447" ht="13.2" customHeight="1" s="104">
      <c r="B447" s="90" t="n"/>
    </row>
    <row r="448" ht="13.2" customHeight="1" s="104">
      <c r="B448" s="90" t="n"/>
    </row>
    <row r="449" ht="13.2" customHeight="1" s="104">
      <c r="B449" s="90" t="n"/>
    </row>
    <row r="450" ht="13.2" customHeight="1" s="104">
      <c r="B450" s="90" t="n"/>
    </row>
    <row r="451" ht="13.2" customHeight="1" s="104">
      <c r="B451" s="90" t="n"/>
    </row>
    <row r="452" ht="13.2" customHeight="1" s="104">
      <c r="B452" s="90" t="n"/>
    </row>
    <row r="453" ht="13.2" customHeight="1" s="104">
      <c r="B453" s="90" t="n"/>
    </row>
    <row r="454" ht="13.2" customHeight="1" s="104">
      <c r="B454" s="90" t="n"/>
    </row>
    <row r="455" ht="13.2" customHeight="1" s="104">
      <c r="B455" s="90" t="n"/>
    </row>
    <row r="456" ht="13.2" customHeight="1" s="104">
      <c r="B456" s="90" t="n"/>
    </row>
    <row r="457" ht="13.2" customHeight="1" s="104">
      <c r="B457" s="90" t="n"/>
    </row>
    <row r="458" ht="13.2" customHeight="1" s="104">
      <c r="B458" s="90" t="n"/>
    </row>
    <row r="459" ht="13.2" customHeight="1" s="104">
      <c r="B459" s="90" t="n"/>
    </row>
    <row r="460" ht="13.2" customHeight="1" s="104">
      <c r="B460" s="90" t="n"/>
    </row>
    <row r="461" ht="13.2" customHeight="1" s="104">
      <c r="B461" s="90" t="n"/>
    </row>
    <row r="462" ht="13.2" customHeight="1" s="104">
      <c r="B462" s="90" t="n"/>
    </row>
    <row r="463" ht="13.2" customHeight="1" s="104">
      <c r="B463" s="90" t="n"/>
    </row>
    <row r="464" ht="13.2" customHeight="1" s="104">
      <c r="B464" s="90" t="n"/>
    </row>
    <row r="465" ht="13.2" customHeight="1" s="104">
      <c r="B465" s="90" t="n"/>
    </row>
    <row r="466" ht="13.2" customHeight="1" s="104">
      <c r="B466" s="90" t="n"/>
    </row>
    <row r="467" ht="13.2" customHeight="1" s="104">
      <c r="B467" s="90" t="n"/>
    </row>
    <row r="468" ht="13.2" customHeight="1" s="104">
      <c r="B468" s="90" t="n"/>
    </row>
    <row r="469" ht="13.2" customHeight="1" s="104">
      <c r="B469" s="90" t="n"/>
    </row>
    <row r="470" ht="13.2" customHeight="1" s="104">
      <c r="B470" s="90" t="n"/>
    </row>
    <row r="471" ht="13.2" customHeight="1" s="104">
      <c r="B471" s="90" t="n"/>
    </row>
    <row r="472" ht="13.2" customHeight="1" s="104">
      <c r="B472" s="90" t="n"/>
    </row>
    <row r="473" ht="13.2" customHeight="1" s="104">
      <c r="B473" s="90" t="n"/>
    </row>
    <row r="474" ht="13.2" customHeight="1" s="104">
      <c r="B474" s="90" t="n"/>
    </row>
    <row r="475" ht="13.2" customHeight="1" s="104">
      <c r="B475" s="90" t="n"/>
    </row>
    <row r="476" ht="13.2" customHeight="1" s="104">
      <c r="B476" s="90" t="n"/>
    </row>
    <row r="477" ht="13.2" customHeight="1" s="104">
      <c r="B477" s="90" t="n"/>
    </row>
    <row r="478" ht="13.2" customHeight="1" s="104">
      <c r="B478" s="90" t="n"/>
    </row>
    <row r="479" ht="13.2" customHeight="1" s="104">
      <c r="B479" s="90" t="n"/>
    </row>
    <row r="480" ht="13.2" customHeight="1" s="104">
      <c r="B480" s="90" t="n"/>
    </row>
    <row r="481" ht="13.2" customHeight="1" s="104">
      <c r="B481" s="90" t="n"/>
    </row>
    <row r="482" ht="13.2" customHeight="1" s="104">
      <c r="B482" s="90" t="n"/>
    </row>
    <row r="483" ht="13.2" customHeight="1" s="104">
      <c r="B483" s="90" t="n"/>
    </row>
    <row r="484" ht="13.2" customHeight="1" s="104">
      <c r="B484" s="90" t="n"/>
    </row>
    <row r="485" ht="13.2" customHeight="1" s="104">
      <c r="B485" s="90" t="n"/>
    </row>
    <row r="486" ht="13.2" customHeight="1" s="104">
      <c r="B486" s="90" t="n"/>
    </row>
    <row r="487" ht="13.2" customHeight="1" s="104">
      <c r="B487" s="90" t="n"/>
    </row>
    <row r="488" ht="13.2" customHeight="1" s="104">
      <c r="B488" s="90" t="n"/>
    </row>
    <row r="489" ht="13.2" customHeight="1" s="104">
      <c r="B489" s="90" t="n"/>
    </row>
    <row r="490" ht="13.2" customHeight="1" s="104">
      <c r="B490" s="90" t="n"/>
    </row>
    <row r="491" ht="13.2" customHeight="1" s="104">
      <c r="B491" s="90" t="n"/>
    </row>
    <row r="492" ht="13.2" customHeight="1" s="104">
      <c r="B492" s="90" t="n"/>
    </row>
    <row r="493" ht="13.2" customHeight="1" s="104">
      <c r="B493" s="90" t="n"/>
    </row>
    <row r="494" ht="13.2" customHeight="1" s="104">
      <c r="B494" s="90" t="n"/>
    </row>
    <row r="495" ht="13.2" customHeight="1" s="104">
      <c r="B495" s="90" t="n"/>
    </row>
    <row r="496" ht="13.2" customHeight="1" s="104">
      <c r="B496" s="90" t="n"/>
    </row>
    <row r="497" ht="13.2" customHeight="1" s="104">
      <c r="B497" s="90" t="n"/>
    </row>
    <row r="498" ht="13.2" customHeight="1" s="104">
      <c r="B498" s="90" t="n"/>
    </row>
    <row r="499" ht="13.2" customHeight="1" s="104">
      <c r="B499" s="90" t="n"/>
    </row>
    <row r="500" ht="13.2" customHeight="1" s="104">
      <c r="B500" s="90" t="n"/>
    </row>
    <row r="501" ht="13.2" customHeight="1" s="104">
      <c r="B501" s="90" t="n"/>
    </row>
    <row r="502" ht="13.2" customHeight="1" s="104">
      <c r="B502" s="90" t="n"/>
    </row>
    <row r="503" ht="13.2" customHeight="1" s="104">
      <c r="B503" s="90" t="n"/>
    </row>
    <row r="504" ht="13.2" customHeight="1" s="104">
      <c r="B504" s="90" t="n"/>
    </row>
    <row r="505" ht="13.2" customHeight="1" s="104">
      <c r="B505" s="90" t="n"/>
    </row>
    <row r="506" ht="13.2" customHeight="1" s="104">
      <c r="B506" s="90" t="n"/>
    </row>
    <row r="507" ht="13.2" customHeight="1" s="104">
      <c r="B507" s="90" t="n"/>
    </row>
    <row r="508" ht="13.2" customHeight="1" s="104">
      <c r="B508" s="90" t="n"/>
    </row>
    <row r="509" ht="13.2" customHeight="1" s="104">
      <c r="B509" s="90" t="n"/>
    </row>
    <row r="510" ht="13.2" customHeight="1" s="104">
      <c r="B510" s="90" t="n"/>
    </row>
    <row r="511" ht="13.2" customHeight="1" s="104">
      <c r="B511" s="90" t="n"/>
    </row>
    <row r="512" ht="13.2" customHeight="1" s="104">
      <c r="B512" s="90" t="n"/>
    </row>
    <row r="513" ht="13.2" customHeight="1" s="104">
      <c r="B513" s="90" t="n"/>
    </row>
    <row r="514" ht="13.2" customHeight="1" s="104">
      <c r="B514" s="90" t="n"/>
    </row>
    <row r="515" ht="13.2" customHeight="1" s="104">
      <c r="B515" s="90" t="n"/>
    </row>
    <row r="516" ht="13.2" customHeight="1" s="104">
      <c r="B516" s="90" t="n"/>
    </row>
    <row r="517" ht="13.2" customHeight="1" s="104">
      <c r="B517" s="90" t="n"/>
    </row>
    <row r="518" ht="13.2" customHeight="1" s="104">
      <c r="B518" s="90" t="n"/>
    </row>
    <row r="519" ht="13.2" customHeight="1" s="104">
      <c r="B519" s="90" t="n"/>
    </row>
    <row r="520" ht="13.2" customHeight="1" s="104">
      <c r="B520" s="90" t="n"/>
    </row>
    <row r="521" ht="13.2" customHeight="1" s="104">
      <c r="B521" s="90" t="n"/>
    </row>
    <row r="522" ht="13.2" customHeight="1" s="104">
      <c r="B522" s="90" t="n"/>
    </row>
    <row r="523" ht="13.2" customHeight="1" s="104">
      <c r="B523" s="90" t="n"/>
    </row>
    <row r="524" ht="13.2" customHeight="1" s="104">
      <c r="B524" s="90" t="n"/>
    </row>
    <row r="525" ht="13.2" customHeight="1" s="104">
      <c r="B525" s="90" t="n"/>
    </row>
    <row r="526" ht="13.2" customHeight="1" s="104">
      <c r="B526" s="90" t="n"/>
    </row>
    <row r="527" ht="13.2" customHeight="1" s="104">
      <c r="B527" s="90" t="n"/>
    </row>
    <row r="528" ht="13.2" customHeight="1" s="104">
      <c r="B528" s="90" t="n"/>
    </row>
    <row r="529" ht="13.2" customHeight="1" s="104">
      <c r="B529" s="90" t="n"/>
    </row>
    <row r="530" ht="13.2" customHeight="1" s="104">
      <c r="B530" s="90" t="n"/>
    </row>
    <row r="531" ht="13.2" customHeight="1" s="104">
      <c r="B531" s="90" t="n"/>
    </row>
    <row r="532" ht="13.2" customHeight="1" s="104">
      <c r="B532" s="90" t="n"/>
    </row>
    <row r="533" ht="13.2" customHeight="1" s="104">
      <c r="B533" s="90" t="n"/>
    </row>
    <row r="534" ht="13.2" customHeight="1" s="104">
      <c r="B534" s="90" t="n"/>
    </row>
    <row r="535" ht="13.2" customHeight="1" s="104">
      <c r="B535" s="90" t="n"/>
    </row>
    <row r="536" ht="13.2" customHeight="1" s="104">
      <c r="B536" s="90" t="n"/>
    </row>
    <row r="537" ht="13.2" customHeight="1" s="104">
      <c r="B537" s="90" t="n"/>
    </row>
    <row r="538" ht="13.2" customHeight="1" s="104">
      <c r="B538" s="90" t="n"/>
    </row>
    <row r="539" ht="13.2" customHeight="1" s="104">
      <c r="B539" s="90" t="n"/>
    </row>
    <row r="540" ht="13.2" customHeight="1" s="104">
      <c r="B540" s="90" t="n"/>
    </row>
    <row r="541" ht="13.2" customHeight="1" s="104">
      <c r="B541" s="90" t="n"/>
    </row>
    <row r="542" ht="13.2" customHeight="1" s="104">
      <c r="B542" s="90" t="n"/>
    </row>
    <row r="543" ht="13.2" customHeight="1" s="104">
      <c r="B543" s="90" t="n"/>
    </row>
    <row r="544" ht="13.2" customHeight="1" s="104">
      <c r="B544" s="90" t="n"/>
    </row>
    <row r="545" ht="13.2" customHeight="1" s="104">
      <c r="B545" s="90" t="n"/>
    </row>
    <row r="546" ht="13.2" customHeight="1" s="104">
      <c r="B546" s="90" t="n"/>
    </row>
    <row r="547" ht="13.2" customHeight="1" s="104">
      <c r="B547" s="90" t="n"/>
    </row>
    <row r="548" ht="13.2" customHeight="1" s="104">
      <c r="B548" s="90" t="n"/>
    </row>
    <row r="549" ht="13.2" customHeight="1" s="104">
      <c r="B549" s="90" t="n"/>
    </row>
    <row r="550" ht="13.2" customHeight="1" s="104">
      <c r="B550" s="90" t="n"/>
    </row>
    <row r="551" ht="13.2" customHeight="1" s="104">
      <c r="B551" s="90" t="n"/>
    </row>
    <row r="552" ht="13.2" customHeight="1" s="104">
      <c r="B552" s="90" t="n"/>
    </row>
    <row r="553" ht="13.2" customHeight="1" s="104">
      <c r="B553" s="90" t="n"/>
    </row>
    <row r="554" ht="13.2" customHeight="1" s="104">
      <c r="B554" s="90" t="n"/>
    </row>
    <row r="555" ht="13.2" customHeight="1" s="104">
      <c r="B555" s="90" t="n"/>
    </row>
    <row r="556" ht="13.2" customHeight="1" s="104">
      <c r="B556" s="90" t="n"/>
    </row>
    <row r="557" ht="13.2" customHeight="1" s="104">
      <c r="B557" s="90" t="n"/>
    </row>
    <row r="558" ht="13.2" customHeight="1" s="104">
      <c r="B558" s="90" t="n"/>
    </row>
    <row r="559" ht="13.2" customHeight="1" s="104">
      <c r="B559" s="90" t="n"/>
    </row>
    <row r="560" ht="13.2" customHeight="1" s="104">
      <c r="B560" s="90" t="n"/>
    </row>
    <row r="561" ht="13.2" customHeight="1" s="104">
      <c r="B561" s="90" t="n"/>
    </row>
    <row r="562" ht="13.2" customHeight="1" s="104">
      <c r="B562" s="90" t="n"/>
    </row>
    <row r="563" ht="13.2" customHeight="1" s="104">
      <c r="B563" s="90" t="n"/>
    </row>
    <row r="564" ht="13.2" customHeight="1" s="104">
      <c r="B564" s="90" t="n"/>
    </row>
    <row r="565" ht="13.2" customHeight="1" s="104">
      <c r="B565" s="90" t="n"/>
    </row>
    <row r="566" ht="13.2" customHeight="1" s="104">
      <c r="B566" s="90" t="n"/>
    </row>
    <row r="567" ht="13.2" customHeight="1" s="104">
      <c r="B567" s="90" t="n"/>
    </row>
    <row r="568" ht="13.2" customHeight="1" s="104">
      <c r="B568" s="90" t="n"/>
    </row>
    <row r="569" ht="13.2" customHeight="1" s="104">
      <c r="B569" s="90" t="n"/>
    </row>
    <row r="570" ht="13.2" customHeight="1" s="104">
      <c r="B570" s="90" t="n"/>
    </row>
    <row r="571" ht="13.2" customHeight="1" s="104">
      <c r="B571" s="90" t="n"/>
    </row>
    <row r="572" ht="13.2" customHeight="1" s="104">
      <c r="B572" s="90" t="n"/>
    </row>
    <row r="573" ht="13.2" customHeight="1" s="104">
      <c r="B573" s="90" t="n"/>
    </row>
    <row r="574" ht="13.2" customHeight="1" s="104">
      <c r="B574" s="90" t="n"/>
    </row>
    <row r="575" ht="13.2" customHeight="1" s="104">
      <c r="B575" s="90" t="n"/>
    </row>
    <row r="576" ht="13.2" customHeight="1" s="104">
      <c r="B576" s="90" t="n"/>
    </row>
    <row r="577" ht="13.2" customHeight="1" s="104">
      <c r="B577" s="90" t="n"/>
    </row>
    <row r="578" ht="13.2" customHeight="1" s="104">
      <c r="B578" s="90" t="n"/>
    </row>
    <row r="579" ht="13.2" customHeight="1" s="104">
      <c r="B579" s="90" t="n"/>
    </row>
    <row r="580" ht="13.2" customHeight="1" s="104">
      <c r="B580" s="90" t="n"/>
    </row>
    <row r="581" ht="13.2" customHeight="1" s="104">
      <c r="B581" s="90" t="n"/>
    </row>
    <row r="582" ht="13.2" customHeight="1" s="104">
      <c r="B582" s="90" t="n"/>
    </row>
    <row r="583" ht="13.2" customHeight="1" s="104">
      <c r="B583" s="90" t="n"/>
    </row>
    <row r="584" ht="13.2" customHeight="1" s="104">
      <c r="B584" s="90" t="n"/>
    </row>
    <row r="585" ht="13.2" customHeight="1" s="104">
      <c r="B585" s="90" t="n"/>
    </row>
    <row r="586" ht="13.2" customHeight="1" s="104">
      <c r="B586" s="90" t="n"/>
    </row>
    <row r="587" ht="13.2" customHeight="1" s="104">
      <c r="B587" s="90" t="n"/>
    </row>
    <row r="588" ht="13.2" customHeight="1" s="104">
      <c r="B588" s="90" t="n"/>
    </row>
    <row r="589" ht="13.2" customHeight="1" s="104">
      <c r="B589" s="90" t="n"/>
    </row>
    <row r="590" ht="13.2" customHeight="1" s="104">
      <c r="B590" s="90" t="n"/>
    </row>
    <row r="591" ht="13.2" customHeight="1" s="104">
      <c r="B591" s="90" t="n"/>
    </row>
    <row r="592" ht="13.2" customHeight="1" s="104">
      <c r="B592" s="90" t="n"/>
    </row>
    <row r="593" ht="13.2" customHeight="1" s="104">
      <c r="B593" s="90" t="n"/>
    </row>
    <row r="594" ht="13.2" customHeight="1" s="104">
      <c r="B594" s="90" t="n"/>
    </row>
    <row r="595" ht="13.2" customHeight="1" s="104">
      <c r="B595" s="90" t="n"/>
    </row>
    <row r="596" ht="13.2" customHeight="1" s="104">
      <c r="B596" s="90" t="n"/>
    </row>
    <row r="597" ht="13.2" customHeight="1" s="104">
      <c r="B597" s="90" t="n"/>
    </row>
    <row r="598" ht="13.2" customHeight="1" s="104">
      <c r="B598" s="90" t="n"/>
    </row>
    <row r="599" ht="13.2" customHeight="1" s="104">
      <c r="B599" s="90" t="n"/>
    </row>
    <row r="600" ht="13.2" customHeight="1" s="104">
      <c r="B600" s="90" t="n"/>
    </row>
    <row r="601" ht="13.2" customHeight="1" s="104">
      <c r="B601" s="90" t="n"/>
    </row>
    <row r="602" ht="13.2" customHeight="1" s="104">
      <c r="B602" s="90" t="n"/>
    </row>
    <row r="603" ht="13.2" customHeight="1" s="104">
      <c r="B603" s="90" t="n"/>
    </row>
    <row r="604" ht="13.2" customHeight="1" s="104">
      <c r="B604" s="90" t="n"/>
    </row>
    <row r="605" ht="13.2" customHeight="1" s="104">
      <c r="B605" s="90" t="n"/>
    </row>
    <row r="606" ht="13.2" customHeight="1" s="104">
      <c r="B606" s="90" t="n"/>
    </row>
    <row r="607" ht="13.2" customHeight="1" s="104">
      <c r="B607" s="90" t="n"/>
    </row>
    <row r="608" ht="13.2" customHeight="1" s="104">
      <c r="B608" s="90" t="n"/>
    </row>
    <row r="609" ht="13.2" customHeight="1" s="104">
      <c r="B609" s="90" t="n"/>
    </row>
    <row r="610" ht="13.2" customHeight="1" s="104">
      <c r="B610" s="90" t="n"/>
    </row>
    <row r="611" ht="13.2" customHeight="1" s="104">
      <c r="B611" s="90" t="n"/>
    </row>
    <row r="612" ht="13.2" customHeight="1" s="104">
      <c r="B612" s="90" t="n"/>
    </row>
    <row r="613" ht="13.2" customHeight="1" s="104">
      <c r="B613" s="90" t="n"/>
    </row>
    <row r="614" ht="13.2" customHeight="1" s="104">
      <c r="B614" s="90" t="n"/>
    </row>
    <row r="615" ht="13.2" customHeight="1" s="104">
      <c r="B615" s="90" t="n"/>
    </row>
    <row r="616" ht="13.2" customHeight="1" s="104">
      <c r="B616" s="90" t="n"/>
    </row>
    <row r="617" ht="13.2" customHeight="1" s="104">
      <c r="B617" s="90" t="n"/>
    </row>
    <row r="618" ht="13.2" customHeight="1" s="104">
      <c r="B618" s="90" t="n"/>
    </row>
    <row r="619" ht="13.2" customHeight="1" s="104">
      <c r="B619" s="90" t="n"/>
    </row>
    <row r="620" ht="13.2" customHeight="1" s="104">
      <c r="B620" s="90" t="n"/>
    </row>
    <row r="621" ht="13.2" customHeight="1" s="104">
      <c r="B621" s="90" t="n"/>
    </row>
    <row r="622" ht="13.2" customHeight="1" s="104">
      <c r="B622" s="90" t="n"/>
    </row>
    <row r="623" ht="13.2" customHeight="1" s="104">
      <c r="B623" s="90" t="n"/>
    </row>
    <row r="624" ht="13.2" customHeight="1" s="104">
      <c r="B624" s="90" t="n"/>
    </row>
    <row r="625" ht="13.2" customHeight="1" s="104">
      <c r="B625" s="90" t="n"/>
    </row>
    <row r="626" ht="13.2" customHeight="1" s="104">
      <c r="B626" s="90" t="n"/>
    </row>
    <row r="627" ht="13.2" customHeight="1" s="104">
      <c r="B627" s="90" t="n"/>
    </row>
    <row r="628" ht="13.2" customHeight="1" s="104">
      <c r="B628" s="90" t="n"/>
    </row>
    <row r="629" ht="13.2" customHeight="1" s="104">
      <c r="B629" s="90" t="n"/>
    </row>
    <row r="630" ht="13.2" customHeight="1" s="104">
      <c r="B630" s="90" t="n"/>
    </row>
    <row r="631" ht="13.2" customHeight="1" s="104">
      <c r="B631" s="90" t="n"/>
    </row>
    <row r="632" ht="13.2" customHeight="1" s="104">
      <c r="B632" s="90" t="n"/>
    </row>
    <row r="633" ht="13.2" customHeight="1" s="104">
      <c r="B633" s="90" t="n"/>
    </row>
    <row r="634" ht="13.2" customHeight="1" s="104">
      <c r="B634" s="90" t="n"/>
    </row>
    <row r="635" ht="13.2" customHeight="1" s="104">
      <c r="B635" s="90" t="n"/>
    </row>
    <row r="636" ht="13.2" customHeight="1" s="104">
      <c r="B636" s="90" t="n"/>
    </row>
    <row r="637" ht="13.2" customHeight="1" s="104">
      <c r="B637" s="90" t="n"/>
    </row>
    <row r="638" ht="13.2" customHeight="1" s="104">
      <c r="B638" s="90" t="n"/>
    </row>
    <row r="639" ht="13.2" customHeight="1" s="104">
      <c r="B639" s="90" t="n"/>
    </row>
    <row r="640" ht="13.2" customHeight="1" s="104">
      <c r="B640" s="90" t="n"/>
    </row>
    <row r="641" ht="13.2" customHeight="1" s="104">
      <c r="B641" s="90" t="n"/>
    </row>
    <row r="642" ht="13.2" customHeight="1" s="104">
      <c r="B642" s="90" t="n"/>
    </row>
    <row r="643" ht="13.2" customHeight="1" s="104">
      <c r="B643" s="90" t="n"/>
    </row>
    <row r="644" ht="13.2" customHeight="1" s="104">
      <c r="B644" s="90" t="n"/>
    </row>
    <row r="645" ht="13.2" customHeight="1" s="104">
      <c r="B645" s="90" t="n"/>
    </row>
    <row r="646" ht="13.2" customHeight="1" s="104">
      <c r="B646" s="90" t="n"/>
    </row>
    <row r="647" ht="13.2" customHeight="1" s="104">
      <c r="B647" s="90" t="n"/>
    </row>
    <row r="648" ht="13.2" customHeight="1" s="104">
      <c r="B648" s="90" t="n"/>
    </row>
    <row r="649" ht="13.2" customHeight="1" s="104">
      <c r="B649" s="90" t="n"/>
    </row>
    <row r="650" ht="13.2" customHeight="1" s="104">
      <c r="B650" s="90" t="n"/>
    </row>
    <row r="651" ht="13.2" customHeight="1" s="104">
      <c r="B651" s="90" t="n"/>
    </row>
    <row r="652" ht="13.2" customHeight="1" s="104">
      <c r="B652" s="90" t="n"/>
    </row>
    <row r="653" ht="13.2" customHeight="1" s="104">
      <c r="B653" s="90" t="n"/>
    </row>
    <row r="654" ht="13.2" customHeight="1" s="104">
      <c r="B654" s="90" t="n"/>
    </row>
    <row r="655" ht="13.2" customHeight="1" s="104">
      <c r="B655" s="90" t="n"/>
    </row>
    <row r="656" ht="13.2" customHeight="1" s="104">
      <c r="B656" s="90" t="n"/>
    </row>
    <row r="657" ht="13.2" customHeight="1" s="104">
      <c r="B657" s="90" t="n"/>
    </row>
    <row r="658" ht="13.2" customHeight="1" s="104">
      <c r="B658" s="90" t="n"/>
    </row>
    <row r="659" ht="13.2" customHeight="1" s="104">
      <c r="B659" s="90" t="n"/>
    </row>
    <row r="660" ht="13.2" customHeight="1" s="104">
      <c r="B660" s="90" t="n"/>
    </row>
    <row r="661" ht="13.2" customHeight="1" s="104">
      <c r="B661" s="90" t="n"/>
    </row>
    <row r="662" ht="13.2" customHeight="1" s="104">
      <c r="B662" s="90" t="n"/>
    </row>
    <row r="663" ht="13.2" customHeight="1" s="104">
      <c r="B663" s="90" t="n"/>
    </row>
    <row r="664" ht="13.2" customHeight="1" s="104">
      <c r="B664" s="90" t="n"/>
    </row>
    <row r="665" ht="13.2" customHeight="1" s="104">
      <c r="B665" s="90" t="n"/>
    </row>
    <row r="666" ht="13.2" customHeight="1" s="104">
      <c r="B666" s="90" t="n"/>
    </row>
    <row r="667" ht="13.2" customHeight="1" s="104">
      <c r="B667" s="90" t="n"/>
    </row>
    <row r="668" ht="13.2" customHeight="1" s="104">
      <c r="B668" s="90" t="n"/>
    </row>
    <row r="669" ht="13.2" customHeight="1" s="104">
      <c r="B669" s="90" t="n"/>
    </row>
    <row r="670" ht="13.2" customHeight="1" s="104">
      <c r="B670" s="90" t="n"/>
    </row>
    <row r="671" ht="13.2" customHeight="1" s="104">
      <c r="B671" s="90" t="n"/>
    </row>
    <row r="672" ht="13.2" customHeight="1" s="104">
      <c r="B672" s="90" t="n"/>
    </row>
    <row r="673" ht="13.2" customHeight="1" s="104">
      <c r="B673" s="90" t="n"/>
    </row>
    <row r="674" ht="13.2" customHeight="1" s="104">
      <c r="B674" s="90" t="n"/>
    </row>
    <row r="675" ht="13.2" customHeight="1" s="104">
      <c r="B675" s="90" t="n"/>
    </row>
    <row r="676" ht="13.2" customHeight="1" s="104">
      <c r="B676" s="90" t="n"/>
    </row>
    <row r="677" ht="13.2" customHeight="1" s="104">
      <c r="B677" s="90" t="n"/>
    </row>
    <row r="678" ht="13.2" customHeight="1" s="104">
      <c r="B678" s="90" t="n"/>
    </row>
    <row r="679" ht="13.2" customHeight="1" s="104">
      <c r="B679" s="90" t="n"/>
    </row>
    <row r="680" ht="13.2" customHeight="1" s="104">
      <c r="B680" s="90" t="n"/>
    </row>
    <row r="681" ht="13.2" customHeight="1" s="104">
      <c r="B681" s="90" t="n"/>
    </row>
    <row r="682" ht="13.2" customHeight="1" s="104">
      <c r="B682" s="90" t="n"/>
    </row>
    <row r="683" ht="13.2" customHeight="1" s="104">
      <c r="B683" s="90" t="n"/>
    </row>
    <row r="684" ht="13.2" customHeight="1" s="104">
      <c r="B684" s="90" t="n"/>
    </row>
    <row r="685" ht="13.2" customHeight="1" s="104">
      <c r="B685" s="90" t="n"/>
    </row>
    <row r="686" ht="13.2" customHeight="1" s="104">
      <c r="B686" s="90" t="n"/>
    </row>
    <row r="687" ht="13.2" customHeight="1" s="104">
      <c r="B687" s="90" t="n"/>
    </row>
    <row r="688" ht="13.2" customHeight="1" s="104">
      <c r="B688" s="90" t="n"/>
    </row>
    <row r="689" ht="13.2" customHeight="1" s="104">
      <c r="B689" s="90" t="n"/>
    </row>
    <row r="690" ht="13.2" customHeight="1" s="104">
      <c r="B690" s="90" t="n"/>
    </row>
    <row r="691" ht="13.2" customHeight="1" s="104">
      <c r="B691" s="90" t="n"/>
    </row>
    <row r="692" ht="13.2" customHeight="1" s="104">
      <c r="B692" s="90" t="n"/>
    </row>
    <row r="693" ht="13.2" customHeight="1" s="104">
      <c r="B693" s="90" t="n"/>
    </row>
    <row r="694" ht="13.2" customHeight="1" s="104">
      <c r="B694" s="90" t="n"/>
    </row>
    <row r="695" ht="13.2" customHeight="1" s="104">
      <c r="B695" s="90" t="n"/>
    </row>
    <row r="696" ht="13.2" customHeight="1" s="104">
      <c r="B696" s="90" t="n"/>
    </row>
    <row r="697" ht="13.2" customHeight="1" s="104">
      <c r="B697" s="90" t="n"/>
    </row>
    <row r="698" ht="13.2" customHeight="1" s="104">
      <c r="B698" s="90" t="n"/>
    </row>
    <row r="699" ht="13.2" customHeight="1" s="104">
      <c r="B699" s="90" t="n"/>
    </row>
    <row r="700" ht="13.2" customHeight="1" s="104">
      <c r="B700" s="90" t="n"/>
    </row>
    <row r="701" ht="13.2" customHeight="1" s="104">
      <c r="B701" s="90" t="n"/>
    </row>
    <row r="702" ht="13.2" customHeight="1" s="104">
      <c r="B702" s="90" t="n"/>
    </row>
    <row r="703" ht="13.2" customHeight="1" s="104">
      <c r="B703" s="90" t="n"/>
    </row>
    <row r="704" ht="13.2" customHeight="1" s="104">
      <c r="B704" s="90" t="n"/>
    </row>
    <row r="705" ht="13.2" customHeight="1" s="104">
      <c r="B705" s="90" t="n"/>
    </row>
    <row r="706" ht="13.2" customHeight="1" s="104">
      <c r="B706" s="90" t="n"/>
    </row>
    <row r="707" ht="13.2" customHeight="1" s="104">
      <c r="B707" s="90" t="n"/>
    </row>
    <row r="708" ht="13.2" customHeight="1" s="104">
      <c r="B708" s="90" t="n"/>
    </row>
    <row r="709" ht="13.2" customHeight="1" s="104">
      <c r="B709" s="90" t="n"/>
    </row>
    <row r="710" ht="13.2" customHeight="1" s="104">
      <c r="B710" s="90" t="n"/>
    </row>
    <row r="711" ht="13.2" customHeight="1" s="104">
      <c r="B711" s="90" t="n"/>
    </row>
    <row r="712" ht="13.2" customHeight="1" s="104">
      <c r="B712" s="90" t="n"/>
    </row>
    <row r="713" ht="13.2" customHeight="1" s="104">
      <c r="B713" s="90" t="n"/>
    </row>
    <row r="714" ht="13.2" customHeight="1" s="104">
      <c r="B714" s="90" t="n"/>
    </row>
    <row r="715" ht="13.2" customHeight="1" s="104">
      <c r="B715" s="90" t="n"/>
    </row>
    <row r="716" ht="13.2" customHeight="1" s="104">
      <c r="B716" s="90" t="n"/>
    </row>
    <row r="717" ht="13.2" customHeight="1" s="104">
      <c r="B717" s="90" t="n"/>
    </row>
    <row r="718" ht="13.2" customHeight="1" s="104">
      <c r="B718" s="90" t="n"/>
    </row>
    <row r="719" ht="13.2" customHeight="1" s="104">
      <c r="B719" s="90" t="n"/>
    </row>
    <row r="720" ht="13.2" customHeight="1" s="104">
      <c r="B720" s="90" t="n"/>
    </row>
    <row r="721" ht="13.2" customHeight="1" s="104">
      <c r="B721" s="90" t="n"/>
    </row>
    <row r="722" ht="13.2" customHeight="1" s="104">
      <c r="B722" s="90" t="n"/>
    </row>
    <row r="723" ht="13.2" customHeight="1" s="104">
      <c r="B723" s="90" t="n"/>
    </row>
    <row r="724" ht="13.2" customHeight="1" s="104">
      <c r="B724" s="90" t="n"/>
    </row>
    <row r="725" ht="13.2" customHeight="1" s="104">
      <c r="B725" s="90" t="n"/>
    </row>
    <row r="726" ht="13.2" customHeight="1" s="104">
      <c r="B726" s="90" t="n"/>
    </row>
    <row r="727" ht="13.2" customHeight="1" s="104">
      <c r="B727" s="90" t="n"/>
    </row>
    <row r="728" ht="13.2" customHeight="1" s="104">
      <c r="B728" s="90" t="n"/>
    </row>
    <row r="729" ht="13.2" customHeight="1" s="104">
      <c r="B729" s="90" t="n"/>
    </row>
    <row r="730" ht="13.2" customHeight="1" s="104">
      <c r="B730" s="90" t="n"/>
    </row>
    <row r="731" ht="13.2" customHeight="1" s="104">
      <c r="B731" s="90" t="n"/>
    </row>
    <row r="732" ht="13.2" customHeight="1" s="104">
      <c r="B732" s="90" t="n"/>
    </row>
    <row r="733" ht="13.2" customHeight="1" s="104">
      <c r="B733" s="90" t="n"/>
    </row>
    <row r="734" ht="13.2" customHeight="1" s="104">
      <c r="B734" s="90" t="n"/>
    </row>
    <row r="735" ht="13.2" customHeight="1" s="104">
      <c r="B735" s="90" t="n"/>
    </row>
    <row r="736" ht="13.2" customHeight="1" s="104">
      <c r="B736" s="90" t="n"/>
    </row>
    <row r="737" ht="13.2" customHeight="1" s="104">
      <c r="B737" s="90" t="n"/>
    </row>
    <row r="738" ht="13.2" customHeight="1" s="104">
      <c r="B738" s="90" t="n"/>
    </row>
    <row r="739" ht="13.2" customHeight="1" s="104">
      <c r="B739" s="90" t="n"/>
    </row>
    <row r="740" ht="13.2" customHeight="1" s="104">
      <c r="B740" s="90" t="n"/>
    </row>
    <row r="741" ht="13.2" customHeight="1" s="104">
      <c r="B741" s="90" t="n"/>
    </row>
    <row r="742" ht="13.2" customHeight="1" s="104">
      <c r="B742" s="90" t="n"/>
    </row>
    <row r="743" ht="13.2" customHeight="1" s="104">
      <c r="B743" s="90" t="n"/>
    </row>
    <row r="744" ht="13.2" customHeight="1" s="104">
      <c r="B744" s="90" t="n"/>
    </row>
    <row r="745" ht="13.2" customHeight="1" s="104">
      <c r="B745" s="90" t="n"/>
    </row>
    <row r="746" ht="13.2" customHeight="1" s="104">
      <c r="B746" s="90" t="n"/>
    </row>
    <row r="747" ht="13.2" customHeight="1" s="104">
      <c r="B747" s="90" t="n"/>
    </row>
    <row r="748" ht="13.2" customHeight="1" s="104">
      <c r="B748" s="90" t="n"/>
    </row>
    <row r="749" ht="13.2" customHeight="1" s="104">
      <c r="B749" s="90" t="n"/>
    </row>
    <row r="750" ht="13.2" customHeight="1" s="104">
      <c r="B750" s="90" t="n"/>
    </row>
    <row r="751" ht="13.2" customHeight="1" s="104">
      <c r="B751" s="90" t="n"/>
    </row>
    <row r="752" ht="13.2" customHeight="1" s="104">
      <c r="B752" s="90" t="n"/>
    </row>
    <row r="753" ht="13.2" customHeight="1" s="104">
      <c r="B753" s="90" t="n"/>
    </row>
    <row r="754" ht="13.2" customHeight="1" s="104">
      <c r="B754" s="90" t="n"/>
    </row>
    <row r="755" ht="13.2" customHeight="1" s="104">
      <c r="B755" s="90" t="n"/>
    </row>
    <row r="756" ht="13.2" customHeight="1" s="104">
      <c r="B756" s="90" t="n"/>
    </row>
    <row r="757" ht="13.2" customHeight="1" s="104">
      <c r="B757" s="90" t="n"/>
    </row>
    <row r="758" ht="13.2" customHeight="1" s="104">
      <c r="B758" s="90" t="n"/>
    </row>
    <row r="759" ht="13.2" customHeight="1" s="104">
      <c r="B759" s="90" t="n"/>
    </row>
    <row r="760" ht="13.2" customHeight="1" s="104">
      <c r="B760" s="90" t="n"/>
    </row>
    <row r="761" ht="13.2" customHeight="1" s="104">
      <c r="B761" s="90" t="n"/>
    </row>
    <row r="762" ht="13.2" customHeight="1" s="104">
      <c r="B762" s="90" t="n"/>
    </row>
    <row r="763" ht="13.2" customHeight="1" s="104">
      <c r="B763" s="90" t="n"/>
    </row>
    <row r="764" ht="13.2" customHeight="1" s="104">
      <c r="B764" s="90" t="n"/>
    </row>
    <row r="765" ht="13.2" customHeight="1" s="104">
      <c r="B765" s="90" t="n"/>
    </row>
    <row r="766" ht="13.2" customHeight="1" s="104">
      <c r="B766" s="90" t="n"/>
    </row>
    <row r="767" ht="13.2" customHeight="1" s="104">
      <c r="B767" s="90" t="n"/>
    </row>
    <row r="768" ht="13.2" customHeight="1" s="104">
      <c r="B768" s="90" t="n"/>
    </row>
    <row r="769" ht="13.2" customHeight="1" s="104">
      <c r="B769" s="90" t="n"/>
    </row>
    <row r="770" ht="13.2" customHeight="1" s="104">
      <c r="B770" s="90" t="n"/>
    </row>
    <row r="771" ht="13.2" customHeight="1" s="104">
      <c r="B771" s="90" t="n"/>
    </row>
    <row r="772" ht="13.2" customHeight="1" s="104">
      <c r="B772" s="90" t="n"/>
    </row>
    <row r="773" ht="13.2" customHeight="1" s="104">
      <c r="B773" s="90" t="n"/>
    </row>
    <row r="774" ht="13.2" customHeight="1" s="104">
      <c r="B774" s="90" t="n"/>
    </row>
    <row r="775" ht="13.2" customHeight="1" s="104">
      <c r="B775" s="90" t="n"/>
    </row>
    <row r="776" ht="13.2" customHeight="1" s="104">
      <c r="B776" s="90" t="n"/>
    </row>
    <row r="777" ht="13.2" customHeight="1" s="104">
      <c r="B777" s="90" t="n"/>
    </row>
    <row r="778" ht="13.2" customHeight="1" s="104">
      <c r="B778" s="90" t="n"/>
    </row>
    <row r="779" ht="13.2" customHeight="1" s="104">
      <c r="B779" s="90" t="n"/>
    </row>
    <row r="780" ht="13.2" customHeight="1" s="104">
      <c r="B780" s="90" t="n"/>
    </row>
    <row r="781" ht="13.2" customHeight="1" s="104">
      <c r="B781" s="90" t="n"/>
    </row>
    <row r="782" ht="13.2" customHeight="1" s="104">
      <c r="B782" s="90" t="n"/>
    </row>
    <row r="783" ht="13.2" customHeight="1" s="104">
      <c r="B783" s="90" t="n"/>
    </row>
    <row r="784" ht="13.2" customHeight="1" s="104">
      <c r="B784" s="90" t="n"/>
    </row>
    <row r="785" ht="13.2" customHeight="1" s="104">
      <c r="B785" s="90" t="n"/>
    </row>
    <row r="786" ht="13.2" customHeight="1" s="104">
      <c r="B786" s="90" t="n"/>
    </row>
    <row r="787" ht="13.2" customHeight="1" s="104">
      <c r="B787" s="90" t="n"/>
    </row>
    <row r="788" ht="13.2" customHeight="1" s="104">
      <c r="B788" s="90" t="n"/>
    </row>
    <row r="789" ht="13.2" customHeight="1" s="104">
      <c r="B789" s="90" t="n"/>
    </row>
    <row r="790" ht="13.2" customHeight="1" s="104">
      <c r="B790" s="90" t="n"/>
    </row>
    <row r="791" ht="13.2" customHeight="1" s="104">
      <c r="B791" s="90" t="n"/>
    </row>
    <row r="792" ht="13.2" customHeight="1" s="104">
      <c r="B792" s="90" t="n"/>
    </row>
    <row r="793" ht="13.2" customHeight="1" s="104">
      <c r="B793" s="90" t="n"/>
    </row>
    <row r="794" ht="13.2" customHeight="1" s="104">
      <c r="B794" s="90" t="n"/>
    </row>
    <row r="795" ht="13.2" customHeight="1" s="104">
      <c r="B795" s="90" t="n"/>
    </row>
    <row r="796" ht="13.2" customHeight="1" s="104">
      <c r="B796" s="90" t="n"/>
    </row>
    <row r="797" ht="13.2" customHeight="1" s="104">
      <c r="B797" s="90" t="n"/>
    </row>
    <row r="798" ht="13.2" customHeight="1" s="104">
      <c r="B798" s="90" t="n"/>
    </row>
    <row r="799" ht="13.2" customHeight="1" s="104">
      <c r="B799" s="90" t="n"/>
    </row>
    <row r="800" ht="13.2" customHeight="1" s="104">
      <c r="B800" s="90" t="n"/>
    </row>
    <row r="801" ht="13.2" customHeight="1" s="104">
      <c r="B801" s="90" t="n"/>
    </row>
    <row r="802" ht="13.2" customHeight="1" s="104">
      <c r="B802" s="90" t="n"/>
    </row>
    <row r="803" ht="13.2" customHeight="1" s="104">
      <c r="B803" s="90" t="n"/>
    </row>
    <row r="804" ht="13.2" customHeight="1" s="104">
      <c r="B804" s="90" t="n"/>
    </row>
    <row r="805" ht="13.2" customHeight="1" s="104">
      <c r="B805" s="90" t="n"/>
    </row>
    <row r="806" ht="13.2" customHeight="1" s="104">
      <c r="B806" s="90" t="n"/>
    </row>
    <row r="807" ht="13.2" customHeight="1" s="104">
      <c r="B807" s="90" t="n"/>
    </row>
    <row r="808" ht="13.2" customHeight="1" s="104">
      <c r="B808" s="90" t="n"/>
    </row>
    <row r="809" ht="13.2" customHeight="1" s="104">
      <c r="B809" s="90" t="n"/>
    </row>
    <row r="810" ht="13.2" customHeight="1" s="104">
      <c r="B810" s="90" t="n"/>
    </row>
    <row r="811" ht="13.2" customHeight="1" s="104">
      <c r="B811" s="90" t="n"/>
    </row>
    <row r="812" ht="13.2" customHeight="1" s="104">
      <c r="B812" s="90" t="n"/>
    </row>
    <row r="813" ht="13.2" customHeight="1" s="104">
      <c r="B813" s="90" t="n"/>
    </row>
    <row r="814" ht="13.2" customHeight="1" s="104">
      <c r="B814" s="90" t="n"/>
    </row>
    <row r="815" ht="13.2" customHeight="1" s="104">
      <c r="B815" s="90" t="n"/>
    </row>
    <row r="816" ht="13.2" customHeight="1" s="104">
      <c r="B816" s="90" t="n"/>
    </row>
    <row r="817" ht="13.2" customHeight="1" s="104">
      <c r="B817" s="90" t="n"/>
    </row>
    <row r="818" ht="13.2" customHeight="1" s="104">
      <c r="B818" s="90" t="n"/>
    </row>
    <row r="819" ht="13.2" customHeight="1" s="104">
      <c r="B819" s="90" t="n"/>
    </row>
    <row r="820" ht="13.2" customHeight="1" s="104">
      <c r="B820" s="90" t="n"/>
    </row>
    <row r="821" ht="13.2" customHeight="1" s="104">
      <c r="B821" s="90" t="n"/>
    </row>
    <row r="822" ht="13.2" customHeight="1" s="104">
      <c r="B822" s="90" t="n"/>
    </row>
    <row r="823" ht="13.2" customHeight="1" s="104">
      <c r="B823" s="90" t="n"/>
    </row>
    <row r="824" ht="13.2" customHeight="1" s="104">
      <c r="B824" s="90" t="n"/>
    </row>
    <row r="825" ht="13.2" customHeight="1" s="104">
      <c r="B825" s="90" t="n"/>
    </row>
    <row r="826" ht="13.2" customHeight="1" s="104">
      <c r="B826" s="90" t="n"/>
    </row>
    <row r="827" ht="13.2" customHeight="1" s="104">
      <c r="B827" s="90" t="n"/>
    </row>
    <row r="828" ht="13.2" customHeight="1" s="104">
      <c r="B828" s="90" t="n"/>
    </row>
    <row r="829" ht="13.2" customHeight="1" s="104">
      <c r="B829" s="90" t="n"/>
    </row>
    <row r="830" ht="13.2" customHeight="1" s="104">
      <c r="B830" s="90" t="n"/>
    </row>
    <row r="831" ht="13.2" customHeight="1" s="104">
      <c r="B831" s="90" t="n"/>
    </row>
    <row r="832" ht="13.2" customHeight="1" s="104">
      <c r="B832" s="90" t="n"/>
    </row>
    <row r="833" ht="13.2" customHeight="1" s="104">
      <c r="B833" s="90" t="n"/>
    </row>
    <row r="834" ht="13.2" customHeight="1" s="104">
      <c r="B834" s="90" t="n"/>
    </row>
    <row r="835" ht="13.2" customHeight="1" s="104">
      <c r="B835" s="90" t="n"/>
    </row>
    <row r="836" ht="13.2" customHeight="1" s="104">
      <c r="B836" s="90" t="n"/>
    </row>
    <row r="837" ht="13.2" customHeight="1" s="104">
      <c r="B837" s="90" t="n"/>
    </row>
    <row r="838" ht="13.2" customHeight="1" s="104">
      <c r="B838" s="90" t="n"/>
    </row>
    <row r="839" ht="13.2" customHeight="1" s="104">
      <c r="B839" s="90" t="n"/>
    </row>
    <row r="840" ht="13.2" customHeight="1" s="104">
      <c r="B840" s="90" t="n"/>
    </row>
    <row r="841" ht="13.2" customHeight="1" s="104">
      <c r="B841" s="90" t="n"/>
    </row>
    <row r="842" ht="13.2" customHeight="1" s="104">
      <c r="B842" s="90" t="n"/>
    </row>
    <row r="843" ht="13.2" customHeight="1" s="104">
      <c r="B843" s="90" t="n"/>
    </row>
    <row r="844" ht="13.2" customHeight="1" s="104">
      <c r="B844" s="90" t="n"/>
    </row>
    <row r="845" ht="13.2" customHeight="1" s="104">
      <c r="B845" s="90" t="n"/>
    </row>
    <row r="846" ht="13.2" customHeight="1" s="104">
      <c r="B846" s="90" t="n"/>
    </row>
    <row r="847" ht="13.2" customHeight="1" s="104">
      <c r="B847" s="90" t="n"/>
    </row>
    <row r="848" ht="13.2" customHeight="1" s="104">
      <c r="B848" s="90" t="n"/>
    </row>
    <row r="849" ht="13.2" customHeight="1" s="104">
      <c r="B849" s="90" t="n"/>
    </row>
    <row r="850" ht="13.2" customHeight="1" s="104">
      <c r="B850" s="90" t="n"/>
    </row>
    <row r="851" ht="13.2" customHeight="1" s="104">
      <c r="B851" s="90" t="n"/>
    </row>
    <row r="852" ht="13.2" customHeight="1" s="104">
      <c r="B852" s="90" t="n"/>
    </row>
    <row r="853" ht="13.2" customHeight="1" s="104">
      <c r="B853" s="90" t="n"/>
    </row>
    <row r="854" ht="13.2" customHeight="1" s="104">
      <c r="B854" s="90" t="n"/>
    </row>
    <row r="855" ht="13.2" customHeight="1" s="104">
      <c r="B855" s="90" t="n"/>
    </row>
    <row r="856" ht="13.2" customHeight="1" s="104">
      <c r="B856" s="90" t="n"/>
    </row>
    <row r="857" ht="13.2" customHeight="1" s="104">
      <c r="B857" s="90" t="n"/>
    </row>
    <row r="858" ht="13.2" customHeight="1" s="104">
      <c r="B858" s="90" t="n"/>
    </row>
    <row r="859" ht="13.2" customHeight="1" s="104">
      <c r="B859" s="90" t="n"/>
    </row>
    <row r="860" ht="13.2" customHeight="1" s="104">
      <c r="B860" s="90" t="n"/>
    </row>
    <row r="861" ht="13.2" customHeight="1" s="104">
      <c r="B861" s="90" t="n"/>
    </row>
    <row r="862" ht="13.2" customHeight="1" s="104">
      <c r="B862" s="90" t="n"/>
    </row>
    <row r="863" ht="13.2" customHeight="1" s="104">
      <c r="B863" s="90" t="n"/>
    </row>
    <row r="864" ht="13.2" customHeight="1" s="104">
      <c r="B864" s="90" t="n"/>
    </row>
    <row r="865" ht="13.2" customHeight="1" s="104">
      <c r="B865" s="90" t="n"/>
    </row>
    <row r="866" ht="13.2" customHeight="1" s="104">
      <c r="B866" s="90" t="n"/>
    </row>
    <row r="867" ht="13.2" customHeight="1" s="104">
      <c r="B867" s="90" t="n"/>
    </row>
    <row r="868" ht="13.2" customHeight="1" s="104">
      <c r="B868" s="90" t="n"/>
    </row>
    <row r="869" ht="13.2" customHeight="1" s="104">
      <c r="B869" s="90" t="n"/>
    </row>
    <row r="870" ht="13.2" customHeight="1" s="104">
      <c r="B870" s="90" t="n"/>
    </row>
    <row r="871" ht="13.2" customHeight="1" s="104">
      <c r="B871" s="90" t="n"/>
    </row>
    <row r="872" ht="13.2" customHeight="1" s="104">
      <c r="B872" s="90" t="n"/>
    </row>
    <row r="873" ht="13.2" customHeight="1" s="104">
      <c r="B873" s="90" t="n"/>
    </row>
    <row r="874" ht="13.2" customHeight="1" s="104">
      <c r="B874" s="90" t="n"/>
    </row>
    <row r="875" ht="13.2" customHeight="1" s="104">
      <c r="B875" s="90" t="n"/>
    </row>
    <row r="876" ht="13.2" customHeight="1" s="104">
      <c r="B876" s="90" t="n"/>
    </row>
    <row r="877" ht="13.2" customHeight="1" s="104">
      <c r="B877" s="90" t="n"/>
    </row>
    <row r="878" ht="13.2" customHeight="1" s="104">
      <c r="B878" s="90" t="n"/>
    </row>
    <row r="879" ht="13.2" customHeight="1" s="104">
      <c r="B879" s="90" t="n"/>
    </row>
    <row r="880" ht="13.2" customHeight="1" s="104">
      <c r="B880" s="90" t="n"/>
    </row>
    <row r="881" ht="13.2" customHeight="1" s="104">
      <c r="B881" s="90" t="n"/>
    </row>
    <row r="882" ht="13.2" customHeight="1" s="104">
      <c r="B882" s="90" t="n"/>
    </row>
    <row r="883" ht="13.2" customHeight="1" s="104">
      <c r="B883" s="90" t="n"/>
    </row>
    <row r="884" ht="13.2" customHeight="1" s="104">
      <c r="B884" s="90" t="n"/>
    </row>
    <row r="885" ht="13.2" customHeight="1" s="104">
      <c r="B885" s="90" t="n"/>
    </row>
    <row r="886" ht="13.2" customHeight="1" s="104">
      <c r="B886" s="90" t="n"/>
    </row>
    <row r="887" ht="13.2" customHeight="1" s="104">
      <c r="B887" s="90" t="n"/>
    </row>
    <row r="888" ht="13.2" customHeight="1" s="104">
      <c r="B888" s="90" t="n"/>
    </row>
    <row r="889" ht="13.2" customHeight="1" s="104">
      <c r="B889" s="90" t="n"/>
    </row>
    <row r="890" ht="13.2" customHeight="1" s="104">
      <c r="B890" s="90" t="n"/>
    </row>
    <row r="891" ht="13.2" customHeight="1" s="104">
      <c r="B891" s="90" t="n"/>
    </row>
    <row r="892" ht="13.2" customHeight="1" s="104">
      <c r="B892" s="90" t="n"/>
    </row>
    <row r="893" ht="13.2" customHeight="1" s="104">
      <c r="B893" s="90" t="n"/>
    </row>
    <row r="894" ht="13.2" customHeight="1" s="104">
      <c r="B894" s="90" t="n"/>
    </row>
    <row r="895" ht="13.2" customHeight="1" s="104">
      <c r="B895" s="90" t="n"/>
    </row>
    <row r="896" ht="13.2" customHeight="1" s="104">
      <c r="B896" s="90" t="n"/>
    </row>
    <row r="897" ht="13.2" customHeight="1" s="104">
      <c r="B897" s="90" t="n"/>
    </row>
    <row r="898" ht="13.2" customHeight="1" s="104">
      <c r="B898" s="90" t="n"/>
    </row>
    <row r="899" ht="13.2" customHeight="1" s="104">
      <c r="B899" s="90" t="n"/>
    </row>
    <row r="900" ht="13.2" customHeight="1" s="104">
      <c r="B900" s="90" t="n"/>
    </row>
    <row r="901" ht="13.2" customHeight="1" s="104">
      <c r="B901" s="90" t="n"/>
    </row>
    <row r="902" ht="13.2" customHeight="1" s="104">
      <c r="B902" s="90" t="n"/>
    </row>
    <row r="903" ht="13.2" customHeight="1" s="104">
      <c r="B903" s="90" t="n"/>
    </row>
    <row r="904" ht="13.2" customHeight="1" s="104">
      <c r="B904" s="90" t="n"/>
    </row>
    <row r="905" ht="13.2" customHeight="1" s="104">
      <c r="B905" s="90" t="n"/>
    </row>
    <row r="906" ht="13.2" customHeight="1" s="104">
      <c r="B906" s="90" t="n"/>
    </row>
    <row r="907" ht="13.2" customHeight="1" s="104">
      <c r="B907" s="90" t="n"/>
    </row>
    <row r="908" ht="13.2" customHeight="1" s="104">
      <c r="B908" s="90" t="n"/>
    </row>
    <row r="909" ht="13.2" customHeight="1" s="104">
      <c r="B909" s="90" t="n"/>
    </row>
    <row r="910" ht="13.2" customHeight="1" s="104">
      <c r="B910" s="90" t="n"/>
    </row>
    <row r="911" ht="13.2" customHeight="1" s="104">
      <c r="B911" s="90" t="n"/>
    </row>
    <row r="912" ht="13.2" customHeight="1" s="104">
      <c r="B912" s="90" t="n"/>
    </row>
    <row r="913" ht="13.2" customHeight="1" s="104">
      <c r="B913" s="90" t="n"/>
    </row>
    <row r="914" ht="13.2" customHeight="1" s="104">
      <c r="B914" s="90" t="n"/>
    </row>
    <row r="915" ht="13.2" customHeight="1" s="104">
      <c r="B915" s="90" t="n"/>
    </row>
    <row r="916" ht="13.2" customHeight="1" s="104">
      <c r="B916" s="90" t="n"/>
    </row>
    <row r="917" ht="13.2" customHeight="1" s="104">
      <c r="B917" s="90" t="n"/>
    </row>
    <row r="918" ht="13.2" customHeight="1" s="104">
      <c r="B918" s="90" t="n"/>
    </row>
    <row r="919" ht="13.2" customHeight="1" s="104">
      <c r="B919" s="90" t="n"/>
    </row>
    <row r="920" ht="13.2" customHeight="1" s="104">
      <c r="B920" s="90" t="n"/>
    </row>
    <row r="921" ht="13.2" customHeight="1" s="104">
      <c r="B921" s="90" t="n"/>
    </row>
    <row r="922" ht="13.2" customHeight="1" s="104">
      <c r="B922" s="90" t="n"/>
    </row>
    <row r="923" ht="13.2" customHeight="1" s="104">
      <c r="B923" s="90" t="n"/>
    </row>
    <row r="924" ht="13.2" customHeight="1" s="104">
      <c r="B924" s="90" t="n"/>
    </row>
    <row r="925" ht="13.2" customHeight="1" s="104">
      <c r="B925" s="90" t="n"/>
    </row>
    <row r="926" ht="13.2" customHeight="1" s="104">
      <c r="B926" s="90" t="n"/>
    </row>
    <row r="927" ht="13.2" customHeight="1" s="104">
      <c r="B927" s="90" t="n"/>
    </row>
    <row r="928" ht="13.2" customHeight="1" s="104">
      <c r="B928" s="90" t="n"/>
    </row>
    <row r="929" ht="13.2" customHeight="1" s="104">
      <c r="B929" s="90" t="n"/>
    </row>
    <row r="930" ht="13.2" customHeight="1" s="104">
      <c r="B930" s="90" t="n"/>
    </row>
    <row r="931" ht="13.2" customHeight="1" s="104">
      <c r="B931" s="90" t="n"/>
    </row>
    <row r="932" ht="13.2" customHeight="1" s="104">
      <c r="B932" s="90" t="n"/>
    </row>
    <row r="933" ht="13.2" customHeight="1" s="104">
      <c r="B933" s="90" t="n"/>
    </row>
    <row r="934" ht="13.2" customHeight="1" s="104">
      <c r="B934" s="90" t="n"/>
    </row>
    <row r="935" ht="13.2" customHeight="1" s="104">
      <c r="B935" s="90" t="n"/>
    </row>
    <row r="936" ht="13.2" customHeight="1" s="104">
      <c r="B936" s="90" t="n"/>
    </row>
    <row r="937" ht="13.2" customHeight="1" s="104">
      <c r="B937" s="90" t="n"/>
    </row>
    <row r="938" ht="13.2" customHeight="1" s="104">
      <c r="B938" s="90" t="n"/>
    </row>
    <row r="939" ht="13.2" customHeight="1" s="104">
      <c r="B939" s="90" t="n"/>
    </row>
    <row r="940" ht="13.2" customHeight="1" s="104">
      <c r="B940" s="90" t="n"/>
    </row>
    <row r="941" ht="13.2" customHeight="1" s="104">
      <c r="B941" s="90" t="n"/>
    </row>
    <row r="942" ht="13.2" customHeight="1" s="104">
      <c r="B942" s="90" t="n"/>
    </row>
    <row r="943" ht="13.2" customHeight="1" s="104">
      <c r="B943" s="90" t="n"/>
    </row>
    <row r="944" ht="13.2" customHeight="1" s="104">
      <c r="B944" s="90" t="n"/>
    </row>
    <row r="945" ht="13.2" customHeight="1" s="104">
      <c r="B945" s="90" t="n"/>
    </row>
    <row r="946" ht="13.2" customHeight="1" s="104">
      <c r="B946" s="90" t="n"/>
    </row>
    <row r="947" ht="13.2" customHeight="1" s="104">
      <c r="B947" s="90" t="n"/>
    </row>
    <row r="948" ht="13.2" customHeight="1" s="104">
      <c r="B948" s="90" t="n"/>
    </row>
    <row r="949" ht="13.2" customHeight="1" s="104">
      <c r="B949" s="90" t="n"/>
    </row>
    <row r="950" ht="13.2" customHeight="1" s="104">
      <c r="B950" s="90" t="n"/>
    </row>
    <row r="951" ht="13.2" customHeight="1" s="104">
      <c r="B951" s="90" t="n"/>
    </row>
    <row r="952" ht="13.2" customHeight="1" s="104">
      <c r="B952" s="90" t="n"/>
    </row>
    <row r="953" ht="13.2" customHeight="1" s="104">
      <c r="B953" s="90" t="n"/>
    </row>
    <row r="954" ht="13.2" customHeight="1" s="104">
      <c r="B954" s="90" t="n"/>
    </row>
    <row r="955" ht="13.2" customHeight="1" s="104">
      <c r="B955" s="90" t="n"/>
    </row>
    <row r="956" ht="13.2" customHeight="1" s="104">
      <c r="B956" s="90" t="n"/>
    </row>
    <row r="957" ht="13.2" customHeight="1" s="104">
      <c r="B957" s="90" t="n"/>
    </row>
    <row r="958" ht="13.2" customHeight="1" s="104">
      <c r="B958" s="90" t="n"/>
    </row>
    <row r="959" ht="13.2" customHeight="1" s="104">
      <c r="B959" s="90" t="n"/>
    </row>
    <row r="960" ht="13.2" customHeight="1" s="104">
      <c r="B960" s="90" t="n"/>
    </row>
    <row r="961" ht="13.2" customHeight="1" s="104">
      <c r="B961" s="90" t="n"/>
    </row>
    <row r="962" ht="13.2" customHeight="1" s="104">
      <c r="B962" s="90" t="n"/>
    </row>
    <row r="963" ht="13.2" customHeight="1" s="104">
      <c r="B963" s="90" t="n"/>
    </row>
    <row r="964" ht="13.2" customHeight="1" s="104">
      <c r="B964" s="90" t="n"/>
    </row>
    <row r="965" ht="13.2" customHeight="1" s="104">
      <c r="B965" s="90" t="n"/>
    </row>
    <row r="966" ht="13.2" customHeight="1" s="104">
      <c r="B966" s="90" t="n"/>
    </row>
    <row r="967" ht="13.2" customHeight="1" s="104">
      <c r="B967" s="90" t="n"/>
    </row>
    <row r="968" ht="13.2" customHeight="1" s="104">
      <c r="B968" s="90" t="n"/>
    </row>
    <row r="969" ht="13.2" customHeight="1" s="104">
      <c r="B969" s="90" t="n"/>
    </row>
    <row r="970" ht="13.2" customHeight="1" s="104">
      <c r="B970" s="90" t="n"/>
    </row>
    <row r="971" ht="13.2" customHeight="1" s="104">
      <c r="B971" s="90" t="n"/>
    </row>
    <row r="972" ht="13.2" customHeight="1" s="104">
      <c r="B972" s="90" t="n"/>
    </row>
    <row r="973" ht="13.2" customHeight="1" s="104">
      <c r="B973" s="90" t="n"/>
    </row>
    <row r="974" ht="13.2" customHeight="1" s="104">
      <c r="B974" s="90" t="n"/>
    </row>
    <row r="975" ht="13.2" customHeight="1" s="104">
      <c r="B975" s="90" t="n"/>
    </row>
    <row r="976" ht="13.2" customHeight="1" s="104">
      <c r="B976" s="90" t="n"/>
    </row>
    <row r="977" ht="13.2" customHeight="1" s="104">
      <c r="B977" s="90" t="n"/>
    </row>
    <row r="978" ht="13.2" customHeight="1" s="104">
      <c r="B978" s="90" t="n"/>
    </row>
    <row r="979" ht="13.2" customHeight="1" s="104">
      <c r="B979" s="90" t="n"/>
    </row>
    <row r="980" ht="13.2" customHeight="1" s="104">
      <c r="B980" s="90" t="n"/>
    </row>
    <row r="981" ht="13.2" customHeight="1" s="104">
      <c r="B981" s="90" t="n"/>
    </row>
    <row r="982" ht="13.2" customHeight="1" s="104">
      <c r="B982" s="90" t="n"/>
    </row>
    <row r="983" ht="13.2" customHeight="1" s="104">
      <c r="B983" s="90" t="n"/>
    </row>
    <row r="984" ht="13.2" customHeight="1" s="104">
      <c r="B984" s="90" t="n"/>
    </row>
    <row r="985" ht="13.2" customHeight="1" s="104">
      <c r="B985" s="90" t="n"/>
    </row>
    <row r="986" ht="13.2" customHeight="1" s="104">
      <c r="B986" s="90" t="n"/>
    </row>
    <row r="987" ht="13.2" customHeight="1" s="104">
      <c r="B987" s="90" t="n"/>
    </row>
    <row r="988" ht="13.2" customHeight="1" s="104">
      <c r="B988" s="90" t="n"/>
    </row>
    <row r="989" ht="13.2" customHeight="1" s="104">
      <c r="B989" s="90" t="n"/>
    </row>
    <row r="990" ht="13.2" customHeight="1" s="104">
      <c r="B990" s="90" t="n"/>
    </row>
    <row r="991" ht="13.2" customHeight="1" s="104">
      <c r="B991" s="90" t="n"/>
    </row>
    <row r="992" ht="13.2" customHeight="1" s="104">
      <c r="B992" s="90" t="n"/>
    </row>
    <row r="993" ht="13.2" customHeight="1" s="104">
      <c r="B993" s="90" t="n"/>
    </row>
    <row r="994" ht="13.2" customHeight="1" s="104">
      <c r="B994" s="90" t="n"/>
    </row>
    <row r="995" ht="13.2" customHeight="1" s="104">
      <c r="B995" s="90" t="n"/>
    </row>
    <row r="996" ht="13.2" customHeight="1" s="104">
      <c r="B996" s="90" t="n"/>
    </row>
    <row r="997" ht="13.2" customHeight="1" s="104">
      <c r="B997" s="90" t="n"/>
    </row>
  </sheetData>
  <mergeCells count="33">
    <mergeCell ref="J29:K29"/>
    <mergeCell ref="J5:K5"/>
    <mergeCell ref="J14:K14"/>
    <mergeCell ref="J10:K10"/>
    <mergeCell ref="J19:K19"/>
    <mergeCell ref="J28:K28"/>
    <mergeCell ref="J13:K13"/>
    <mergeCell ref="J9:K9"/>
    <mergeCell ref="J30:K30"/>
    <mergeCell ref="J6:K6"/>
    <mergeCell ref="J24:K24"/>
    <mergeCell ref="J15:K15"/>
    <mergeCell ref="B4:B8"/>
    <mergeCell ref="J27:K27"/>
    <mergeCell ref="J26:K26"/>
    <mergeCell ref="B9:B10"/>
    <mergeCell ref="J4:K4"/>
    <mergeCell ref="J11:K11"/>
    <mergeCell ref="J20:K20"/>
    <mergeCell ref="J16:K16"/>
    <mergeCell ref="J7:K7"/>
    <mergeCell ref="J25:K25"/>
    <mergeCell ref="B20:B30"/>
    <mergeCell ref="J22:K22"/>
    <mergeCell ref="J3:K3"/>
    <mergeCell ref="J21:K21"/>
    <mergeCell ref="J12:K12"/>
    <mergeCell ref="J2:K2"/>
    <mergeCell ref="J18:K18"/>
    <mergeCell ref="B11:B19"/>
    <mergeCell ref="J23:K23"/>
    <mergeCell ref="J8:K8"/>
    <mergeCell ref="J17:K17"/>
  </mergeCells>
  <hyperlinks>
    <hyperlink xmlns:r="http://schemas.openxmlformats.org/officeDocument/2006/relationships" ref="I9" r:id="rId1"/>
    <hyperlink xmlns:r="http://schemas.openxmlformats.org/officeDocument/2006/relationships" ref="I10" location="gid=1473838937" r:id="rId2"/>
    <hyperlink xmlns:r="http://schemas.openxmlformats.org/officeDocument/2006/relationships" ref="J10" r:id="rId3"/>
    <hyperlink xmlns:r="http://schemas.openxmlformats.org/officeDocument/2006/relationships" ref="I19" r:id="rId4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Nathalia Silva Brandão</dc:creator>
  <dcterms:created xsi:type="dcterms:W3CDTF">2022-11-18T19:55:43Z</dcterms:created>
  <dcterms:modified xsi:type="dcterms:W3CDTF">2026-08-26T12:00:44Z</dcterms:modified>
  <cp:lastModifiedBy>Vinícius Mota</cp:lastModifiedBy>
</cp:coreProperties>
</file>