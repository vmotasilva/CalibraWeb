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mota\Documents\"/>
    </mc:Choice>
  </mc:AlternateContent>
  <xr:revisionPtr revIDLastSave="0" documentId="8_{DFCD0FDD-BF0D-4A49-BA3B-11D81D4FC1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eck-List" sheetId="1" r:id="rId1"/>
    <sheet name="Evidências" sheetId="2" r:id="rId2"/>
    <sheet name="Resultados" sheetId="3" r:id="rId3"/>
    <sheet name="atenção" sheetId="4" state="hidden" r:id="rId4"/>
  </sheets>
  <definedNames>
    <definedName name="_xlnm.Print_Area" localSheetId="1">Evidências!$A$1:$F$19</definedName>
    <definedName name="_xlnm.Print_Area" localSheetId="2">Resultados!$A$1:$P$49</definedName>
    <definedName name="bd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4" l="1"/>
  <c r="G31" i="4"/>
  <c r="F31" i="4"/>
  <c r="E31" i="4"/>
  <c r="N20" i="4"/>
  <c r="M20" i="4"/>
  <c r="L20" i="4"/>
  <c r="N11" i="4"/>
  <c r="M11" i="4"/>
  <c r="L11" i="4"/>
  <c r="N4" i="4"/>
  <c r="M4" i="4"/>
  <c r="L4" i="4"/>
  <c r="C48" i="3"/>
  <c r="D46" i="3"/>
  <c r="H8" i="3"/>
  <c r="G8" i="3"/>
  <c r="F8" i="3"/>
  <c r="J8" i="3" s="1"/>
  <c r="E8" i="3"/>
  <c r="D8" i="3"/>
  <c r="C8" i="3"/>
  <c r="H7" i="3"/>
  <c r="D47" i="3" s="1"/>
  <c r="G7" i="3"/>
  <c r="F7" i="3"/>
  <c r="C47" i="3" s="1"/>
  <c r="E7" i="3"/>
  <c r="C7" i="3"/>
  <c r="D7" i="3" s="1"/>
  <c r="H6" i="3"/>
  <c r="G6" i="3"/>
  <c r="F6" i="3"/>
  <c r="C46" i="3" s="1"/>
  <c r="E6" i="3"/>
  <c r="C6" i="3"/>
  <c r="D6" i="3" s="1"/>
  <c r="H5" i="3"/>
  <c r="D45" i="3" s="1"/>
  <c r="G5" i="3"/>
  <c r="F5" i="3"/>
  <c r="C45" i="3" s="1"/>
  <c r="E5" i="3"/>
  <c r="C5" i="3"/>
  <c r="C9" i="3" s="1"/>
  <c r="H4" i="3"/>
  <c r="G4" i="3"/>
  <c r="F4" i="3"/>
  <c r="C44" i="3" s="1"/>
  <c r="E4" i="3"/>
  <c r="C4" i="3"/>
  <c r="D4" i="3" s="1"/>
  <c r="D92" i="1"/>
  <c r="D91" i="1"/>
  <c r="D90" i="1"/>
  <c r="D93" i="1" s="1"/>
  <c r="M74" i="1"/>
  <c r="M75" i="1" s="1"/>
  <c r="L74" i="1"/>
  <c r="K74" i="1"/>
  <c r="K75" i="1" s="1"/>
  <c r="M43" i="1"/>
  <c r="L43" i="1"/>
  <c r="K43" i="1"/>
  <c r="M37" i="1"/>
  <c r="L37" i="1"/>
  <c r="K37" i="1"/>
  <c r="K38" i="1" s="1"/>
  <c r="M25" i="1"/>
  <c r="M26" i="1" s="1"/>
  <c r="L25" i="1"/>
  <c r="K25" i="1"/>
  <c r="K26" i="1" s="1"/>
  <c r="M13" i="1"/>
  <c r="L13" i="1"/>
  <c r="K13" i="1"/>
  <c r="K14" i="1" s="1"/>
  <c r="I6" i="3" l="1"/>
  <c r="L44" i="1"/>
  <c r="K6" i="3"/>
  <c r="I8" i="3"/>
  <c r="M44" i="1"/>
  <c r="L75" i="1"/>
  <c r="K7" i="3"/>
  <c r="E9" i="3"/>
  <c r="H9" i="3"/>
  <c r="L26" i="1"/>
  <c r="M38" i="1"/>
  <c r="K8" i="3"/>
  <c r="L14" i="1"/>
  <c r="G9" i="3"/>
  <c r="E92" i="1"/>
  <c r="E91" i="1"/>
  <c r="I7" i="3"/>
  <c r="C49" i="3"/>
  <c r="M14" i="1"/>
  <c r="K44" i="1"/>
  <c r="I4" i="3"/>
  <c r="E90" i="1"/>
  <c r="E93" i="1" s="1"/>
  <c r="J4" i="3"/>
  <c r="D44" i="3"/>
  <c r="D49" i="3" s="1"/>
  <c r="D48" i="3"/>
  <c r="L38" i="1"/>
  <c r="K4" i="3"/>
  <c r="F9" i="3"/>
  <c r="J6" i="3"/>
  <c r="D5" i="3"/>
  <c r="K5" i="3" s="1"/>
  <c r="J7" i="3"/>
  <c r="D9" i="3" l="1"/>
  <c r="J9" i="3" s="1"/>
  <c r="J5" i="3"/>
  <c r="O2" i="3"/>
  <c r="I5" i="3"/>
  <c r="O3" i="3" l="1"/>
  <c r="I9" i="3"/>
  <c r="K9" i="3"/>
</calcChain>
</file>

<file path=xl/sharedStrings.xml><?xml version="1.0" encoding="utf-8"?>
<sst xmlns="http://schemas.openxmlformats.org/spreadsheetml/2006/main" count="364" uniqueCount="256">
  <si>
    <t>Check List de Auditoria ISO 13485:2016</t>
  </si>
  <si>
    <t>INFORMAÇÕES GERAIS</t>
  </si>
  <si>
    <t>Unidade</t>
  </si>
  <si>
    <t>Tipo de Auditoria</t>
  </si>
  <si>
    <t>Nome do Auditor:</t>
  </si>
  <si>
    <t>Remota</t>
  </si>
  <si>
    <t>Data de Auditoria:</t>
  </si>
  <si>
    <t>Presencial</t>
  </si>
  <si>
    <t>Escopo</t>
  </si>
  <si>
    <r>
      <rPr>
        <b/>
        <sz val="10"/>
        <color theme="1"/>
        <rFont val="Verdana"/>
      </rPr>
      <t xml:space="preserve">Plano de Ação 
</t>
    </r>
    <r>
      <rPr>
        <sz val="8"/>
        <color theme="1"/>
        <rFont val="Verdana"/>
      </rPr>
      <t>(caso tenha alguma NC ou OM)</t>
    </r>
  </si>
  <si>
    <t>*Legenda</t>
  </si>
  <si>
    <r>
      <rPr>
        <b/>
        <sz val="8"/>
        <color rgb="FF000000"/>
        <rFont val="Verdana"/>
      </rPr>
      <t>C:</t>
    </r>
    <r>
      <rPr>
        <sz val="8"/>
        <color rgb="FF000000"/>
        <rFont val="Verdana"/>
      </rPr>
      <t xml:space="preserve"> Conforme          </t>
    </r>
    <r>
      <rPr>
        <b/>
        <sz val="8"/>
        <color rgb="FF000000"/>
        <rFont val="Verdana"/>
      </rPr>
      <t>NC:</t>
    </r>
    <r>
      <rPr>
        <sz val="8"/>
        <color rgb="FF000000"/>
        <rFont val="Verdana"/>
      </rPr>
      <t xml:space="preserve"> Não Conforme          </t>
    </r>
    <r>
      <rPr>
        <b/>
        <sz val="8"/>
        <color rgb="FF000000"/>
        <rFont val="Verdana"/>
      </rPr>
      <t>NA:</t>
    </r>
    <r>
      <rPr>
        <sz val="8"/>
        <color rgb="FF000000"/>
        <rFont val="Verdana"/>
      </rPr>
      <t xml:space="preserve"> Não Aplicável          </t>
    </r>
    <r>
      <rPr>
        <b/>
        <sz val="8"/>
        <color rgb="FF000000"/>
        <rFont val="Verdana"/>
      </rPr>
      <t>OM:</t>
    </r>
    <r>
      <rPr>
        <sz val="8"/>
        <color rgb="FF000000"/>
        <rFont val="Verdana"/>
      </rPr>
      <t xml:space="preserve"> Oportunidade de Melhoria</t>
    </r>
  </si>
  <si>
    <t>Item</t>
  </si>
  <si>
    <t>Questão</t>
  </si>
  <si>
    <t>C</t>
  </si>
  <si>
    <t>NC</t>
  </si>
  <si>
    <t>NA</t>
  </si>
  <si>
    <t>OM</t>
  </si>
  <si>
    <t>Evidência</t>
  </si>
  <si>
    <t>Observação</t>
  </si>
  <si>
    <t>SISTEMA DE GESTÃO DA QUALIDADE</t>
  </si>
  <si>
    <t>4.1.1</t>
  </si>
  <si>
    <t>A organização documenta seu papel em relação aos requisitos regulatórios aplicáveis?</t>
  </si>
  <si>
    <t>4.1.2</t>
  </si>
  <si>
    <t>A organização possui uma estrutura de: 
- Hierárquica dos documentos;
- Controle dos riscos dos processos;
- Sequência e  intereção dos processos.</t>
  </si>
  <si>
    <t>4.1.3</t>
  </si>
  <si>
    <t>A organização controla a documentação da qualidade? Assegura que a documentação de suporte necessária esteja disponível?</t>
  </si>
  <si>
    <t>4.1.4</t>
  </si>
  <si>
    <t>As mudanças realizadas na documentação são avaliadas com relação ao seu impacto no SGQ e produtos?</t>
  </si>
  <si>
    <t>4.1.5</t>
  </si>
  <si>
    <t>A organização terceiriza algum processo? Monitora e assegura os controles dos processos?</t>
  </si>
  <si>
    <t>4.1.6</t>
  </si>
  <si>
    <t>A organização documentou procedimento de validação de softwares que impactem no SGQ?</t>
  </si>
  <si>
    <t>4.2.1</t>
  </si>
  <si>
    <t>A organização documentou a Política da Qualidade?</t>
  </si>
  <si>
    <t>4.2.2</t>
  </si>
  <si>
    <t>A organização documentou o Manual da Qualidade?</t>
  </si>
  <si>
    <t>4.2.3</t>
  </si>
  <si>
    <t>A organização possui documentação dos produtos? (Descrição, especificações, registro, procedimentos relacionados ao produto?)</t>
  </si>
  <si>
    <t>4.2.4</t>
  </si>
  <si>
    <t>A organização documentou procedimento para controlar, analisar, aprovar, previnir deterioração, previnir uso não intencional e assegurar que as versões vigentes dos documentos estejam disponíveis?</t>
  </si>
  <si>
    <t>4.2.5</t>
  </si>
  <si>
    <t>A organização documentou procedimento para definir, identificar, armazenar, dar tempo de retenção, garantir a integridade e rápida recuperação de registros?</t>
  </si>
  <si>
    <t>RESPONSABILIDADE DA DIREÇÃO</t>
  </si>
  <si>
    <t>5.1</t>
  </si>
  <si>
    <t>A alta direção fornece evidência de seu comprometimento com os requisitos do SGQ: política da qualidade, objetivos da qualidade e conduz análises críticas?</t>
  </si>
  <si>
    <t>5.2</t>
  </si>
  <si>
    <t>A alta direção assegura que os requisitos regulatórios e aplicáveis sejam determinados e atendidos?</t>
  </si>
  <si>
    <t>5.3</t>
  </si>
  <si>
    <t>A alta direção assegura que a política da qualidade seja aplicável, seja comunicada e compreendida e a analisa criticamente para sua contínua adequação?</t>
  </si>
  <si>
    <t>5.4.1</t>
  </si>
  <si>
    <t>A alta direção assegura que os objetivos da qualidade, sejam estabelecidos em funções e níveis relevantes dentro da organização? Os objetivos da qualidade são mensuráveis e coerentes com a política da qualidade?</t>
  </si>
  <si>
    <t>5.4.2</t>
  </si>
  <si>
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</si>
  <si>
    <t>5.5.1</t>
  </si>
  <si>
    <t>A alta direção documenta e assegura a inter-relação do pessoal que gerencia, desempenha e verifica o trabalho?</t>
  </si>
  <si>
    <t>5.5.2</t>
  </si>
  <si>
    <t>A organização possui um representante da direção indicado pela alta direção?</t>
  </si>
  <si>
    <t>5.5.3</t>
  </si>
  <si>
    <t>A alta direção assegura um processo de comunicação apropriado à organização com relação ao SGQ?</t>
  </si>
  <si>
    <t>5.6.1</t>
  </si>
  <si>
    <t>A organização documentou procedimento para análise crítica pela direção?</t>
  </si>
  <si>
    <t>5.6.2</t>
  </si>
  <si>
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</si>
  <si>
    <t>5.6.3</t>
  </si>
  <si>
    <t>As saídas de análise crítica são registradas? (Melhorias necessárias para adequação e eficácia do SGQ, melhorias de produto, alterações para atender requisitos regulatórios, recursos)</t>
  </si>
  <si>
    <t>GESTÃO DE RECURSOS</t>
  </si>
  <si>
    <t>6.1</t>
  </si>
  <si>
    <t>A organização determina e provê os recursos para implementação e atendimento à requisitos regulatórios e de clientes do SGQ?</t>
  </si>
  <si>
    <t>6.2</t>
  </si>
  <si>
    <t>O pessoal que executa o trabalho que afeta a qualidade possui competência e é treinado para a atividade que exerce? Os registros são mantidos?  A eficácia é avaliada?</t>
  </si>
  <si>
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</si>
  <si>
    <t>6.4.1</t>
  </si>
  <si>
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</si>
  <si>
    <t>6.4.2</t>
  </si>
  <si>
    <t>A organização planeja e documenta as tratativas para controle de produtos contaminados ou potencialmente contaminados para previnir contaminação do ambiente de trabalho, pessoal e produtos?</t>
  </si>
  <si>
    <t>REALIZAÇÃO DE PRODUTO (FABRICAÇÃO)</t>
  </si>
  <si>
    <t>7.1</t>
  </si>
  <si>
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</si>
  <si>
    <t>7.2.1</t>
  </si>
  <si>
    <t>Os requisitos especificados pelos clientes, os não declarados, os requisitos regulatórios, treinamentos necessários para o desempenho do produto e quaisquer outro requisitos estabelecidos pela organização são determinados pela organização?</t>
  </si>
  <si>
    <t>7.2.2</t>
  </si>
  <si>
    <t xml:space="preserve">A organização analisa criticamente os requisitos relacionados aos produtos antes de fornecê-lo? </t>
  </si>
  <si>
    <t>7.2.3</t>
  </si>
  <si>
    <r>
      <rPr>
        <sz val="10"/>
        <color theme="1"/>
        <rFont val="Verdana"/>
      </rPr>
      <t>A organização planeja e documenta os arranjos de comunicação com o cliente em relação a</t>
    </r>
    <r>
      <rPr>
        <i/>
        <sz val="10"/>
        <color theme="1"/>
        <rFont val="Verdana"/>
      </rPr>
      <t xml:space="preserve"> informações do produto, tratamento de solicitações, contratos ou pedidos, feedbacks dos clientes, notas de aviso</t>
    </r>
    <r>
      <rPr>
        <sz val="10"/>
        <color theme="1"/>
        <rFont val="Verdana"/>
      </rPr>
      <t>? Os registros são armazenados?</t>
    </r>
  </si>
  <si>
    <t>7.3.1</t>
  </si>
  <si>
    <t>A organização documenta procedimentos para projeto e desenvolvimento?</t>
  </si>
  <si>
    <t>7.3.2</t>
  </si>
  <si>
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</si>
  <si>
    <t>7.3.3</t>
  </si>
  <si>
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</si>
  <si>
    <t>7.3.4</t>
  </si>
  <si>
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</si>
  <si>
    <t>7.3.5</t>
  </si>
  <si>
    <t>A organização realiza análise sistemática do projeto e desenvolvimento? Os registros são armazenados?</t>
  </si>
  <si>
    <t>7.3.6</t>
  </si>
  <si>
    <t>A organização documenta plano de verificação do projeto e desenvolvimento? Caso o uso requeira que o produto tenha uma interface com outro produto, a verificação deve atender os requisitos dessa interação?</t>
  </si>
  <si>
    <t>7.3.7</t>
  </si>
  <si>
    <t>A organização executa a validação em produto representativo (protótipo)? Atende aos requisitos do produto?</t>
  </si>
  <si>
    <t>7.3.8</t>
  </si>
  <si>
    <t xml:space="preserve">A organização documenta procedimento para a transferência do projeto para fabricação? </t>
  </si>
  <si>
    <t>7.3.9</t>
  </si>
  <si>
    <t>A organização documenta procedimento para controlar alterações de projeto e desenvolvimento? Antes da implementação elas são analisadas, verificadas, validadas e aprovadas?</t>
  </si>
  <si>
    <t>7.3.10</t>
  </si>
  <si>
    <t xml:space="preserve">A organização mantem arquivo do projeto e desenvolvimento para cada tipo de produto ou família? </t>
  </si>
  <si>
    <t>7.4.1</t>
  </si>
  <si>
    <t>A organização documenta procedimento para aquisição de produtos? O procedimento estabelece critérios de avaliação e seleção de fornecedores? A organização realiza acompanhamento do fornecedor qualificado? Os registros são armazenados?</t>
  </si>
  <si>
    <t>7.4.2</t>
  </si>
  <si>
    <t>A organização mantem informações de aquisição dos produtos que constem as especificações, requisitos de aceitação e requisitos do pessoal e SGQ? Os registros são armazenados corretamente?</t>
  </si>
  <si>
    <t>7.4.3</t>
  </si>
  <si>
    <t>A organização realiza verificação nos produtos adquiridos? Existe procedimento para a atividade? Caso seja realizada vistoria nas instalações do fornecedor, é informado na informação de aquisição os itens verificados e critérios de aceitação?</t>
  </si>
  <si>
    <t>7.5.1</t>
  </si>
  <si>
    <t>Caso a organização forneça um serviço, este é planejado, monitorado e controlado para que se assegure conformidade com especificações? Existe procedimentos documentados para isso? Os registros são armazenados devidamente?</t>
  </si>
  <si>
    <t xml:space="preserve">7.5.2 </t>
  </si>
  <si>
    <t>A organização documenta requisitos para limpeza ou controle de contaminação do produto? Esterilização, limpeza antes do uso, limpeza pós-uso?</t>
  </si>
  <si>
    <t>7.5.3</t>
  </si>
  <si>
    <t>Caso haja produtos que necessitem ser instalados, a organização documentou requisitos de instalação e critérios de aceitação? Caso a instalação seja realizada por empresa terceira, há processo de qualificação da mesma?</t>
  </si>
  <si>
    <t>7.5.4</t>
  </si>
  <si>
    <t>A organização documenta procedimento para assistência técnica de produtos? Especifica os critérios de aceitação? Os registros são devidamente mantidos?</t>
  </si>
  <si>
    <t>7.5.5</t>
  </si>
  <si>
    <t>A organização mantem os registros dos parâmetros para processos de esterilização para cada lote de produto? Os registros são devidamente armazenados?</t>
  </si>
  <si>
    <t>7.5.6</t>
  </si>
  <si>
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</si>
  <si>
    <t>7.5.7</t>
  </si>
  <si>
    <t xml:space="preserve">A organização documenta procedimento para validação de processo de esterilização e barreira estéril? </t>
  </si>
  <si>
    <t>7.5.8</t>
  </si>
  <si>
    <t>A organização documenta procedimento para identificação dos produtos em todas as etapas de produção e distribuição? Os produtos em situação de quarentena e não conforme são identificados impossibilitando seu uso intensional?</t>
  </si>
  <si>
    <t>7.5.9.1</t>
  </si>
  <si>
    <t>A organização documenta procedimento de rastreabilidade dos produtos?</t>
  </si>
  <si>
    <t>7.5.9.2</t>
  </si>
  <si>
    <t>A organização mantem registros dos produtos de saúde implantáveis? Há exigência para que os distribuidores mantenham registros de rastreabilidade dos produtos?</t>
  </si>
  <si>
    <t>7.5.10</t>
  </si>
  <si>
    <t>A organização identifica, verifica, protege e resguarda itens de propriedade do cliente como contratos, documentos e registros?Isso é comunicado ao cliente?</t>
  </si>
  <si>
    <t>7.5.11</t>
  </si>
  <si>
    <t>A organização documenta procedimento para preservação do produto durante as etapas de processamento, armazenamento, manuseio e distribuição? Alem das condições de acondicionamento, há proteção na identificação dos produtos?</t>
  </si>
  <si>
    <t>7.6</t>
  </si>
  <si>
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</si>
  <si>
    <t>MEDIÇÃO, ANÁLISE E MELHORIA</t>
  </si>
  <si>
    <t>8.1</t>
  </si>
  <si>
    <t>A organização planeja e implementa processos de monitoramento, medição, análise e melhoria que demonstrem e assegurem a eficácia dos produtos e SGQ?</t>
  </si>
  <si>
    <t>8.2.1</t>
  </si>
  <si>
    <t xml:space="preserve">A organização documenta procedimento para realimentação (feedback, sugestões, reclamações, dúvidas)? Determina e monitora informações de atendimento as especificações dos clientes? </t>
  </si>
  <si>
    <t>8.2.2</t>
  </si>
  <si>
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</si>
  <si>
    <t>8.2.3</t>
  </si>
  <si>
    <t>A organização documenta procedimento para notificação às autoridades provenientes de ações relacionadas ao produto? Evento adverso, alterações importantes, recolhimento. Os registros são mantidos conforme item 4.2.5?</t>
  </si>
  <si>
    <t>8.2.4</t>
  </si>
  <si>
    <t>A organização possui procedimento para auditoria interna? As autoridades são definidas? Os registros são mantidos? É realizado acompanhamento de atividades apontadas em outras auditorias?</t>
  </si>
  <si>
    <t>8.2.5</t>
  </si>
  <si>
    <t>É realizado monitoramento e medição dos processos do SGQ? Possui KPIs? Os resultados planejados que não forem alcançados, são realizadas correções e ações corretivas?</t>
  </si>
  <si>
    <t>8.2.6</t>
  </si>
  <si>
    <t xml:space="preserve">A organização monitora características e requisitos do produto? É realizado registro dos responsáveis por liberação do produto para fim de rastreabilidade? </t>
  </si>
  <si>
    <t>8.3.1</t>
  </si>
  <si>
    <t>A organização documenta procedimento para identificação, responsabilidades e tratativas de produtos não conforme? Assegura que produtos não conforme sejam controlados prevenindo seu uso ou entrega não intensional? Os registros são mantidos?</t>
  </si>
  <si>
    <t>8.3.2</t>
  </si>
  <si>
    <t>Para produto não conforme detectado antes da entrega, a organização assegura método para sanar a não conformidade liberando o produto para uso ou segregando-o quando seu uso não for possível?</t>
  </si>
  <si>
    <t>8.3.3</t>
  </si>
  <si>
    <t>A organização adota ações apropriadas aos efeitos ou efeitos potencias do produto não conforme após a entrega ou início do uso?
Possui procedimentos para a emissão de notas de aviso? Os registros são mantidos?</t>
  </si>
  <si>
    <t>8.3.4</t>
  </si>
  <si>
    <t>A organização executa retrabalho? São realizados de acordo com procedimentos documentados? Os produtos são verificados após  o retrabalho para assegurar que ele atenda critérios de aceitação e requisitos regulatórios aplicáveis?</t>
  </si>
  <si>
    <t>8.4</t>
  </si>
  <si>
    <t>A organização documenta procedimento para determinar coleta e análise de dados referente a reclamações, feedbacks, requisitos regulatórios, fornecedores, auditorias, relatórios de serviços e tratá-los?</t>
  </si>
  <si>
    <t>8.5.1</t>
  </si>
  <si>
    <t xml:space="preserve">A organização identifica e implementa ações para assegurar melhoria contínua do SGQ e outros processos relacionados ao produto? </t>
  </si>
  <si>
    <t>8.5.2</t>
  </si>
  <si>
    <t>A organização possui procedimento para ações corretivas que aborde a análise das não conformidades, avalia a necessidade de ações para que elas não recorram, necessidade de atualização de documentação e analise eficácia da ação adotada?</t>
  </si>
  <si>
    <t>8.5.3</t>
  </si>
  <si>
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</si>
  <si>
    <t>Itens Conformes</t>
  </si>
  <si>
    <t>Itens Não Conformes</t>
  </si>
  <si>
    <t>Oportunidade de Melhoria</t>
  </si>
  <si>
    <t>TOTAL</t>
  </si>
  <si>
    <t>TOTAL de Itens Auditados</t>
  </si>
  <si>
    <t>EVIDÊNCIAS COM IMAGENS</t>
  </si>
  <si>
    <t>ITENS DA ISO 13485 - 2016</t>
  </si>
  <si>
    <t>Percentual auditado</t>
  </si>
  <si>
    <t>Seções</t>
  </si>
  <si>
    <t>Total</t>
  </si>
  <si>
    <t>Auditados</t>
  </si>
  <si>
    <t>Conforme</t>
  </si>
  <si>
    <t>Não Conforme</t>
  </si>
  <si>
    <t>Meta</t>
  </si>
  <si>
    <t>Resultado geral</t>
  </si>
  <si>
    <t xml:space="preserve">4 Sistema de Gestão da Qualidade                            </t>
  </si>
  <si>
    <t xml:space="preserve">5 Responsabilidade da Direção                         </t>
  </si>
  <si>
    <r>
      <rPr>
        <b/>
        <sz val="8"/>
        <color theme="1"/>
        <rFont val="Arial"/>
      </rPr>
      <t>6 Gestão de Recursos</t>
    </r>
    <r>
      <rPr>
        <b/>
        <sz val="8"/>
        <color rgb="FF000000"/>
        <rFont val="Arial"/>
      </rPr>
      <t xml:space="preserve"> </t>
    </r>
  </si>
  <si>
    <t>7 Realização do Produto (Fabricação)</t>
  </si>
  <si>
    <t>8 Medição, Análise e Melhoria</t>
  </si>
  <si>
    <t>Percentual de Atendimento a ISO 13485 - 2016</t>
  </si>
  <si>
    <t>Principais itens</t>
  </si>
  <si>
    <r>
      <rPr>
        <b/>
        <sz val="8"/>
        <color theme="1"/>
        <rFont val="Arial"/>
      </rPr>
      <t>6 Gestão de Recursos</t>
    </r>
    <r>
      <rPr>
        <b/>
        <sz val="8"/>
        <color rgb="FF000000"/>
        <rFont val="Arial"/>
      </rPr>
      <t xml:space="preserve"> </t>
    </r>
  </si>
  <si>
    <t>X</t>
  </si>
  <si>
    <r>
      <rPr>
        <sz val="10"/>
        <color theme="1"/>
        <rFont val="Verdana"/>
      </rPr>
      <t xml:space="preserve">- </t>
    </r>
    <r>
      <rPr>
        <b/>
        <sz val="10"/>
        <color theme="1"/>
        <rFont val="Verdana"/>
      </rPr>
      <t xml:space="preserve">PSQ.029 - Procedimento de Gestão de Mudança 
</t>
    </r>
    <r>
      <rPr>
        <sz val="10"/>
        <color theme="1"/>
        <rFont val="Verdana"/>
      </rPr>
      <t>-</t>
    </r>
    <r>
      <rPr>
        <b/>
        <sz val="10"/>
        <color theme="1"/>
        <rFont val="Verdana"/>
      </rPr>
      <t xml:space="preserve"> FOR.137 - Relatório de Gestão de Mudança</t>
    </r>
    <r>
      <rPr>
        <sz val="10"/>
        <color theme="1"/>
        <rFont val="Verdana"/>
      </rPr>
      <t xml:space="preserve">
(Software utilizados desde o início do laboratório, garantindo sua eficiência e rastreabilidade. Caso ocorra alguma mudança, será validado no FOR.137)</t>
    </r>
  </si>
  <si>
    <t>Corporativo: Atualizar PSQ.027 - Procedimento de Validação. Criar formulários de validação de software.
Corporativo + Rio: Preencher formulários de validação dos softwares (DECIDE, SMR, SGO, Optifacts e Qualiex).</t>
  </si>
  <si>
    <t xml:space="preserve">RESPONSABILIDADE DA DIREÇÃO								</t>
  </si>
  <si>
    <t>x</t>
  </si>
  <si>
    <t>Reuniões com diretoria, alinhamento da ata e atuação em pesquisa de satisfação</t>
  </si>
  <si>
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</si>
  <si>
    <t>Saúde visual: Decide, UV, SMR (verificação da luz azul...)</t>
  </si>
  <si>
    <t>Não temos algumas normas sendo seguidas na integra, mas temos algumas especificações dos produtos controlados no qualiex.  A não utilização da ISO para tolerancia otica será levada para os coordenadores de QMS</t>
  </si>
  <si>
    <r>
      <rPr>
        <sz val="10"/>
        <color theme="1"/>
        <rFont val="Verdana"/>
      </rPr>
      <t xml:space="preserve">- </t>
    </r>
    <r>
      <rPr>
        <b/>
        <sz val="10"/>
        <color theme="1"/>
        <rFont val="Verdana"/>
      </rPr>
      <t xml:space="preserve">Descrição de Atividade </t>
    </r>
    <r>
      <rPr>
        <sz val="10"/>
        <color theme="1"/>
        <rFont val="Verdana"/>
      </rPr>
      <t xml:space="preserve">(https://apps1.qualiex.com/Docs/Documents?folder=F2EQJCC4VTK9EUF)
- </t>
    </r>
    <r>
      <rPr>
        <b/>
        <sz val="10"/>
        <color theme="1"/>
        <rFont val="Verdana"/>
      </rPr>
      <t xml:space="preserve">FOR.109 - Matriz de Habilidade - LabRio 2022 - Rev.02 </t>
    </r>
    <r>
      <rPr>
        <sz val="10"/>
        <color theme="1"/>
        <rFont val="Verdana"/>
      </rPr>
      <t>(https://docs.google.com/spreadsheets/d/1T_WW9coCXAHY78KyFNexxG3kZl0v6NlrttpXbVh2Whk/edit#gid=217238903)</t>
    </r>
  </si>
  <si>
    <t>Não está existe documento no Qualiex em relação a Descrição de Atividade para os seguintes setores:
- Atendimento ao cliente;
- Estoque;
- Expedição;
- Recursos Humanos;
- EHS.</t>
  </si>
  <si>
    <t>- Será retornado as reuninões sobre comunicações relativas à eficiência do sistema de gestão da qualidade.</t>
  </si>
  <si>
    <t>Planejar e executar as reuniões periódicas em relação a comunicação do  SGQ.</t>
  </si>
  <si>
    <r>
      <rPr>
        <sz val="10"/>
        <color theme="1"/>
        <rFont val="Verdana"/>
      </rPr>
      <t xml:space="preserve">- </t>
    </r>
    <r>
      <rPr>
        <b/>
        <sz val="10"/>
        <color theme="1"/>
        <rFont val="Verdana"/>
      </rPr>
      <t>PSQ.025 - Procedimento de Revisão da Gestão</t>
    </r>
    <r>
      <rPr>
        <sz val="10"/>
        <color theme="1"/>
        <rFont val="Verdana"/>
      </rPr>
      <t xml:space="preserve">
- </t>
    </r>
    <r>
      <rPr>
        <b/>
        <sz val="10"/>
        <color theme="1"/>
        <rFont val="Verdana"/>
      </rPr>
      <t xml:space="preserve">FOR.135 - Relatório de Revisão Gerencial </t>
    </r>
    <r>
      <rPr>
        <sz val="10"/>
        <color theme="1"/>
        <rFont val="Verdana"/>
      </rPr>
      <t>(https://docs.google.com/spreadsheets/d/1Gub8MKyYp5AcNQUssAbOZvvp_giuviFk/edit#gid=993094433)</t>
    </r>
  </si>
  <si>
    <t>- Verificar pesquisa de satisfação do cliente;
- Realizar um reunião para gerar revisão gerencial
(ação em conjunto com item 5.1 e 6.3)</t>
  </si>
  <si>
    <r>
      <rPr>
        <sz val="10"/>
        <color theme="1"/>
        <rFont val="Verdana"/>
      </rPr>
      <t xml:space="preserve">- </t>
    </r>
    <r>
      <rPr>
        <b/>
        <sz val="10"/>
        <color theme="1"/>
        <rFont val="Verdana"/>
      </rPr>
      <t>FOR.109 - Matriz de Habilidade</t>
    </r>
    <r>
      <rPr>
        <sz val="10"/>
        <color theme="1"/>
        <rFont val="Verdana"/>
      </rPr>
      <t xml:space="preserve">;
- </t>
    </r>
    <r>
      <rPr>
        <b/>
        <sz val="10"/>
        <color theme="1"/>
        <rFont val="Verdana"/>
      </rPr>
      <t>FOR.133 - Planejamento de Treinamento</t>
    </r>
    <r>
      <rPr>
        <sz val="10"/>
        <color theme="1"/>
        <rFont val="Verdana"/>
      </rPr>
      <t xml:space="preserve">;
- </t>
    </r>
    <r>
      <rPr>
        <b/>
        <sz val="10"/>
        <color theme="1"/>
        <rFont val="Verdana"/>
      </rPr>
      <t>RH.FOR.033 - Lista de Presença</t>
    </r>
    <r>
      <rPr>
        <sz val="10"/>
        <color theme="1"/>
        <rFont val="Verdana"/>
      </rPr>
      <t xml:space="preserve">;
- </t>
    </r>
    <r>
      <rPr>
        <b/>
        <sz val="10"/>
        <color theme="1"/>
        <rFont val="Verdana"/>
      </rPr>
      <t>FOR.092 - Controle de Treinamento</t>
    </r>
    <r>
      <rPr>
        <sz val="10"/>
        <color theme="1"/>
        <rFont val="Verdana"/>
      </rPr>
      <t xml:space="preserve">;
- </t>
    </r>
    <r>
      <rPr>
        <b/>
        <sz val="10"/>
        <color theme="1"/>
        <rFont val="Verdana"/>
      </rPr>
      <t>FOR.141 - Auto Avaliação</t>
    </r>
    <r>
      <rPr>
        <sz val="10"/>
        <color theme="1"/>
        <rFont val="Verdana"/>
      </rPr>
      <t xml:space="preserve">;
- </t>
    </r>
    <r>
      <rPr>
        <b/>
        <sz val="10"/>
        <color theme="1"/>
        <rFont val="Verdana"/>
      </rPr>
      <t>FOR.142 - Avaliação de Eficácia do Treinamento</t>
    </r>
    <r>
      <rPr>
        <sz val="10"/>
        <color theme="1"/>
        <rFont val="Verdana"/>
      </rPr>
      <t xml:space="preserve">.
</t>
    </r>
    <r>
      <rPr>
        <u/>
        <sz val="10"/>
        <color rgb="FF1155CC"/>
        <rFont val="Verdana"/>
      </rPr>
      <t xml:space="preserve">https://drive.google.com/drive/u/2/folders/1sfWNKRbX0vut3uYUaA1AGx5ozfhCHxM8
</t>
    </r>
    <r>
      <rPr>
        <sz val="10"/>
        <color theme="1"/>
        <rFont val="Verdana"/>
      </rPr>
      <t>- Comunicação para todos os colaboradores via e-mail sobre  os treinamentos realizados.</t>
    </r>
  </si>
  <si>
    <t>- RH precisa melhorar o preenchimento, avaliação
- Líderes: Preenchimento da matriz de habilidade e planejamento de treinamento</t>
  </si>
  <si>
    <r>
      <rPr>
        <sz val="10"/>
        <color theme="1"/>
        <rFont val="Verdana"/>
      </rPr>
      <t>ver se existe tratativa para temperatura e umidade fora da especificação</t>
    </r>
    <r>
      <rPr>
        <sz val="10"/>
        <color rgb="FF000000"/>
        <rFont val="Verdana"/>
      </rPr>
      <t xml:space="preserve">
</t>
    </r>
    <r>
      <rPr>
        <u/>
        <sz val="10"/>
        <color rgb="FF1155CC"/>
        <rFont val="Verdana"/>
      </rPr>
      <t xml:space="preserve">https://docs.google.com/spreadsheets/d/13-t8DcNUfXAYLzoNum8xvjTCJoprYP4Zy8TV3HzyoKg/edit#gid=1473838937
</t>
    </r>
    <r>
      <rPr>
        <sz val="10"/>
        <color theme="1"/>
        <rFont val="Verdana"/>
      </rPr>
      <t>**ver na aba evidências</t>
    </r>
  </si>
  <si>
    <r>
      <rPr>
        <sz val="10"/>
        <color rgb="FFFF0000"/>
        <rFont val="Verdana"/>
      </rPr>
      <t>Relatório para verificação das particulas da sala limpa não traz informações suficientes para comparar com o padrão.
Será abordado na nova revisão gerencial para tomar novas ações para validação</t>
    </r>
    <r>
      <rPr>
        <sz val="10"/>
        <color rgb="FF000000"/>
        <rFont val="Verdana"/>
      </rPr>
      <t xml:space="preserve">
</t>
    </r>
    <r>
      <rPr>
        <u/>
        <sz val="10"/>
        <color rgb="FF1155CC"/>
        <rFont val="Verdana"/>
      </rPr>
      <t xml:space="preserve">https://apps1.qualiex.com/Docs/Documents/Details/ADC2DLVPAE0D2JN
</t>
    </r>
    <r>
      <rPr>
        <sz val="10"/>
        <color theme="1"/>
        <rFont val="Verdana"/>
      </rPr>
      <t xml:space="preserve">Temperatura da sala fora de especificação. Qual é a tratativa neste ponto?
</t>
    </r>
    <r>
      <rPr>
        <u/>
        <sz val="10"/>
        <color rgb="FF1155CC"/>
        <rFont val="Verdana"/>
      </rPr>
      <t>https://docs.google.com/spreadsheets/d/13-t8DcNUfXAYLzoNum8xvjTCJoprYP4Zy8TV3HzyoKg/edit#gid=1473838937</t>
    </r>
  </si>
  <si>
    <t xml:space="preserve">	REALIZAÇÃO DE PRODUTO (FABRICAÇÃO)</t>
  </si>
  <si>
    <r>
      <rPr>
        <sz val="10"/>
        <color theme="1"/>
        <rFont val="Verdana"/>
      </rPr>
      <t xml:space="preserve">- </t>
    </r>
    <r>
      <rPr>
        <b/>
        <sz val="10"/>
        <color theme="1"/>
        <rFont val="Verdana"/>
      </rPr>
      <t>FOR.081 - Formulário HMC - PCP Latam Português - Lab Geral - LabRio 2022 Rev.01</t>
    </r>
    <r>
      <rPr>
        <sz val="10"/>
        <color theme="1"/>
        <rFont val="Verdana"/>
      </rPr>
      <t xml:space="preserve"> (https://docs.google.com/spreadsheets/d/13-t8DcNUfXAYLzoNum8xvjTCJoprYP4Zy8TV3HzyoKg/edit#gid=2131303326)</t>
    </r>
  </si>
  <si>
    <t>- Valores precisam ficar no formato padrão, para não gerar não conformidades;
- Ações para especificações fora.</t>
  </si>
  <si>
    <r>
      <rPr>
        <sz val="10"/>
        <color theme="1"/>
        <rFont val="Verdana"/>
      </rPr>
      <t>A organização planeja e documenta os arranjos de comunicação com o cliente em relação a</t>
    </r>
    <r>
      <rPr>
        <i/>
        <sz val="10"/>
        <color theme="1"/>
        <rFont val="Verdana"/>
      </rPr>
      <t xml:space="preserve"> informações do produto, tratamento de solicitações, contratos ou pedidos, feedbacks dos clientes, notas de aviso</t>
    </r>
    <r>
      <rPr>
        <sz val="10"/>
        <color theme="1"/>
        <rFont val="Verdana"/>
      </rPr>
      <t>? Os registros são armazenados?</t>
    </r>
  </si>
  <si>
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</si>
  <si>
    <t>- Precisa criar procedimentos em relação a comunicação com o cliente, contendo: b)tratamento de solicitações, contratos ou pedidos, incluindo emendas; c)realimentação do cliente, incluindo reclamações; d)notas de aviso. 
- Juntar com o item 8.2.2</t>
  </si>
  <si>
    <t>verificar um pedido no sistema e solicitar o rastreamento em questão planejamento de produção, verificação de Decide, SMR lote salvo + preenchimento da planilha
- verificar registro FOR.132: Controle de Utilização do UV 400</t>
  </si>
  <si>
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</si>
  <si>
    <r>
      <rPr>
        <sz val="10"/>
        <color theme="1"/>
        <rFont val="Verdana"/>
      </rPr>
      <t xml:space="preserve">ver validação de software
ver calibração do SMR e treinamento em relação a calibração
</t>
    </r>
    <r>
      <rPr>
        <b/>
        <sz val="10"/>
        <color theme="1"/>
        <rFont val="Verdana"/>
      </rPr>
      <t xml:space="preserve">PSQ.027 - Procedimento de Validação
FOR.159 - Validação de Softaware  </t>
    </r>
    <r>
      <rPr>
        <sz val="10"/>
        <color theme="1"/>
        <rFont val="Verdana"/>
      </rPr>
      <t xml:space="preserve">                      </t>
    </r>
  </si>
  <si>
    <t>- Validar os software
- Compra das lentes de referências do SMR para calibração</t>
  </si>
  <si>
    <t>- POP.734 - Manual Operacional - Produto Não Conforme - Lab Rio</t>
  </si>
  <si>
    <t>- Identificar novamente alguns setores, pois está com identificação falhada.</t>
  </si>
  <si>
    <t xml:space="preserve">- PSQ.026 - Procedimento de Identificação e Rastreabilidade
</t>
  </si>
  <si>
    <t>Melhorar a forma de rastrear o bloco de origem, pois a informação do lote do bloco fica até a surfaçagem</t>
  </si>
  <si>
    <t>- PSQ.019 - Procedimento de Preservação de Insumo e Produto</t>
  </si>
  <si>
    <t>- Comunicação entre LabRio e cliente é realizado via: telefone ou e-mail, não conseguiu mostrar um recente.
- Revisar POP.744 com informação de identificação de rastreabilidade.</t>
  </si>
  <si>
    <r>
      <rPr>
        <sz val="10"/>
        <color theme="1"/>
        <rFont val="Verdana"/>
      </rPr>
      <t>-</t>
    </r>
    <r>
      <rPr>
        <b/>
        <sz val="10"/>
        <color theme="1"/>
        <rFont val="Verdana"/>
      </rPr>
      <t xml:space="preserve"> FOR.122 - Controle de Umidade e Temperatura: Estoque
</t>
    </r>
    <r>
      <rPr>
        <sz val="10"/>
        <color theme="1"/>
        <rFont val="Verdana"/>
      </rPr>
      <t xml:space="preserve">(https://docs.google.com/spreadsheets/d/1kjU-wzLLU-qzkQ3GL8zqVIIeupvNDeT4H8XEIilT8lg/edit#gid=375603829)
- </t>
    </r>
    <r>
      <rPr>
        <b/>
        <sz val="10"/>
        <color theme="1"/>
        <rFont val="Verdana"/>
      </rPr>
      <t xml:space="preserve">FOR.155 - Controle de Temperatura de Armazenamento: Primers e Vernizes </t>
    </r>
    <r>
      <rPr>
        <sz val="10"/>
        <color theme="1"/>
        <rFont val="Verdana"/>
      </rPr>
      <t xml:space="preserve">(https://docs.google.com/spreadsheets/d/1Q_hgaDNwmnIH2fVKgHvXqD-KV-kwtULi4ELrETe89ek/edit#gid=375603829)
- </t>
    </r>
    <r>
      <rPr>
        <b/>
        <sz val="10"/>
        <color theme="1"/>
        <rFont val="Verdana"/>
      </rPr>
      <t xml:space="preserve">FOR.006 - Inspeção e Testes de Recebimento de Insumos </t>
    </r>
    <r>
      <rPr>
        <sz val="10"/>
        <color theme="1"/>
        <rFont val="Verdana"/>
      </rPr>
      <t>(https://docs.google.com/spreadsheets/d/17tXRyq55mFrfbAMjr0A9TO2ONTMswttK6Ac1xJh2F-s/edit#gid=309398118)</t>
    </r>
  </si>
  <si>
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</si>
  <si>
    <t>https://drive.google.com/drive/u/2/folders/1OD08q5FfBaChxQSvgQ6eYJr1EW-ADfX3</t>
  </si>
  <si>
    <t>- Stephany: Garantir a gestão completa dos equipamentos que garantem testes e inspeção</t>
  </si>
  <si>
    <r>
      <rPr>
        <sz val="10"/>
        <color rgb="FF000000"/>
        <rFont val="Verdana"/>
      </rPr>
      <t xml:space="preserve">- </t>
    </r>
    <r>
      <rPr>
        <b/>
        <sz val="10"/>
        <color rgb="FF000000"/>
        <rFont val="Verdana"/>
      </rPr>
      <t>PSQ.025 - Procedimento de Revisão da Gestão</t>
    </r>
  </si>
  <si>
    <t>Verifica Relatorio da revisão gerencial que está no item "Melhoria" como "Não se aplica"</t>
  </si>
  <si>
    <t>- POP.747 - Monitoramento de Realimentação do Cliente</t>
  </si>
  <si>
    <t>ver com atendimento
Não possui evidência das tratativas</t>
  </si>
  <si>
    <t>- Reclamações de qualidade do produto é realizado pelo departamento técnico (Rogério Castro);
- Via e-mail;
- Orgaplus é possível gerar relatórios de reclamação por produto (criar procedimento como é feito este relatório).</t>
  </si>
  <si>
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</si>
  <si>
    <r>
      <rPr>
        <sz val="10"/>
        <color theme="1"/>
        <rFont val="Verdana"/>
      </rPr>
      <t xml:space="preserve">- </t>
    </r>
    <r>
      <rPr>
        <b/>
        <sz val="10"/>
        <color theme="1"/>
        <rFont val="Verdana"/>
      </rPr>
      <t xml:space="preserve">PSQ.024 - Procedimento de Auditoria
</t>
    </r>
    <r>
      <rPr>
        <sz val="10"/>
        <color theme="1"/>
        <rFont val="Verdana"/>
      </rPr>
      <t xml:space="preserve">- Auditoria de QMS (Interna, externa e terceiros) Ok
- </t>
    </r>
    <r>
      <rPr>
        <b/>
        <sz val="10"/>
        <color theme="1"/>
        <rFont val="Verdana"/>
      </rPr>
      <t xml:space="preserve">Auditoria 5S </t>
    </r>
    <r>
      <rPr>
        <sz val="10"/>
        <color theme="1"/>
        <rFont val="Verdana"/>
      </rPr>
      <t xml:space="preserve">(https://drive.google.com/drive/u/2/folders/11lCPkGxau8Ibz4N8EvDQem211uUc5mV_)
- </t>
    </r>
    <r>
      <rPr>
        <b/>
        <sz val="10"/>
        <color theme="1"/>
        <rFont val="Verdana"/>
      </rPr>
      <t>Auditoria de Produto</t>
    </r>
    <r>
      <rPr>
        <sz val="10"/>
        <color theme="1"/>
        <rFont val="Verdana"/>
      </rPr>
      <t xml:space="preserve"> (https://drive.google.com/drive/u/2/folders/1j3rBXGSNhi0g3KsW5KMMhMjVlb_Izy2r)</t>
    </r>
  </si>
  <si>
    <t>- Corporativo: Retirar auditoria de excelência operacional do PSQ 024 e obsoletar o formulario de excelencia operacional
- LabRio: realizar tratativas dos resultados das auditorias</t>
  </si>
  <si>
    <r>
      <rPr>
        <b/>
        <sz val="10"/>
        <color rgb="FF000000"/>
        <rFont val="Verdana"/>
      </rPr>
      <t>BSC fora da meta:</t>
    </r>
    <r>
      <rPr>
        <sz val="10"/>
        <color rgb="FF000000"/>
        <rFont val="Verdana"/>
      </rPr>
      <t xml:space="preserve">
- Retorno de cliente: Janeiro
- Service Rate: Fevereiro e maio
- Late orders: Fevereiro, março abril e maio</t>
    </r>
  </si>
  <si>
    <t>Realizar tratativa com plano de ação no mínimo</t>
  </si>
  <si>
    <r>
      <rPr>
        <sz val="10"/>
        <color rgb="FF000000"/>
        <rFont val="Verdana"/>
      </rPr>
      <t xml:space="preserve">- </t>
    </r>
    <r>
      <rPr>
        <b/>
        <sz val="10"/>
        <color rgb="FF000000"/>
        <rFont val="Verdana"/>
      </rPr>
      <t>PSQ.018 - Procedimento de Realização de Produto</t>
    </r>
    <r>
      <rPr>
        <sz val="10"/>
        <color rgb="FF000000"/>
        <rFont val="Verdana"/>
      </rPr>
      <t xml:space="preserve">;
- </t>
    </r>
    <r>
      <rPr>
        <b/>
        <sz val="10"/>
        <color rgb="FF000000"/>
        <rFont val="Verdana"/>
      </rPr>
      <t xml:space="preserve">FOR.116 - Formulario de Testes HC e AR </t>
    </r>
    <r>
      <rPr>
        <sz val="10"/>
        <color rgb="FF000000"/>
        <rFont val="Verdana"/>
      </rPr>
      <t xml:space="preserve">(https://docs.google.com/spreadsheets/d/1MRF52Nt2TblCMqKqboUWAnb5kBrdbm05JKBBuQ2TMDE/edit#gid=219170642)
</t>
    </r>
  </si>
  <si>
    <t>Não está sendo indetificado quem libera lote em testes do AR</t>
  </si>
  <si>
    <r>
      <rPr>
        <sz val="10"/>
        <color rgb="FF000000"/>
        <rFont val="Verdana"/>
      </rPr>
      <t xml:space="preserve">- </t>
    </r>
    <r>
      <rPr>
        <b/>
        <sz val="10"/>
        <color rgb="FF000000"/>
        <rFont val="Verdana"/>
      </rPr>
      <t>POP.747 - Monitoramento de Realimentação do Cliente</t>
    </r>
  </si>
  <si>
    <t>- Criar procedimento de como é realizado o recolhimento do produto;</t>
  </si>
  <si>
    <r>
      <rPr>
        <sz val="10"/>
        <color rgb="FF000000"/>
        <rFont val="Verdana"/>
      </rPr>
      <t xml:space="preserve">- </t>
    </r>
    <r>
      <rPr>
        <b/>
        <sz val="10"/>
        <color rgb="FF000000"/>
        <rFont val="Verdana"/>
      </rPr>
      <t>PSQ.025 - Procedimento de Revisão da Gestão</t>
    </r>
  </si>
  <si>
    <t>- Registro pela chamada (solicitação via telefone)
- Precal (identificação via relatório fisico)
- Tratativas: Conversa, treinamento (sem registro)</t>
  </si>
  <si>
    <t>- Retomar as auditorias de 5S - última realizada em 22 abril
- Gerar plano de ação para as tratativas das auditorias de produto</t>
  </si>
  <si>
    <t xml:space="preserve">- PSQ.022 - Procedimento de Não Conformidade-Ações Corretivas e Preventivas
</t>
  </si>
  <si>
    <t>- Relacionamento com o cliente: possui conversa e treinamento, mas não possui registros para evidências. (Itens relacionados:7.2.3, 8.2.2 e 8.5.2)</t>
  </si>
  <si>
    <t>- Gerar evidências para as tratativas de RNC, 8D e A3.
(incluso no plano junto ao item 7.1)</t>
  </si>
  <si>
    <t>{{nome_unidade}}</t>
  </si>
  <si>
    <t>{{escopo}}</t>
  </si>
  <si>
    <t>{{presencial}}</t>
  </si>
  <si>
    <t>{{remota}}</t>
  </si>
  <si>
    <t>{{nome_auditor}}</t>
  </si>
  <si>
    <t>{{data_inicio}} à {{data_fim}}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</si>
</sst>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"/>
    <numFmt numFmtId="165" formatCode="0.0"/>
  </numFmts>
  <fonts count="38">
    <font>
      <sz val="10"/>
      <color rgb="FF000000"/>
      <name val="Arial"/>
      <scheme val="minor"/>
    </font>
    <font>
      <sz val="10"/>
      <color theme="1"/>
      <name val="Verdana"/>
    </font>
    <font>
      <sz val="10"/>
      <color rgb="FF000000"/>
      <name val="Verdana"/>
    </font>
    <font>
      <sz val="10"/>
      <color rgb="FFFF0000"/>
      <name val="Verdana"/>
    </font>
    <font>
      <sz val="10"/>
      <color theme="0"/>
      <name val="Verdana"/>
    </font>
    <font>
      <b/>
      <sz val="12"/>
      <color theme="1"/>
      <name val="Verdana"/>
    </font>
    <font>
      <b/>
      <sz val="14"/>
      <color theme="1"/>
      <name val="Verdana"/>
    </font>
    <font>
      <sz val="10"/>
      <name val="Arial"/>
    </font>
    <font>
      <b/>
      <sz val="10"/>
      <color theme="1"/>
      <name val="Verdana"/>
    </font>
    <font>
      <sz val="10"/>
      <color theme="1"/>
      <name val="Verdana"/>
    </font>
    <font>
      <u/>
      <sz val="10"/>
      <color rgb="FF1155CC"/>
      <name val="Verdana"/>
    </font>
    <font>
      <sz val="8"/>
      <color rgb="FF000000"/>
      <name val="Verdana"/>
    </font>
    <font>
      <b/>
      <sz val="8"/>
      <color theme="5"/>
      <name val="Verdana"/>
    </font>
    <font>
      <sz val="8"/>
      <color theme="0"/>
      <name val="Verdana"/>
    </font>
    <font>
      <sz val="11"/>
      <color theme="1"/>
      <name val="Verdana"/>
    </font>
    <font>
      <sz val="10"/>
      <color rgb="FF000000"/>
      <name val="Verdana"/>
    </font>
    <font>
      <b/>
      <sz val="10"/>
      <color rgb="FF000000"/>
      <name val="Verdana"/>
    </font>
    <font>
      <u/>
      <sz val="10"/>
      <color rgb="FF000000"/>
      <name val="Verdana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rgb="FFFFFFFF"/>
      <name val="Arial"/>
    </font>
    <font>
      <sz val="8"/>
      <color theme="1"/>
      <name val="Arial"/>
    </font>
    <font>
      <b/>
      <sz val="10"/>
      <color theme="1"/>
      <name val="Arial"/>
    </font>
    <font>
      <b/>
      <sz val="8"/>
      <color theme="1"/>
      <name val="Arial"/>
    </font>
    <font>
      <sz val="18"/>
      <color theme="1"/>
      <name val="Arial"/>
    </font>
    <font>
      <b/>
      <sz val="12"/>
      <color rgb="FFFFFFFF"/>
      <name val="Arial"/>
    </font>
    <font>
      <sz val="10"/>
      <color rgb="FFFF0000"/>
      <name val="Arial"/>
    </font>
    <font>
      <b/>
      <sz val="10"/>
      <color rgb="FFFF0000"/>
      <name val="Verdana"/>
    </font>
    <font>
      <b/>
      <sz val="11"/>
      <color rgb="FF000000"/>
      <name val="Verdana"/>
    </font>
    <font>
      <u/>
      <sz val="10"/>
      <color theme="1"/>
      <name val="Verdana"/>
    </font>
    <font>
      <u/>
      <sz val="10"/>
      <color theme="1"/>
      <name val="Verdana"/>
    </font>
    <font>
      <u/>
      <sz val="10"/>
      <color rgb="FF1155CC"/>
      <name val="Verdana"/>
    </font>
    <font>
      <sz val="10"/>
      <color theme="1"/>
      <name val="Arial"/>
    </font>
    <font>
      <b/>
      <sz val="10"/>
      <color theme="1"/>
      <name val="Arial"/>
      <scheme val="minor"/>
    </font>
    <font>
      <sz val="8"/>
      <color theme="1"/>
      <name val="Verdana"/>
    </font>
    <font>
      <b/>
      <sz val="8"/>
      <color rgb="FF000000"/>
      <name val="Verdana"/>
    </font>
    <font>
      <i/>
      <sz val="10"/>
      <color theme="1"/>
      <name val="Verdana"/>
    </font>
    <font>
      <b/>
      <sz val="8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8" fillId="3" borderId="7" xfId="0" applyFont="1" applyFill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1" fillId="0" borderId="0" xfId="0" applyFont="1"/>
    <xf numFmtId="0" fontId="13" fillId="0" borderId="0" xfId="0" applyFont="1"/>
    <xf numFmtId="0" fontId="8" fillId="3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3" borderId="7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2" fillId="0" borderId="7" xfId="0" applyFont="1" applyBorder="1" applyAlignment="1">
      <alignment horizontal="left" vertical="center" wrapText="1"/>
    </xf>
    <xf numFmtId="10" fontId="13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9" fillId="0" borderId="7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9" fillId="0" borderId="1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49" fontId="2" fillId="3" borderId="7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0" fontId="3" fillId="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2" fillId="0" borderId="7" xfId="0" applyFont="1" applyBorder="1" applyAlignment="1">
      <alignment vertical="center" wrapText="1"/>
    </xf>
    <xf numFmtId="0" fontId="16" fillId="0" borderId="7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center" wrapText="1"/>
    </xf>
    <xf numFmtId="0" fontId="16" fillId="0" borderId="0" xfId="0" applyFont="1" applyAlignment="1">
      <alignment horizontal="right" vertical="center" shrinkToFit="1"/>
    </xf>
    <xf numFmtId="1" fontId="2" fillId="0" borderId="0" xfId="0" applyNumberFormat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wrapText="1"/>
    </xf>
    <xf numFmtId="0" fontId="15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9" fillId="0" borderId="0" xfId="0" applyFont="1"/>
    <xf numFmtId="0" fontId="21" fillId="5" borderId="7" xfId="0" applyFont="1" applyFill="1" applyBorder="1" applyAlignment="1">
      <alignment horizontal="center" vertical="center" wrapText="1"/>
    </xf>
    <xf numFmtId="9" fontId="21" fillId="5" borderId="7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2" fillId="3" borderId="7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 wrapText="1"/>
    </xf>
    <xf numFmtId="0" fontId="19" fillId="3" borderId="7" xfId="0" applyFont="1" applyFill="1" applyBorder="1" applyAlignment="1">
      <alignment horizontal="center" vertical="center" wrapText="1"/>
    </xf>
    <xf numFmtId="0" fontId="19" fillId="0" borderId="7" xfId="0" applyFont="1" applyBorder="1" applyAlignment="1">
      <alignment horizontal="center" wrapText="1"/>
    </xf>
    <xf numFmtId="0" fontId="19" fillId="0" borderId="0" xfId="0" applyFont="1" applyAlignment="1">
      <alignment wrapText="1"/>
    </xf>
    <xf numFmtId="0" fontId="23" fillId="3" borderId="7" xfId="0" applyFont="1" applyFill="1" applyBorder="1" applyAlignment="1">
      <alignment horizontal="left" vertical="center" wrapText="1"/>
    </xf>
    <xf numFmtId="3" fontId="19" fillId="0" borderId="7" xfId="0" applyNumberFormat="1" applyFont="1" applyBorder="1" applyAlignment="1">
      <alignment horizontal="center" wrapText="1"/>
    </xf>
    <xf numFmtId="9" fontId="19" fillId="0" borderId="7" xfId="0" applyNumberFormat="1" applyFont="1" applyBorder="1" applyAlignment="1">
      <alignment horizontal="center" wrapText="1"/>
    </xf>
    <xf numFmtId="0" fontId="23" fillId="0" borderId="0" xfId="0" applyFont="1" applyAlignment="1">
      <alignment horizontal="left" vertical="center" wrapText="1"/>
    </xf>
    <xf numFmtId="1" fontId="19" fillId="0" borderId="0" xfId="0" applyNumberFormat="1" applyFont="1" applyAlignment="1">
      <alignment horizontal="center" wrapText="1"/>
    </xf>
    <xf numFmtId="165" fontId="19" fillId="0" borderId="0" xfId="0" applyNumberFormat="1" applyFont="1" applyAlignment="1">
      <alignment wrapText="1"/>
    </xf>
    <xf numFmtId="0" fontId="24" fillId="0" borderId="0" xfId="0" applyFont="1" applyAlignment="1">
      <alignment wrapText="1"/>
    </xf>
    <xf numFmtId="3" fontId="19" fillId="6" borderId="7" xfId="0" applyNumberFormat="1" applyFont="1" applyFill="1" applyBorder="1" applyAlignment="1">
      <alignment horizontal="center" wrapText="1"/>
    </xf>
    <xf numFmtId="3" fontId="19" fillId="7" borderId="7" xfId="0" applyNumberFormat="1" applyFont="1" applyFill="1" applyBorder="1" applyAlignment="1">
      <alignment horizontal="center" wrapText="1"/>
    </xf>
    <xf numFmtId="3" fontId="19" fillId="8" borderId="7" xfId="0" applyNumberFormat="1" applyFont="1" applyFill="1" applyBorder="1" applyAlignment="1">
      <alignment horizontal="center" wrapText="1"/>
    </xf>
    <xf numFmtId="3" fontId="19" fillId="9" borderId="7" xfId="0" applyNumberFormat="1" applyFont="1" applyFill="1" applyBorder="1" applyAlignment="1">
      <alignment horizontal="center" wrapText="1"/>
    </xf>
    <xf numFmtId="0" fontId="19" fillId="0" borderId="0" xfId="0" applyFont="1" applyAlignment="1">
      <alignment vertical="center"/>
    </xf>
    <xf numFmtId="3" fontId="19" fillId="0" borderId="7" xfId="0" applyNumberFormat="1" applyFont="1" applyBorder="1" applyAlignment="1">
      <alignment horizontal="center" vertical="center" wrapText="1"/>
    </xf>
    <xf numFmtId="3" fontId="19" fillId="6" borderId="7" xfId="0" applyNumberFormat="1" applyFont="1" applyFill="1" applyBorder="1" applyAlignment="1">
      <alignment horizontal="center" vertical="center" wrapText="1"/>
    </xf>
    <xf numFmtId="3" fontId="19" fillId="7" borderId="7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7" fillId="3" borderId="7" xfId="0" applyFont="1" applyFill="1" applyBorder="1" applyAlignment="1">
      <alignment horizontal="center" vertical="center" wrapText="1"/>
    </xf>
    <xf numFmtId="0" fontId="16" fillId="3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/>
    </xf>
    <xf numFmtId="0" fontId="29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left" vertical="center" wrapText="1"/>
    </xf>
    <xf numFmtId="0" fontId="32" fillId="0" borderId="15" xfId="0" applyFont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 wrapText="1"/>
    </xf>
    <xf numFmtId="0" fontId="32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32" fillId="0" borderId="16" xfId="0" applyFont="1" applyBorder="1" applyAlignment="1">
      <alignment vertical="center"/>
    </xf>
    <xf numFmtId="0" fontId="1" fillId="0" borderId="16" xfId="0" applyFont="1" applyBorder="1" applyAlignment="1">
      <alignment horizontal="center" vertical="center"/>
    </xf>
    <xf numFmtId="0" fontId="33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7" fillId="0" borderId="3" xfId="0" applyFont="1" applyBorder="1"/>
    <xf numFmtId="0" fontId="2" fillId="0" borderId="1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6" fillId="2" borderId="1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7" fillId="0" borderId="5" xfId="0" applyFont="1" applyBorder="1"/>
    <xf numFmtId="0" fontId="7" fillId="0" borderId="6" xfId="0" applyFont="1" applyBorder="1"/>
    <xf numFmtId="49" fontId="2" fillId="2" borderId="8" xfId="0" applyNumberFormat="1" applyFont="1" applyFill="1" applyBorder="1" applyAlignment="1">
      <alignment horizontal="left" vertical="center" wrapText="1"/>
    </xf>
    <xf numFmtId="0" fontId="7" fillId="0" borderId="9" xfId="0" applyFont="1" applyBorder="1"/>
    <xf numFmtId="49" fontId="10" fillId="2" borderId="1" xfId="0" applyNumberFormat="1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0" fillId="0" borderId="0" xfId="0"/>
    <xf numFmtId="0" fontId="11" fillId="0" borderId="10" xfId="0" applyFont="1" applyBorder="1" applyAlignment="1">
      <alignment horizontal="left" vertical="center"/>
    </xf>
    <xf numFmtId="0" fontId="7" fillId="0" borderId="10" xfId="0" applyFont="1" applyBorder="1"/>
    <xf numFmtId="0" fontId="2" fillId="0" borderId="9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6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20" fillId="4" borderId="0" xfId="0" applyFont="1" applyFill="1" applyAlignment="1">
      <alignment horizontal="center" vertical="center"/>
    </xf>
    <xf numFmtId="0" fontId="22" fillId="0" borderId="0" xfId="0" applyFont="1" applyAlignment="1">
      <alignment horizontal="center"/>
    </xf>
    <xf numFmtId="0" fontId="25" fillId="4" borderId="0" xfId="0" applyFont="1" applyFill="1" applyAlignment="1">
      <alignment horizontal="center" vertical="center"/>
    </xf>
    <xf numFmtId="0" fontId="26" fillId="0" borderId="1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7" fillId="0" borderId="16" xfId="0" applyFont="1" applyBorder="1"/>
    <xf numFmtId="0" fontId="1" fillId="0" borderId="2" xfId="0" applyFont="1" applyBorder="1" applyAlignment="1">
      <alignment vertical="center" wrapText="1"/>
    </xf>
    <xf numFmtId="0" fontId="28" fillId="3" borderId="12" xfId="0" applyFont="1" applyFill="1" applyBorder="1" applyAlignment="1">
      <alignment horizontal="center" vertical="center" wrapText="1"/>
    </xf>
    <xf numFmtId="0" fontId="7" fillId="0" borderId="13" xfId="0" applyFont="1" applyBorder="1"/>
    <xf numFmtId="0" fontId="7" fillId="0" borderId="14" xfId="0" applyFont="1" applyBorder="1"/>
    <xf numFmtId="0" fontId="3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8.4518167456556076E-2"/>
          <c:y val="9.7744596953747626E-2"/>
          <c:w val="0.88362467524688737"/>
          <c:h val="0.78906924688736035"/>
        </c:manualLayout>
      </c:layout>
      <c:radarChart>
        <c:radarStyle val="marker"/>
        <c:varyColors val="1"/>
        <c:ser>
          <c:idx val="0"/>
          <c:order val="0"/>
          <c:tx>
            <c:strRef>
              <c:f>Resultados!$I$2:$I$3</c:f>
              <c:strCache>
                <c:ptCount val="2"/>
                <c:pt idx="0">
                  <c:v>ITENS DA ISO 13485 - 2016</c:v>
                </c:pt>
                <c:pt idx="1">
                  <c:v>Conforme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Resultados!$B$4:$B$8</c:f>
              <c:strCache>
                <c:ptCount val="5"/>
                <c:pt idx="0">
                  <c:v>4 Sistema de Gestão da Qualidade                            </c:v>
                </c:pt>
                <c:pt idx="1">
                  <c:v>5 Responsabilidade da Direção                         </c:v>
                </c:pt>
                <c:pt idx="2">
                  <c:v>6 Gestão de Recursos </c:v>
                </c:pt>
                <c:pt idx="3">
                  <c:v>7 Realização do Produto (Fabricação)</c:v>
                </c:pt>
                <c:pt idx="4">
                  <c:v>8 Medição, Análise e Melhoria</c:v>
                </c:pt>
              </c:strCache>
            </c:strRef>
          </c:cat>
          <c:val>
            <c:numRef>
              <c:f>Resultados!$I$4:$I$8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4D-4E25-BC3E-C02B3695379D}"/>
            </c:ext>
          </c:extLst>
        </c:ser>
        <c:ser>
          <c:idx val="1"/>
          <c:order val="1"/>
          <c:tx>
            <c:strRef>
              <c:f>Resultados!$J$2:$J$3</c:f>
              <c:strCache>
                <c:ptCount val="2"/>
                <c:pt idx="0">
                  <c:v>ITENS DA ISO 13485 - 2016</c:v>
                </c:pt>
                <c:pt idx="1">
                  <c:v>Não Conforme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Resultados!$B$4:$B$8</c:f>
              <c:strCache>
                <c:ptCount val="5"/>
                <c:pt idx="0">
                  <c:v>4 Sistema de Gestão da Qualidade                            </c:v>
                </c:pt>
                <c:pt idx="1">
                  <c:v>5 Responsabilidade da Direção                         </c:v>
                </c:pt>
                <c:pt idx="2">
                  <c:v>6 Gestão de Recursos </c:v>
                </c:pt>
                <c:pt idx="3">
                  <c:v>7 Realização do Produto (Fabricação)</c:v>
                </c:pt>
                <c:pt idx="4">
                  <c:v>8 Medição, Análise e Melhoria</c:v>
                </c:pt>
              </c:strCache>
            </c:strRef>
          </c:cat>
          <c:val>
            <c:numRef>
              <c:f>Resultados!$J$4:$J$8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4D-4E25-BC3E-C02B3695379D}"/>
            </c:ext>
          </c:extLst>
        </c:ser>
        <c:ser>
          <c:idx val="2"/>
          <c:order val="2"/>
          <c:tx>
            <c:strRef>
              <c:f>Resultados!$K$2:$K$3</c:f>
              <c:strCache>
                <c:ptCount val="2"/>
                <c:pt idx="0">
                  <c:v>ITENS DA ISO 13485 - 2016</c:v>
                </c:pt>
                <c:pt idx="1">
                  <c:v>Oportunidade de Melhoria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circle"/>
            <c:size val="10"/>
            <c:spPr>
              <a:solidFill>
                <a:srgbClr val="FBBC04"/>
              </a:solidFill>
              <a:ln cmpd="sng">
                <a:solidFill>
                  <a:srgbClr val="FBBC04"/>
                </a:solidFill>
              </a:ln>
            </c:spPr>
          </c:marker>
          <c:cat>
            <c:strRef>
              <c:f>Resultados!$B$4:$B$8</c:f>
              <c:strCache>
                <c:ptCount val="5"/>
                <c:pt idx="0">
                  <c:v>4 Sistema de Gestão da Qualidade                            </c:v>
                </c:pt>
                <c:pt idx="1">
                  <c:v>5 Responsabilidade da Direção                         </c:v>
                </c:pt>
                <c:pt idx="2">
                  <c:v>6 Gestão de Recursos </c:v>
                </c:pt>
                <c:pt idx="3">
                  <c:v>7 Realização do Produto (Fabricação)</c:v>
                </c:pt>
                <c:pt idx="4">
                  <c:v>8 Medição, Análise e Melhoria</c:v>
                </c:pt>
              </c:strCache>
            </c:strRef>
          </c:cat>
          <c:val>
            <c:numRef>
              <c:f>Resultados!$K$4:$K$8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4D-4E25-BC3E-C02B36953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0435688"/>
        <c:axId val="651622793"/>
      </c:radarChart>
      <c:catAx>
        <c:axId val="1030435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651622793"/>
        <c:crosses val="autoZero"/>
        <c:auto val="1"/>
        <c:lblAlgn val="ctr"/>
        <c:lblOffset val="100"/>
        <c:noMultiLvlLbl val="1"/>
      </c:catAx>
      <c:valAx>
        <c:axId val="6516227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030435688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228600</xdr:rowOff>
    </xdr:from>
    <xdr:ext cx="1819275" cy="190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285750"/>
          <a:ext cx="1819275" cy="1905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381000</xdr:colOff>
      <xdr:row>13</xdr:row>
      <xdr:rowOff>57150</xdr:rowOff>
    </xdr:from>
    <xdr:ext cx="6696075" cy="41433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95D516B-3026-4148-8496-9878CF9AD3A4}">
  <we:reference id="wa200007447" version="1.1.6.7" store="pt-B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1.qualiex.com/Docs/Documents/Details/ADC2DLVPAE0D2JN" TargetMode="External"/><Relationship Id="rId2" Type="http://schemas.openxmlformats.org/officeDocument/2006/relationships/hyperlink" Target="https://docs.google.com/spreadsheets/d/13-t8DcNUfXAYLzoNum8xvjTCJoprYP4Zy8TV3HzyoKg/edit" TargetMode="External"/><Relationship Id="rId1" Type="http://schemas.openxmlformats.org/officeDocument/2006/relationships/hyperlink" Target="https://drive.google.com/drive/u/2/folders/1sfWNKRbX0vut3uYUaA1AGx5ozfhCHxM8" TargetMode="External"/><Relationship Id="rId5" Type="http://schemas.openxmlformats.org/officeDocument/2006/relationships/vmlDrawing" Target="../drawings/vmlDrawing4.vml"/><Relationship Id="rId4" Type="http://schemas.openxmlformats.org/officeDocument/2006/relationships/hyperlink" Target="https://drive.google.com/drive/u/2/folders/1OD08q5FfBaChxQSvgQ6eYJr1EW-ADfX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defaultColWidth="12.5546875" defaultRowHeight="15" customHeight="1"/>
  <cols>
    <col min="1" max="1" width="1.109375" customWidth="1"/>
    <col min="2" max="2" width="24" customWidth="1"/>
    <col min="3" max="3" width="59.33203125" customWidth="1"/>
    <col min="4" max="7" width="7.109375" customWidth="1"/>
    <col min="8" max="8" width="42.109375" customWidth="1"/>
    <col min="9" max="9" width="4.88671875" customWidth="1"/>
    <col min="10" max="10" width="42.109375" customWidth="1"/>
    <col min="11" max="13" width="4.5546875" customWidth="1"/>
  </cols>
  <sheetData>
    <row r="1" spans="1:13" ht="4.5" customHeight="1">
      <c r="A1" s="1"/>
      <c r="B1" s="1"/>
      <c r="C1" s="1"/>
      <c r="D1" s="2"/>
      <c r="E1" s="3"/>
      <c r="F1" s="2"/>
      <c r="G1" s="2"/>
      <c r="H1" s="1"/>
      <c r="I1" s="4"/>
      <c r="J1" s="4"/>
      <c r="K1" s="5"/>
      <c r="L1" s="5"/>
      <c r="M1" s="5"/>
    </row>
    <row r="2" spans="1:13" ht="51" customHeight="1">
      <c r="A2" s="1"/>
      <c r="B2" s="6"/>
      <c r="C2" s="96" t="s">
        <v>0</v>
      </c>
      <c r="D2" s="95"/>
      <c r="E2" s="95"/>
      <c r="F2" s="95"/>
      <c r="G2" s="95"/>
      <c r="H2" s="95"/>
      <c r="I2" s="95"/>
      <c r="J2" s="92"/>
      <c r="K2" s="5"/>
      <c r="L2" s="5"/>
      <c r="M2" s="5"/>
    </row>
    <row r="3" spans="1:13" ht="6" customHeight="1">
      <c r="A3" s="1"/>
      <c r="B3" s="1"/>
      <c r="C3" s="1"/>
      <c r="D3" s="2"/>
      <c r="E3" s="3"/>
      <c r="F3" s="2"/>
      <c r="G3" s="2"/>
      <c r="H3" s="1"/>
      <c r="I3" s="4"/>
      <c r="J3" s="4"/>
      <c r="K3" s="5"/>
      <c r="L3" s="5"/>
      <c r="M3" s="5"/>
    </row>
    <row r="4" spans="1:13" ht="23.25" customHeight="1">
      <c r="A4" s="7"/>
      <c r="B4" s="97" t="s">
        <v>1</v>
      </c>
      <c r="C4" s="98"/>
      <c r="D4" s="98"/>
      <c r="E4" s="98"/>
      <c r="F4" s="98"/>
      <c r="G4" s="98"/>
      <c r="H4" s="98"/>
      <c r="I4" s="98"/>
      <c r="J4" s="99"/>
      <c r="K4" s="5"/>
      <c r="L4" s="5"/>
      <c r="M4" s="5"/>
    </row>
    <row r="5" spans="1:13" ht="27" customHeight="1">
      <c r="A5" s="7"/>
      <c r="B5" s="8" t="s">
        <v>2</v>
      </c>
      <c r="C5" s="100" t="s">
        <v>250</v>
      </c>
      <c r="D5" s="101"/>
      <c r="E5" s="101"/>
      <c r="F5" s="101"/>
      <c r="G5" s="101"/>
      <c r="H5" s="101"/>
      <c r="I5" s="94" t="s">
        <v>3</v>
      </c>
      <c r="J5" s="92"/>
      <c r="K5" s="5"/>
      <c r="L5" s="5"/>
      <c r="M5" s="5"/>
    </row>
    <row r="6" spans="1:13" ht="27" customHeight="1">
      <c r="A6" s="7"/>
      <c r="B6" s="8" t="s">
        <v>4</v>
      </c>
      <c r="C6" s="124" t="s">
        <v>254</v>
      </c>
      <c r="D6" s="95"/>
      <c r="E6" s="95"/>
      <c r="F6" s="95"/>
      <c r="G6" s="95"/>
      <c r="H6" s="92"/>
      <c r="I6" s="9" t="s">
        <v>252</v>
      </c>
      <c r="J6" s="10" t="s">
        <v>5</v>
      </c>
      <c r="K6" s="5"/>
      <c r="L6" s="5"/>
      <c r="M6" s="5"/>
    </row>
    <row r="7" spans="1:13" ht="27" customHeight="1">
      <c r="A7" s="7"/>
      <c r="B7" s="8" t="s">
        <v>6</v>
      </c>
      <c r="C7" s="125" t="s">
        <v>255</v>
      </c>
      <c r="D7" s="95"/>
      <c r="E7" s="95"/>
      <c r="F7" s="95"/>
      <c r="G7" s="95"/>
      <c r="H7" s="92"/>
      <c r="I7" s="9" t="s">
        <v>253</v>
      </c>
      <c r="J7" s="10" t="s">
        <v>7</v>
      </c>
      <c r="K7" s="5"/>
      <c r="L7" s="5"/>
      <c r="M7" s="5"/>
    </row>
    <row r="8" spans="1:13" ht="57" customHeight="1">
      <c r="A8" s="7"/>
      <c r="B8" s="8" t="s">
        <v>8</v>
      </c>
      <c r="C8" s="124" t="s">
        <v>251</v>
      </c>
      <c r="D8" s="95"/>
      <c r="E8" s="95"/>
      <c r="F8" s="95"/>
      <c r="G8" s="95"/>
      <c r="H8" s="95"/>
      <c r="I8" s="95"/>
      <c r="J8" s="92"/>
      <c r="K8" s="5"/>
      <c r="L8" s="5"/>
      <c r="M8" s="5"/>
    </row>
    <row r="9" spans="1:13" ht="33.75" customHeight="1">
      <c r="A9" s="7"/>
      <c r="B9" s="8" t="s">
        <v>9</v>
      </c>
      <c r="C9" s="102"/>
      <c r="D9" s="95"/>
      <c r="E9" s="95"/>
      <c r="F9" s="95"/>
      <c r="G9" s="95"/>
      <c r="H9" s="95"/>
      <c r="I9" s="95"/>
      <c r="J9" s="92"/>
      <c r="K9" s="5"/>
      <c r="L9" s="5"/>
      <c r="M9" s="5"/>
    </row>
    <row r="10" spans="1:13" ht="11.25" customHeight="1">
      <c r="A10" s="11"/>
      <c r="B10" s="103" t="s">
        <v>10</v>
      </c>
      <c r="C10" s="104"/>
      <c r="D10" s="104"/>
      <c r="E10" s="104"/>
      <c r="F10" s="104"/>
      <c r="G10" s="104"/>
      <c r="H10" s="104"/>
      <c r="I10" s="104"/>
      <c r="J10" s="104"/>
      <c r="K10" s="12"/>
      <c r="L10" s="12"/>
      <c r="M10" s="12"/>
    </row>
    <row r="11" spans="1:13" ht="11.25" customHeight="1">
      <c r="A11" s="11"/>
      <c r="B11" s="105" t="s">
        <v>11</v>
      </c>
      <c r="C11" s="106"/>
      <c r="D11" s="106"/>
      <c r="E11" s="106"/>
      <c r="F11" s="106"/>
      <c r="G11" s="106"/>
      <c r="H11" s="106"/>
      <c r="I11" s="106"/>
      <c r="J11" s="106"/>
      <c r="K11" s="12"/>
      <c r="L11" s="12"/>
      <c r="M11" s="12"/>
    </row>
    <row r="12" spans="1:13" ht="27" customHeight="1">
      <c r="A12" s="7"/>
      <c r="B12" s="13" t="s">
        <v>12</v>
      </c>
      <c r="C12" s="14" t="s">
        <v>13</v>
      </c>
      <c r="D12" s="14" t="s">
        <v>14</v>
      </c>
      <c r="E12" s="14" t="s">
        <v>15</v>
      </c>
      <c r="F12" s="14" t="s">
        <v>16</v>
      </c>
      <c r="G12" s="14" t="s">
        <v>17</v>
      </c>
      <c r="H12" s="14" t="s">
        <v>18</v>
      </c>
      <c r="I12" s="94" t="s">
        <v>19</v>
      </c>
      <c r="J12" s="92"/>
      <c r="K12" s="5"/>
      <c r="L12" s="5"/>
      <c r="M12" s="5"/>
    </row>
    <row r="13" spans="1:13" ht="23.25" customHeight="1">
      <c r="A13" s="7"/>
      <c r="B13" s="94" t="s">
        <v>20</v>
      </c>
      <c r="C13" s="95"/>
      <c r="D13" s="95"/>
      <c r="E13" s="95"/>
      <c r="F13" s="95"/>
      <c r="G13" s="95"/>
      <c r="H13" s="95"/>
      <c r="I13" s="95"/>
      <c r="J13" s="92"/>
      <c r="K13" s="15">
        <f t="shared" ref="K13:L13" si="0">COUNTIF(D14:D24,"X")</f>
        <v>0</v>
      </c>
      <c r="L13" s="15">
        <f t="shared" si="0"/>
        <v>0</v>
      </c>
      <c r="M13" s="15">
        <f>COUNTIF(G14:G24,"X")</f>
        <v>0</v>
      </c>
    </row>
    <row r="14" spans="1:13" ht="62.25" customHeight="1">
      <c r="A14" s="16"/>
      <c r="B14" s="17" t="s">
        <v>21</v>
      </c>
      <c r="C14" s="18" t="s">
        <v>22</v>
      </c>
      <c r="D14" s="10"/>
      <c r="E14" s="10"/>
      <c r="F14" s="10"/>
      <c r="G14" s="10"/>
      <c r="H14" s="19"/>
      <c r="I14" s="93"/>
      <c r="J14" s="92"/>
      <c r="K14" s="20" t="e">
        <f>(K13)/(K13+L13+M13)</f>
        <v>#DIV/0!</v>
      </c>
      <c r="L14" s="20" t="e">
        <f>(L13)/(K13+L13+M13)</f>
        <v>#DIV/0!</v>
      </c>
      <c r="M14" s="20" t="e">
        <f>(M13)/(K13+L13+M13)</f>
        <v>#DIV/0!</v>
      </c>
    </row>
    <row r="15" spans="1:13" ht="55.2">
      <c r="A15" s="16"/>
      <c r="B15" s="17" t="s">
        <v>23</v>
      </c>
      <c r="C15" s="18" t="s">
        <v>24</v>
      </c>
      <c r="D15" s="21"/>
      <c r="E15" s="10"/>
      <c r="F15" s="10"/>
      <c r="G15" s="10"/>
      <c r="H15" s="19"/>
      <c r="I15" s="93"/>
      <c r="J15" s="92"/>
      <c r="K15" s="22"/>
      <c r="L15" s="22"/>
      <c r="M15" s="22"/>
    </row>
    <row r="16" spans="1:13" ht="62.25" customHeight="1">
      <c r="A16" s="16"/>
      <c r="B16" s="17" t="s">
        <v>25</v>
      </c>
      <c r="C16" s="18" t="s">
        <v>26</v>
      </c>
      <c r="D16" s="21"/>
      <c r="E16" s="10"/>
      <c r="F16" s="10"/>
      <c r="G16" s="10"/>
      <c r="H16" s="19"/>
      <c r="I16" s="93"/>
      <c r="J16" s="92"/>
      <c r="K16" s="22"/>
      <c r="L16" s="22"/>
      <c r="M16" s="22"/>
    </row>
    <row r="17" spans="1:13" ht="62.25" customHeight="1">
      <c r="A17" s="16"/>
      <c r="B17" s="17" t="s">
        <v>27</v>
      </c>
      <c r="C17" s="18" t="s">
        <v>28</v>
      </c>
      <c r="D17" s="21"/>
      <c r="E17" s="10"/>
      <c r="F17" s="10"/>
      <c r="G17" s="10"/>
      <c r="H17" s="19"/>
      <c r="I17" s="93"/>
      <c r="J17" s="92"/>
      <c r="K17" s="22"/>
      <c r="L17" s="22"/>
      <c r="M17" s="22"/>
    </row>
    <row r="18" spans="1:13" ht="62.25" customHeight="1">
      <c r="A18" s="16"/>
      <c r="B18" s="17" t="s">
        <v>29</v>
      </c>
      <c r="C18" s="18" t="s">
        <v>30</v>
      </c>
      <c r="D18" s="21"/>
      <c r="E18" s="10"/>
      <c r="F18" s="10"/>
      <c r="G18" s="10"/>
      <c r="H18" s="19"/>
      <c r="I18" s="93"/>
      <c r="J18" s="92"/>
      <c r="K18" s="22"/>
      <c r="L18" s="22"/>
      <c r="M18" s="22"/>
    </row>
    <row r="19" spans="1:13" ht="27.6">
      <c r="A19" s="16"/>
      <c r="B19" s="17" t="s">
        <v>31</v>
      </c>
      <c r="C19" s="18" t="s">
        <v>32</v>
      </c>
      <c r="D19" s="21"/>
      <c r="E19" s="10"/>
      <c r="F19" s="10"/>
      <c r="G19" s="10"/>
      <c r="H19" s="19"/>
      <c r="I19" s="93"/>
      <c r="J19" s="92"/>
      <c r="K19" s="22"/>
      <c r="L19" s="22"/>
      <c r="M19" s="22"/>
    </row>
    <row r="20" spans="1:13" ht="62.25" customHeight="1">
      <c r="A20" s="16"/>
      <c r="B20" s="17" t="s">
        <v>33</v>
      </c>
      <c r="C20" s="18" t="s">
        <v>34</v>
      </c>
      <c r="D20" s="21"/>
      <c r="E20" s="10"/>
      <c r="F20" s="10"/>
      <c r="G20" s="10"/>
      <c r="H20" s="19"/>
      <c r="I20" s="93"/>
      <c r="J20" s="92"/>
      <c r="K20" s="22"/>
      <c r="L20" s="22"/>
      <c r="M20" s="22"/>
    </row>
    <row r="21" spans="1:13" ht="62.25" customHeight="1">
      <c r="A21" s="16"/>
      <c r="B21" s="17" t="s">
        <v>35</v>
      </c>
      <c r="C21" s="18" t="s">
        <v>36</v>
      </c>
      <c r="D21" s="21"/>
      <c r="E21" s="23"/>
      <c r="F21" s="23"/>
      <c r="G21" s="23"/>
      <c r="H21" s="19"/>
      <c r="I21" s="93"/>
      <c r="J21" s="92"/>
      <c r="K21" s="22"/>
      <c r="L21" s="22"/>
      <c r="M21" s="22"/>
    </row>
    <row r="22" spans="1:13" ht="62.25" customHeight="1">
      <c r="A22" s="24"/>
      <c r="B22" s="17" t="s">
        <v>37</v>
      </c>
      <c r="C22" s="18" t="s">
        <v>38</v>
      </c>
      <c r="D22" s="21"/>
      <c r="E22" s="23"/>
      <c r="F22" s="23"/>
      <c r="G22" s="23"/>
      <c r="H22" s="19"/>
      <c r="I22" s="93"/>
      <c r="J22" s="92"/>
      <c r="K22" s="22"/>
      <c r="L22" s="22"/>
      <c r="M22" s="22"/>
    </row>
    <row r="23" spans="1:13" ht="69">
      <c r="A23" s="24"/>
      <c r="B23" s="17" t="s">
        <v>39</v>
      </c>
      <c r="C23" s="18" t="s">
        <v>40</v>
      </c>
      <c r="D23" s="21"/>
      <c r="E23" s="23"/>
      <c r="F23" s="23"/>
      <c r="G23" s="23"/>
      <c r="H23" s="19"/>
      <c r="I23" s="93"/>
      <c r="J23" s="92"/>
      <c r="K23" s="22"/>
      <c r="L23" s="22"/>
      <c r="M23" s="22"/>
    </row>
    <row r="24" spans="1:13" ht="62.25" customHeight="1">
      <c r="A24" s="24"/>
      <c r="B24" s="17" t="s">
        <v>41</v>
      </c>
      <c r="C24" s="18" t="s">
        <v>42</v>
      </c>
      <c r="D24" s="21"/>
      <c r="E24" s="23"/>
      <c r="F24" s="23"/>
      <c r="G24" s="23"/>
      <c r="H24" s="19"/>
      <c r="I24" s="93"/>
      <c r="J24" s="92"/>
      <c r="K24" s="22"/>
      <c r="L24" s="22"/>
      <c r="M24" s="22"/>
    </row>
    <row r="25" spans="1:13" ht="23.25" customHeight="1">
      <c r="A25" s="24"/>
      <c r="B25" s="94" t="s">
        <v>43</v>
      </c>
      <c r="C25" s="95"/>
      <c r="D25" s="95"/>
      <c r="E25" s="95"/>
      <c r="F25" s="95"/>
      <c r="G25" s="95"/>
      <c r="H25" s="95"/>
      <c r="I25" s="95"/>
      <c r="J25" s="92"/>
      <c r="K25" s="15">
        <f t="shared" ref="K25:L25" si="1">COUNTIF(D26:D36,"X")</f>
        <v>0</v>
      </c>
      <c r="L25" s="15">
        <f t="shared" si="1"/>
        <v>0</v>
      </c>
      <c r="M25" s="15">
        <f>COUNTIF(G26:G36,"X")</f>
        <v>0</v>
      </c>
    </row>
    <row r="26" spans="1:13" ht="96" customHeight="1">
      <c r="A26" s="24"/>
      <c r="B26" s="17" t="s">
        <v>44</v>
      </c>
      <c r="C26" s="25" t="s">
        <v>45</v>
      </c>
      <c r="D26" s="26"/>
      <c r="E26" s="27"/>
      <c r="F26" s="27"/>
      <c r="G26" s="27"/>
      <c r="H26" s="19"/>
      <c r="I26" s="93"/>
      <c r="J26" s="92"/>
      <c r="K26" s="20" t="e">
        <f>(K25)/(K25+L25+M25)</f>
        <v>#DIV/0!</v>
      </c>
      <c r="L26" s="20" t="e">
        <f>(L25)/(K25+L25+M25)</f>
        <v>#DIV/0!</v>
      </c>
      <c r="M26" s="20" t="e">
        <f>(M25)/(K25+L25+M25)</f>
        <v>#DIV/0!</v>
      </c>
    </row>
    <row r="27" spans="1:13" ht="96" customHeight="1">
      <c r="A27" s="24"/>
      <c r="B27" s="17" t="s">
        <v>46</v>
      </c>
      <c r="C27" s="25" t="s">
        <v>47</v>
      </c>
      <c r="D27" s="28"/>
      <c r="E27" s="27"/>
      <c r="F27" s="27"/>
      <c r="G27" s="27"/>
      <c r="H27" s="19"/>
      <c r="I27" s="93"/>
      <c r="J27" s="92"/>
      <c r="K27" s="22"/>
      <c r="L27" s="22"/>
      <c r="M27" s="22"/>
    </row>
    <row r="28" spans="1:13" ht="96" customHeight="1">
      <c r="A28" s="24"/>
      <c r="B28" s="17" t="s">
        <v>48</v>
      </c>
      <c r="C28" s="25" t="s">
        <v>49</v>
      </c>
      <c r="D28" s="28"/>
      <c r="E28" s="27"/>
      <c r="F28" s="27"/>
      <c r="G28" s="27"/>
      <c r="H28" s="19"/>
      <c r="I28" s="93"/>
      <c r="J28" s="92"/>
      <c r="K28" s="22"/>
      <c r="L28" s="22"/>
      <c r="M28" s="22"/>
    </row>
    <row r="29" spans="1:13" ht="96" customHeight="1">
      <c r="A29" s="24"/>
      <c r="B29" s="29" t="s">
        <v>50</v>
      </c>
      <c r="C29" s="25" t="s">
        <v>51</v>
      </c>
      <c r="D29" s="28"/>
      <c r="E29" s="27"/>
      <c r="F29" s="27"/>
      <c r="G29" s="27"/>
      <c r="H29" s="19"/>
      <c r="I29" s="93"/>
      <c r="J29" s="92"/>
      <c r="K29" s="22"/>
      <c r="L29" s="22"/>
      <c r="M29" s="22"/>
    </row>
    <row r="30" spans="1:13" ht="96" customHeight="1">
      <c r="A30" s="24"/>
      <c r="B30" s="29" t="s">
        <v>52</v>
      </c>
      <c r="C30" s="25" t="s">
        <v>53</v>
      </c>
      <c r="D30" s="28"/>
      <c r="E30" s="27"/>
      <c r="F30" s="27"/>
      <c r="G30" s="27"/>
      <c r="H30" s="19"/>
      <c r="I30" s="93"/>
      <c r="J30" s="92"/>
      <c r="K30" s="22"/>
      <c r="L30" s="22"/>
      <c r="M30" s="22"/>
    </row>
    <row r="31" spans="1:13" ht="96" customHeight="1">
      <c r="A31" s="24"/>
      <c r="B31" s="17" t="s">
        <v>54</v>
      </c>
      <c r="C31" s="25" t="s">
        <v>55</v>
      </c>
      <c r="D31" s="28"/>
      <c r="E31" s="27"/>
      <c r="F31" s="27"/>
      <c r="G31" s="27"/>
      <c r="H31" s="19"/>
      <c r="I31" s="93"/>
      <c r="J31" s="92"/>
      <c r="K31" s="22"/>
      <c r="L31" s="22"/>
      <c r="M31" s="22"/>
    </row>
    <row r="32" spans="1:13" ht="25.2">
      <c r="A32" s="24"/>
      <c r="B32" s="17" t="s">
        <v>56</v>
      </c>
      <c r="C32" s="25" t="s">
        <v>57</v>
      </c>
      <c r="D32" s="28"/>
      <c r="E32" s="27"/>
      <c r="F32" s="27"/>
      <c r="G32" s="27"/>
      <c r="H32" s="19"/>
      <c r="I32" s="93"/>
      <c r="J32" s="92"/>
      <c r="K32" s="22"/>
      <c r="L32" s="22"/>
      <c r="M32" s="22"/>
    </row>
    <row r="33" spans="1:13" ht="25.2">
      <c r="A33" s="24"/>
      <c r="B33" s="17" t="s">
        <v>58</v>
      </c>
      <c r="C33" s="25" t="s">
        <v>59</v>
      </c>
      <c r="D33" s="28"/>
      <c r="E33" s="27"/>
      <c r="F33" s="27"/>
      <c r="G33" s="27"/>
      <c r="H33" s="19"/>
      <c r="I33" s="93"/>
      <c r="J33" s="92"/>
      <c r="K33" s="22"/>
      <c r="L33" s="22"/>
      <c r="M33" s="22"/>
    </row>
    <row r="34" spans="1:13" ht="25.2">
      <c r="A34" s="24"/>
      <c r="B34" s="17" t="s">
        <v>60</v>
      </c>
      <c r="C34" s="25" t="s">
        <v>61</v>
      </c>
      <c r="D34" s="28"/>
      <c r="E34" s="27"/>
      <c r="F34" s="27"/>
      <c r="G34" s="27"/>
      <c r="H34" s="19"/>
      <c r="I34" s="93"/>
      <c r="J34" s="92"/>
      <c r="K34" s="22"/>
      <c r="L34" s="22"/>
      <c r="M34" s="22"/>
    </row>
    <row r="35" spans="1:13" ht="96" customHeight="1">
      <c r="A35" s="24"/>
      <c r="B35" s="17" t="s">
        <v>62</v>
      </c>
      <c r="C35" s="25" t="s">
        <v>63</v>
      </c>
      <c r="D35" s="28"/>
      <c r="E35" s="27"/>
      <c r="F35" s="27"/>
      <c r="G35" s="27"/>
      <c r="H35" s="19"/>
      <c r="I35" s="91"/>
      <c r="J35" s="92"/>
      <c r="K35" s="22"/>
      <c r="L35" s="22"/>
      <c r="M35" s="22"/>
    </row>
    <row r="36" spans="1:13" ht="96" customHeight="1">
      <c r="A36" s="24"/>
      <c r="B36" s="17" t="s">
        <v>64</v>
      </c>
      <c r="C36" s="25" t="s">
        <v>65</v>
      </c>
      <c r="D36" s="28"/>
      <c r="E36" s="27"/>
      <c r="F36" s="27"/>
      <c r="G36" s="27"/>
      <c r="H36" s="19"/>
      <c r="I36" s="91"/>
      <c r="J36" s="92"/>
      <c r="K36" s="22"/>
      <c r="L36" s="22"/>
      <c r="M36" s="22"/>
    </row>
    <row r="37" spans="1:13" ht="23.25" customHeight="1">
      <c r="A37" s="24"/>
      <c r="B37" s="94" t="s">
        <v>66</v>
      </c>
      <c r="C37" s="95"/>
      <c r="D37" s="95"/>
      <c r="E37" s="95"/>
      <c r="F37" s="95"/>
      <c r="G37" s="95"/>
      <c r="H37" s="95"/>
      <c r="I37" s="95"/>
      <c r="J37" s="92"/>
      <c r="K37" s="15">
        <f t="shared" ref="K37:L37" si="2">COUNTIF(D38:D42,"X")</f>
        <v>0</v>
      </c>
      <c r="L37" s="15">
        <f t="shared" si="2"/>
        <v>0</v>
      </c>
      <c r="M37" s="15">
        <f>COUNTIF(G38:G42,"X")</f>
        <v>0</v>
      </c>
    </row>
    <row r="38" spans="1:13" ht="96" customHeight="1">
      <c r="A38" s="24"/>
      <c r="B38" s="17" t="s">
        <v>67</v>
      </c>
      <c r="C38" s="25" t="s">
        <v>68</v>
      </c>
      <c r="D38" s="26"/>
      <c r="E38" s="27"/>
      <c r="F38" s="27"/>
      <c r="G38" s="27"/>
      <c r="H38" s="19"/>
      <c r="I38" s="93"/>
      <c r="J38" s="92"/>
      <c r="K38" s="20" t="e">
        <f>(K37)/(K37+L37+M37)</f>
        <v>#DIV/0!</v>
      </c>
      <c r="L38" s="20" t="e">
        <f>(L37)/(K37+L37+M37)</f>
        <v>#DIV/0!</v>
      </c>
      <c r="M38" s="20" t="e">
        <f>(M37)/(K37+L37+M37)</f>
        <v>#DIV/0!</v>
      </c>
    </row>
    <row r="39" spans="1:13" ht="50.4">
      <c r="A39" s="24"/>
      <c r="B39" s="17" t="s">
        <v>69</v>
      </c>
      <c r="C39" s="25" t="s">
        <v>70</v>
      </c>
      <c r="D39" s="28"/>
      <c r="E39" s="27"/>
      <c r="F39" s="27"/>
      <c r="G39" s="27"/>
      <c r="H39" s="19"/>
      <c r="I39" s="93"/>
      <c r="J39" s="92"/>
      <c r="K39" s="22"/>
      <c r="L39" s="22"/>
      <c r="M39" s="22"/>
    </row>
    <row r="40" spans="1:13" ht="153.75" customHeight="1">
      <c r="A40" s="24"/>
      <c r="B40" s="31">
        <v>44626</v>
      </c>
      <c r="C40" s="25" t="s">
        <v>71</v>
      </c>
      <c r="D40" s="28"/>
      <c r="E40" s="27"/>
      <c r="F40" s="27"/>
      <c r="G40" s="27"/>
      <c r="H40" s="19"/>
      <c r="I40" s="93"/>
      <c r="J40" s="92"/>
      <c r="K40" s="22"/>
      <c r="L40" s="22"/>
      <c r="M40" s="22"/>
    </row>
    <row r="41" spans="1:13" ht="96" customHeight="1">
      <c r="A41" s="24"/>
      <c r="B41" s="17" t="s">
        <v>72</v>
      </c>
      <c r="C41" s="25" t="s">
        <v>73</v>
      </c>
      <c r="D41" s="28"/>
      <c r="E41" s="27"/>
      <c r="F41" s="27"/>
      <c r="G41" s="27"/>
      <c r="H41" s="32"/>
      <c r="I41" s="93"/>
      <c r="J41" s="92"/>
      <c r="K41" s="22"/>
      <c r="L41" s="22"/>
      <c r="M41" s="22"/>
    </row>
    <row r="42" spans="1:13" ht="96" customHeight="1">
      <c r="A42" s="24"/>
      <c r="B42" s="17" t="s">
        <v>74</v>
      </c>
      <c r="C42" s="25" t="s">
        <v>75</v>
      </c>
      <c r="D42" s="28"/>
      <c r="E42" s="27"/>
      <c r="F42" s="27"/>
      <c r="G42" s="27"/>
      <c r="H42" s="19"/>
      <c r="I42" s="91"/>
      <c r="J42" s="92"/>
      <c r="K42" s="22"/>
      <c r="L42" s="22"/>
      <c r="M42" s="22"/>
    </row>
    <row r="43" spans="1:13" ht="23.25" customHeight="1">
      <c r="A43" s="24"/>
      <c r="B43" s="94" t="s">
        <v>76</v>
      </c>
      <c r="C43" s="95"/>
      <c r="D43" s="95"/>
      <c r="E43" s="95"/>
      <c r="F43" s="95"/>
      <c r="G43" s="95"/>
      <c r="H43" s="95"/>
      <c r="I43" s="95"/>
      <c r="J43" s="92"/>
      <c r="K43" s="15">
        <f t="shared" ref="K43:L43" si="3">COUNTIF(D44:D73,"X")</f>
        <v>0</v>
      </c>
      <c r="L43" s="15">
        <f t="shared" si="3"/>
        <v>0</v>
      </c>
      <c r="M43" s="15">
        <f>COUNTIF(G44:G73,"X")</f>
        <v>0</v>
      </c>
    </row>
    <row r="44" spans="1:13" ht="106.5" customHeight="1">
      <c r="A44" s="24"/>
      <c r="B44" s="17" t="s">
        <v>77</v>
      </c>
      <c r="C44" s="25" t="s">
        <v>78</v>
      </c>
      <c r="D44" s="26"/>
      <c r="E44" s="27"/>
      <c r="F44" s="27"/>
      <c r="G44" s="27"/>
      <c r="H44" s="19"/>
      <c r="I44" s="91"/>
      <c r="J44" s="92"/>
      <c r="K44" s="20" t="e">
        <f>(K43)/(K43+L43+M43)</f>
        <v>#DIV/0!</v>
      </c>
      <c r="L44" s="20" t="e">
        <f>(L43)/(K43+L43+M43)</f>
        <v>#DIV/0!</v>
      </c>
      <c r="M44" s="20" t="e">
        <f>(M43)/(K43+L43+M43)</f>
        <v>#DIV/0!</v>
      </c>
    </row>
    <row r="45" spans="1:13" ht="96" customHeight="1">
      <c r="A45" s="24"/>
      <c r="B45" s="17" t="s">
        <v>79</v>
      </c>
      <c r="C45" s="25" t="s">
        <v>80</v>
      </c>
      <c r="D45" s="28"/>
      <c r="E45" s="27"/>
      <c r="F45" s="27"/>
      <c r="G45" s="27"/>
      <c r="H45" s="19"/>
      <c r="I45" s="91"/>
      <c r="J45" s="92"/>
      <c r="K45" s="22"/>
      <c r="L45" s="22"/>
      <c r="M45" s="22"/>
    </row>
    <row r="46" spans="1:13" ht="96" customHeight="1">
      <c r="A46" s="24"/>
      <c r="B46" s="17" t="s">
        <v>81</v>
      </c>
      <c r="C46" s="25" t="s">
        <v>82</v>
      </c>
      <c r="D46" s="28"/>
      <c r="E46" s="27"/>
      <c r="F46" s="27"/>
      <c r="G46" s="27"/>
      <c r="H46" s="19"/>
      <c r="I46" s="91"/>
      <c r="J46" s="92"/>
      <c r="K46" s="22"/>
      <c r="L46" s="22"/>
      <c r="M46" s="22"/>
    </row>
    <row r="47" spans="1:13" ht="63">
      <c r="A47" s="24"/>
      <c r="B47" s="17" t="s">
        <v>83</v>
      </c>
      <c r="C47" s="25" t="s">
        <v>84</v>
      </c>
      <c r="D47" s="28"/>
      <c r="E47" s="27"/>
      <c r="F47" s="27"/>
      <c r="G47" s="27"/>
      <c r="H47" s="19"/>
      <c r="I47" s="91"/>
      <c r="J47" s="92"/>
      <c r="K47" s="22"/>
      <c r="L47" s="22"/>
      <c r="M47" s="22"/>
    </row>
    <row r="48" spans="1:13" ht="96" customHeight="1">
      <c r="A48" s="24"/>
      <c r="B48" s="33" t="s">
        <v>85</v>
      </c>
      <c r="C48" s="25" t="s">
        <v>86</v>
      </c>
      <c r="D48" s="28"/>
      <c r="E48" s="27"/>
      <c r="F48" s="27"/>
      <c r="G48" s="27"/>
      <c r="H48" s="34"/>
      <c r="I48" s="91"/>
      <c r="J48" s="92"/>
      <c r="K48" s="22"/>
      <c r="L48" s="22"/>
      <c r="M48" s="22"/>
    </row>
    <row r="49" spans="1:13" ht="96" customHeight="1">
      <c r="A49" s="24"/>
      <c r="B49" s="33" t="s">
        <v>87</v>
      </c>
      <c r="C49" s="25" t="s">
        <v>88</v>
      </c>
      <c r="D49" s="28"/>
      <c r="E49" s="27"/>
      <c r="F49" s="27"/>
      <c r="G49" s="27"/>
      <c r="H49" s="34"/>
      <c r="I49" s="91"/>
      <c r="J49" s="92"/>
      <c r="K49" s="22"/>
      <c r="L49" s="22"/>
      <c r="M49" s="22"/>
    </row>
    <row r="50" spans="1:13" ht="96" customHeight="1">
      <c r="A50" s="24"/>
      <c r="B50" s="33" t="s">
        <v>89</v>
      </c>
      <c r="C50" s="25" t="s">
        <v>90</v>
      </c>
      <c r="D50" s="28"/>
      <c r="E50" s="27"/>
      <c r="F50" s="27"/>
      <c r="G50" s="27"/>
      <c r="H50" s="34"/>
      <c r="I50" s="91"/>
      <c r="J50" s="92"/>
      <c r="K50" s="22"/>
      <c r="L50" s="22"/>
      <c r="M50" s="22"/>
    </row>
    <row r="51" spans="1:13" ht="96" customHeight="1">
      <c r="A51" s="24"/>
      <c r="B51" s="33" t="s">
        <v>91</v>
      </c>
      <c r="C51" s="25" t="s">
        <v>92</v>
      </c>
      <c r="D51" s="28"/>
      <c r="E51" s="27"/>
      <c r="F51" s="27"/>
      <c r="G51" s="27"/>
      <c r="H51" s="34"/>
      <c r="I51" s="91"/>
      <c r="J51" s="92"/>
      <c r="K51" s="22"/>
      <c r="L51" s="22"/>
      <c r="M51" s="22"/>
    </row>
    <row r="52" spans="1:13" ht="96" customHeight="1">
      <c r="A52" s="24"/>
      <c r="B52" s="33" t="s">
        <v>93</v>
      </c>
      <c r="C52" s="25" t="s">
        <v>94</v>
      </c>
      <c r="D52" s="28"/>
      <c r="E52" s="27"/>
      <c r="F52" s="27"/>
      <c r="G52" s="27"/>
      <c r="H52" s="34"/>
      <c r="I52" s="91"/>
      <c r="J52" s="92"/>
      <c r="K52" s="22"/>
      <c r="L52" s="22"/>
      <c r="M52" s="22"/>
    </row>
    <row r="53" spans="1:13" ht="96" customHeight="1">
      <c r="A53" s="24"/>
      <c r="B53" s="33" t="s">
        <v>95</v>
      </c>
      <c r="C53" s="25" t="s">
        <v>96</v>
      </c>
      <c r="D53" s="28"/>
      <c r="E53" s="27"/>
      <c r="F53" s="27"/>
      <c r="G53" s="27"/>
      <c r="H53" s="34"/>
      <c r="I53" s="91"/>
      <c r="J53" s="92"/>
      <c r="K53" s="22"/>
      <c r="L53" s="22"/>
      <c r="M53" s="22"/>
    </row>
    <row r="54" spans="1:13" ht="96" customHeight="1">
      <c r="A54" s="24"/>
      <c r="B54" s="33" t="s">
        <v>97</v>
      </c>
      <c r="C54" s="25" t="s">
        <v>98</v>
      </c>
      <c r="D54" s="28"/>
      <c r="E54" s="27"/>
      <c r="F54" s="27"/>
      <c r="G54" s="27"/>
      <c r="H54" s="34"/>
      <c r="I54" s="91"/>
      <c r="J54" s="92"/>
      <c r="K54" s="22"/>
      <c r="L54" s="22"/>
      <c r="M54" s="22"/>
    </row>
    <row r="55" spans="1:13" ht="96" customHeight="1">
      <c r="A55" s="24"/>
      <c r="B55" s="33" t="s">
        <v>99</v>
      </c>
      <c r="C55" s="25" t="s">
        <v>100</v>
      </c>
      <c r="D55" s="28"/>
      <c r="E55" s="27"/>
      <c r="F55" s="27"/>
      <c r="G55" s="27"/>
      <c r="H55" s="34"/>
      <c r="I55" s="91"/>
      <c r="J55" s="92"/>
      <c r="K55" s="22"/>
      <c r="L55" s="22"/>
      <c r="M55" s="22"/>
    </row>
    <row r="56" spans="1:13" ht="96" customHeight="1">
      <c r="A56" s="24"/>
      <c r="B56" s="33" t="s">
        <v>101</v>
      </c>
      <c r="C56" s="25" t="s">
        <v>102</v>
      </c>
      <c r="D56" s="28"/>
      <c r="E56" s="27"/>
      <c r="F56" s="27"/>
      <c r="G56" s="27"/>
      <c r="H56" s="34"/>
      <c r="I56" s="91"/>
      <c r="J56" s="92"/>
      <c r="K56" s="22"/>
      <c r="L56" s="22"/>
      <c r="M56" s="22"/>
    </row>
    <row r="57" spans="1:13" ht="96" customHeight="1">
      <c r="A57" s="24"/>
      <c r="B57" s="33" t="s">
        <v>103</v>
      </c>
      <c r="C57" s="25" t="s">
        <v>104</v>
      </c>
      <c r="D57" s="28"/>
      <c r="E57" s="27"/>
      <c r="F57" s="27"/>
      <c r="G57" s="27"/>
      <c r="H57" s="34"/>
      <c r="I57" s="91"/>
      <c r="J57" s="92"/>
      <c r="K57" s="22"/>
      <c r="L57" s="22"/>
      <c r="M57" s="22"/>
    </row>
    <row r="58" spans="1:13" ht="63">
      <c r="A58" s="24"/>
      <c r="B58" s="17" t="s">
        <v>105</v>
      </c>
      <c r="C58" s="25" t="s">
        <v>106</v>
      </c>
      <c r="D58" s="28"/>
      <c r="E58" s="27"/>
      <c r="F58" s="27"/>
      <c r="G58" s="27"/>
      <c r="H58" s="35"/>
      <c r="I58" s="91"/>
      <c r="J58" s="92"/>
      <c r="K58" s="22"/>
      <c r="L58" s="22"/>
      <c r="M58" s="22"/>
    </row>
    <row r="59" spans="1:13" ht="96" customHeight="1">
      <c r="A59" s="24"/>
      <c r="B59" s="17" t="s">
        <v>107</v>
      </c>
      <c r="C59" s="25" t="s">
        <v>108</v>
      </c>
      <c r="D59" s="28"/>
      <c r="E59" s="27"/>
      <c r="F59" s="27"/>
      <c r="G59" s="27"/>
      <c r="H59" s="35"/>
      <c r="I59" s="91"/>
      <c r="J59" s="92"/>
      <c r="K59" s="22"/>
      <c r="L59" s="22"/>
      <c r="M59" s="22"/>
    </row>
    <row r="60" spans="1:13" ht="96" customHeight="1">
      <c r="A60" s="24"/>
      <c r="B60" s="17" t="s">
        <v>109</v>
      </c>
      <c r="C60" s="25" t="s">
        <v>110</v>
      </c>
      <c r="D60" s="28"/>
      <c r="E60" s="27"/>
      <c r="F60" s="27"/>
      <c r="G60" s="27"/>
      <c r="H60" s="35"/>
      <c r="I60" s="91"/>
      <c r="J60" s="92"/>
      <c r="K60" s="22"/>
      <c r="L60" s="22"/>
      <c r="M60" s="22"/>
    </row>
    <row r="61" spans="1:13" ht="63">
      <c r="A61" s="24"/>
      <c r="B61" s="17" t="s">
        <v>111</v>
      </c>
      <c r="C61" s="25" t="s">
        <v>112</v>
      </c>
      <c r="D61" s="28"/>
      <c r="E61" s="27"/>
      <c r="F61" s="27"/>
      <c r="G61" s="27"/>
      <c r="H61" s="19"/>
      <c r="I61" s="91"/>
      <c r="J61" s="92"/>
      <c r="K61" s="22"/>
      <c r="L61" s="22"/>
      <c r="M61" s="22"/>
    </row>
    <row r="62" spans="1:13" ht="96" customHeight="1">
      <c r="A62" s="24"/>
      <c r="B62" s="17" t="s">
        <v>113</v>
      </c>
      <c r="C62" s="25" t="s">
        <v>114</v>
      </c>
      <c r="D62" s="28"/>
      <c r="E62" s="27"/>
      <c r="F62" s="27"/>
      <c r="G62" s="27"/>
      <c r="H62" s="19"/>
      <c r="I62" s="93"/>
      <c r="J62" s="92"/>
      <c r="K62" s="22"/>
      <c r="L62" s="22"/>
      <c r="M62" s="22"/>
    </row>
    <row r="63" spans="1:13" ht="96" customHeight="1">
      <c r="A63" s="24"/>
      <c r="B63" s="33" t="s">
        <v>115</v>
      </c>
      <c r="C63" s="25" t="s">
        <v>116</v>
      </c>
      <c r="D63" s="28"/>
      <c r="E63" s="27"/>
      <c r="F63" s="27"/>
      <c r="G63" s="27"/>
      <c r="H63" s="19"/>
      <c r="I63" s="91"/>
      <c r="J63" s="92"/>
      <c r="K63" s="22"/>
      <c r="L63" s="22"/>
      <c r="M63" s="22"/>
    </row>
    <row r="64" spans="1:13" ht="96" customHeight="1">
      <c r="A64" s="24"/>
      <c r="B64" s="33" t="s">
        <v>117</v>
      </c>
      <c r="C64" s="25" t="s">
        <v>118</v>
      </c>
      <c r="D64" s="28"/>
      <c r="E64" s="27"/>
      <c r="F64" s="27"/>
      <c r="G64" s="27"/>
      <c r="H64" s="19"/>
      <c r="I64" s="91"/>
      <c r="J64" s="92"/>
      <c r="K64" s="22"/>
      <c r="L64" s="22"/>
      <c r="M64" s="22"/>
    </row>
    <row r="65" spans="1:13" ht="96" customHeight="1">
      <c r="A65" s="24"/>
      <c r="B65" s="33" t="s">
        <v>119</v>
      </c>
      <c r="C65" s="25" t="s">
        <v>120</v>
      </c>
      <c r="D65" s="28"/>
      <c r="E65" s="27"/>
      <c r="F65" s="27"/>
      <c r="G65" s="27"/>
      <c r="H65" s="19"/>
      <c r="I65" s="91"/>
      <c r="J65" s="92"/>
      <c r="K65" s="22"/>
      <c r="L65" s="22"/>
      <c r="M65" s="22"/>
    </row>
    <row r="66" spans="1:13" ht="96" customHeight="1">
      <c r="A66" s="24"/>
      <c r="B66" s="17" t="s">
        <v>121</v>
      </c>
      <c r="C66" s="25" t="s">
        <v>122</v>
      </c>
      <c r="D66" s="28"/>
      <c r="E66" s="27"/>
      <c r="F66" s="27"/>
      <c r="G66" s="27"/>
      <c r="H66" s="19"/>
      <c r="I66" s="91"/>
      <c r="J66" s="92"/>
      <c r="K66" s="22"/>
      <c r="L66" s="22"/>
      <c r="M66" s="22"/>
    </row>
    <row r="67" spans="1:13" ht="96" customHeight="1">
      <c r="A67" s="24"/>
      <c r="B67" s="33" t="s">
        <v>123</v>
      </c>
      <c r="C67" s="25" t="s">
        <v>124</v>
      </c>
      <c r="D67" s="28"/>
      <c r="E67" s="27"/>
      <c r="F67" s="27"/>
      <c r="G67" s="27"/>
      <c r="H67" s="19"/>
      <c r="I67" s="91"/>
      <c r="J67" s="92"/>
      <c r="K67" s="22"/>
      <c r="L67" s="22"/>
      <c r="M67" s="22"/>
    </row>
    <row r="68" spans="1:13" ht="96" customHeight="1">
      <c r="A68" s="24"/>
      <c r="B68" s="17" t="s">
        <v>125</v>
      </c>
      <c r="C68" s="25" t="s">
        <v>126</v>
      </c>
      <c r="D68" s="28"/>
      <c r="E68" s="27"/>
      <c r="F68" s="27"/>
      <c r="G68" s="27"/>
      <c r="H68" s="36"/>
      <c r="I68" s="91"/>
      <c r="J68" s="92"/>
      <c r="K68" s="22"/>
      <c r="L68" s="22"/>
      <c r="M68" s="22"/>
    </row>
    <row r="69" spans="1:13" ht="96" customHeight="1">
      <c r="A69" s="24"/>
      <c r="B69" s="17" t="s">
        <v>127</v>
      </c>
      <c r="C69" s="25" t="s">
        <v>128</v>
      </c>
      <c r="D69" s="28"/>
      <c r="E69" s="27"/>
      <c r="F69" s="27"/>
      <c r="G69" s="27"/>
      <c r="H69" s="36"/>
      <c r="I69" s="91"/>
      <c r="J69" s="92"/>
      <c r="K69" s="22"/>
      <c r="L69" s="22"/>
      <c r="M69" s="22"/>
    </row>
    <row r="70" spans="1:13" ht="96" customHeight="1">
      <c r="A70" s="24"/>
      <c r="B70" s="33" t="s">
        <v>129</v>
      </c>
      <c r="C70" s="25" t="s">
        <v>130</v>
      </c>
      <c r="D70" s="28"/>
      <c r="E70" s="27"/>
      <c r="F70" s="27"/>
      <c r="G70" s="27"/>
      <c r="H70" s="19"/>
      <c r="I70" s="91"/>
      <c r="J70" s="92"/>
      <c r="K70" s="22"/>
      <c r="L70" s="22"/>
      <c r="M70" s="22"/>
    </row>
    <row r="71" spans="1:13" ht="96" customHeight="1">
      <c r="A71" s="24"/>
      <c r="B71" s="17" t="s">
        <v>131</v>
      </c>
      <c r="C71" s="25" t="s">
        <v>132</v>
      </c>
      <c r="D71" s="28"/>
      <c r="E71" s="27"/>
      <c r="F71" s="27"/>
      <c r="G71" s="27"/>
      <c r="H71" s="19"/>
      <c r="I71" s="91"/>
      <c r="J71" s="92"/>
      <c r="K71" s="22"/>
      <c r="L71" s="22"/>
      <c r="M71" s="22"/>
    </row>
    <row r="72" spans="1:13" ht="63">
      <c r="A72" s="24"/>
      <c r="B72" s="17" t="s">
        <v>133</v>
      </c>
      <c r="C72" s="25" t="s">
        <v>134</v>
      </c>
      <c r="D72" s="28"/>
      <c r="E72" s="27"/>
      <c r="F72" s="27"/>
      <c r="G72" s="27"/>
      <c r="H72" s="19"/>
      <c r="I72" s="91"/>
      <c r="J72" s="92"/>
      <c r="K72" s="22"/>
      <c r="L72" s="22"/>
      <c r="M72" s="22"/>
    </row>
    <row r="73" spans="1:13" ht="96" customHeight="1">
      <c r="A73" s="24"/>
      <c r="B73" s="17" t="s">
        <v>135</v>
      </c>
      <c r="C73" s="25" t="s">
        <v>136</v>
      </c>
      <c r="D73" s="28"/>
      <c r="E73" s="27"/>
      <c r="F73" s="27"/>
      <c r="G73" s="27"/>
      <c r="H73" s="37"/>
      <c r="I73" s="91"/>
      <c r="J73" s="92"/>
      <c r="K73" s="22"/>
      <c r="L73" s="22"/>
      <c r="M73" s="22"/>
    </row>
    <row r="74" spans="1:13" ht="23.25" customHeight="1">
      <c r="A74" s="24"/>
      <c r="B74" s="94" t="s">
        <v>137</v>
      </c>
      <c r="C74" s="95"/>
      <c r="D74" s="95"/>
      <c r="E74" s="95"/>
      <c r="F74" s="95"/>
      <c r="G74" s="95"/>
      <c r="H74" s="95"/>
      <c r="I74" s="95"/>
      <c r="J74" s="92"/>
      <c r="K74" s="15">
        <f t="shared" ref="K74:L74" si="4">COUNTIF(D75:D89,"X")</f>
        <v>0</v>
      </c>
      <c r="L74" s="15">
        <f t="shared" si="4"/>
        <v>0</v>
      </c>
      <c r="M74" s="15">
        <f>COUNTIF(G75:G89,"X")</f>
        <v>0</v>
      </c>
    </row>
    <row r="75" spans="1:13" ht="96" customHeight="1">
      <c r="A75" s="24"/>
      <c r="B75" s="17" t="s">
        <v>138</v>
      </c>
      <c r="C75" s="25" t="s">
        <v>139</v>
      </c>
      <c r="D75" s="26"/>
      <c r="E75" s="27"/>
      <c r="F75" s="27"/>
      <c r="G75" s="27"/>
      <c r="H75" s="35"/>
      <c r="I75" s="91"/>
      <c r="J75" s="92"/>
      <c r="K75" s="20" t="e">
        <f>(K74)/(K74+L74+M74)</f>
        <v>#DIV/0!</v>
      </c>
      <c r="L75" s="20" t="e">
        <f>(L74)/(K74+L74+M74)</f>
        <v>#DIV/0!</v>
      </c>
      <c r="M75" s="20" t="e">
        <f>(M74)/(K74+L74+M74)</f>
        <v>#DIV/0!</v>
      </c>
    </row>
    <row r="76" spans="1:13" ht="96" customHeight="1">
      <c r="A76" s="24"/>
      <c r="B76" s="17" t="s">
        <v>140</v>
      </c>
      <c r="C76" s="25" t="s">
        <v>141</v>
      </c>
      <c r="D76" s="28"/>
      <c r="E76" s="27"/>
      <c r="F76" s="27"/>
      <c r="G76" s="27"/>
      <c r="H76" s="30"/>
      <c r="I76" s="91"/>
      <c r="J76" s="92"/>
      <c r="K76" s="22"/>
      <c r="L76" s="22"/>
      <c r="M76" s="22"/>
    </row>
    <row r="77" spans="1:13" ht="75.599999999999994">
      <c r="A77" s="24"/>
      <c r="B77" s="17" t="s">
        <v>142</v>
      </c>
      <c r="C77" s="25" t="s">
        <v>143</v>
      </c>
      <c r="D77" s="28"/>
      <c r="E77" s="27"/>
      <c r="F77" s="27"/>
      <c r="G77" s="27"/>
      <c r="H77" s="35"/>
      <c r="I77" s="91"/>
      <c r="J77" s="92"/>
      <c r="K77" s="22"/>
      <c r="L77" s="22"/>
      <c r="M77" s="22"/>
    </row>
    <row r="78" spans="1:13" ht="96" customHeight="1">
      <c r="A78" s="24"/>
      <c r="B78" s="17" t="s">
        <v>144</v>
      </c>
      <c r="C78" s="25" t="s">
        <v>145</v>
      </c>
      <c r="D78" s="28"/>
      <c r="E78" s="27"/>
      <c r="F78" s="27"/>
      <c r="G78" s="27"/>
      <c r="H78" s="35"/>
      <c r="I78" s="109"/>
      <c r="J78" s="92"/>
      <c r="K78" s="22"/>
      <c r="L78" s="22"/>
      <c r="M78" s="22"/>
    </row>
    <row r="79" spans="1:13" ht="123" customHeight="1">
      <c r="A79" s="24"/>
      <c r="B79" s="17" t="s">
        <v>146</v>
      </c>
      <c r="C79" s="25" t="s">
        <v>147</v>
      </c>
      <c r="D79" s="28"/>
      <c r="E79" s="27"/>
      <c r="F79" s="27"/>
      <c r="G79" s="27"/>
      <c r="H79" s="35"/>
      <c r="I79" s="91"/>
      <c r="J79" s="92"/>
      <c r="K79" s="22"/>
      <c r="L79" s="22"/>
      <c r="M79" s="22"/>
    </row>
    <row r="80" spans="1:13" ht="96" customHeight="1">
      <c r="A80" s="24"/>
      <c r="B80" s="17" t="s">
        <v>148</v>
      </c>
      <c r="C80" s="25" t="s">
        <v>149</v>
      </c>
      <c r="D80" s="28"/>
      <c r="E80" s="27"/>
      <c r="F80" s="27"/>
      <c r="G80" s="27"/>
      <c r="H80" s="35"/>
      <c r="I80" s="91"/>
      <c r="J80" s="92"/>
      <c r="K80" s="22"/>
      <c r="L80" s="22"/>
      <c r="M80" s="22"/>
    </row>
    <row r="81" spans="1:13" ht="96" customHeight="1">
      <c r="A81" s="24"/>
      <c r="B81" s="17" t="s">
        <v>150</v>
      </c>
      <c r="C81" s="25" t="s">
        <v>151</v>
      </c>
      <c r="D81" s="28"/>
      <c r="E81" s="27"/>
      <c r="F81" s="27"/>
      <c r="G81" s="27"/>
      <c r="H81" s="35"/>
      <c r="I81" s="91"/>
      <c r="J81" s="92"/>
      <c r="K81" s="22"/>
      <c r="L81" s="22"/>
      <c r="M81" s="22"/>
    </row>
    <row r="82" spans="1:13" ht="96" customHeight="1">
      <c r="A82" s="24"/>
      <c r="B82" s="17" t="s">
        <v>152</v>
      </c>
      <c r="C82" s="25" t="s">
        <v>153</v>
      </c>
      <c r="D82" s="28"/>
      <c r="E82" s="27"/>
      <c r="F82" s="27"/>
      <c r="G82" s="27"/>
      <c r="H82" s="35"/>
      <c r="I82" s="91"/>
      <c r="J82" s="92"/>
      <c r="K82" s="22"/>
      <c r="L82" s="22"/>
      <c r="M82" s="22"/>
    </row>
    <row r="83" spans="1:13" ht="96" customHeight="1">
      <c r="A83" s="24"/>
      <c r="B83" s="17" t="s">
        <v>154</v>
      </c>
      <c r="C83" s="25" t="s">
        <v>155</v>
      </c>
      <c r="D83" s="28"/>
      <c r="E83" s="27"/>
      <c r="F83" s="27"/>
      <c r="G83" s="27"/>
      <c r="H83" s="35"/>
      <c r="I83" s="91"/>
      <c r="J83" s="92"/>
      <c r="K83" s="22"/>
      <c r="L83" s="22"/>
      <c r="M83" s="22"/>
    </row>
    <row r="84" spans="1:13" ht="63">
      <c r="A84" s="24"/>
      <c r="B84" s="17" t="s">
        <v>156</v>
      </c>
      <c r="C84" s="25" t="s">
        <v>157</v>
      </c>
      <c r="D84" s="28"/>
      <c r="E84" s="27"/>
      <c r="F84" s="27"/>
      <c r="G84" s="27"/>
      <c r="H84" s="35"/>
      <c r="I84" s="91"/>
      <c r="J84" s="92"/>
      <c r="K84" s="22"/>
      <c r="L84" s="22"/>
      <c r="M84" s="22"/>
    </row>
    <row r="85" spans="1:13" ht="96" customHeight="1">
      <c r="A85" s="24"/>
      <c r="B85" s="17" t="s">
        <v>158</v>
      </c>
      <c r="C85" s="25" t="s">
        <v>159</v>
      </c>
      <c r="D85" s="28"/>
      <c r="E85" s="27"/>
      <c r="F85" s="27"/>
      <c r="G85" s="27"/>
      <c r="H85" s="35"/>
      <c r="I85" s="91"/>
      <c r="J85" s="92"/>
      <c r="K85" s="22"/>
      <c r="L85" s="22"/>
      <c r="M85" s="22"/>
    </row>
    <row r="86" spans="1:13" ht="96" customHeight="1">
      <c r="A86" s="24"/>
      <c r="B86" s="17" t="s">
        <v>160</v>
      </c>
      <c r="C86" s="25" t="s">
        <v>161</v>
      </c>
      <c r="D86" s="28"/>
      <c r="E86" s="27"/>
      <c r="F86" s="27"/>
      <c r="G86" s="27"/>
      <c r="H86" s="35"/>
      <c r="I86" s="91"/>
      <c r="J86" s="92"/>
      <c r="K86" s="22"/>
      <c r="L86" s="22"/>
      <c r="M86" s="22"/>
    </row>
    <row r="87" spans="1:13" ht="96" customHeight="1">
      <c r="A87" s="24"/>
      <c r="B87" s="17" t="s">
        <v>162</v>
      </c>
      <c r="C87" s="25" t="s">
        <v>163</v>
      </c>
      <c r="D87" s="28"/>
      <c r="E87" s="27"/>
      <c r="F87" s="27"/>
      <c r="G87" s="27"/>
      <c r="H87" s="35"/>
      <c r="I87" s="91"/>
      <c r="J87" s="92"/>
      <c r="K87" s="22"/>
      <c r="L87" s="22"/>
      <c r="M87" s="22"/>
    </row>
    <row r="88" spans="1:13" ht="96" customHeight="1">
      <c r="A88" s="24"/>
      <c r="B88" s="17" t="s">
        <v>164</v>
      </c>
      <c r="C88" s="25" t="s">
        <v>165</v>
      </c>
      <c r="D88" s="28"/>
      <c r="E88" s="27"/>
      <c r="F88" s="27"/>
      <c r="G88" s="27"/>
      <c r="H88" s="35"/>
      <c r="I88" s="91"/>
      <c r="J88" s="92"/>
      <c r="K88" s="22"/>
      <c r="L88" s="22"/>
      <c r="M88" s="22"/>
    </row>
    <row r="89" spans="1:13" ht="96" customHeight="1">
      <c r="A89" s="24"/>
      <c r="B89" s="17" t="s">
        <v>166</v>
      </c>
      <c r="C89" s="25" t="s">
        <v>167</v>
      </c>
      <c r="D89" s="28"/>
      <c r="E89" s="27"/>
      <c r="F89" s="27"/>
      <c r="G89" s="27"/>
      <c r="H89" s="35"/>
      <c r="I89" s="91"/>
      <c r="J89" s="92"/>
      <c r="K89" s="22"/>
      <c r="L89" s="22"/>
      <c r="M89" s="22"/>
    </row>
    <row r="90" spans="1:13" ht="15.75" customHeight="1">
      <c r="A90" s="5"/>
      <c r="B90" s="7"/>
      <c r="C90" s="38" t="s">
        <v>14</v>
      </c>
      <c r="D90" s="39">
        <f>COUNTIF(D14:D89,"X")</f>
        <v>0</v>
      </c>
      <c r="E90" s="40" t="e">
        <f t="shared" ref="E90:E92" si="5">D90/($D$93)</f>
        <v>#DIV/0!</v>
      </c>
      <c r="F90" s="107" t="s">
        <v>168</v>
      </c>
      <c r="G90" s="101"/>
      <c r="H90" s="101"/>
      <c r="I90" s="41"/>
      <c r="J90" s="41"/>
      <c r="K90" s="5"/>
      <c r="L90" s="5"/>
      <c r="M90" s="5"/>
    </row>
    <row r="91" spans="1:13" ht="15.75" customHeight="1">
      <c r="A91" s="5"/>
      <c r="B91" s="7"/>
      <c r="C91" s="38" t="s">
        <v>15</v>
      </c>
      <c r="D91" s="39">
        <f>COUNTIF(E14:E89,"X")</f>
        <v>0</v>
      </c>
      <c r="E91" s="40" t="e">
        <f t="shared" si="5"/>
        <v>#DIV/0!</v>
      </c>
      <c r="F91" s="108" t="s">
        <v>169</v>
      </c>
      <c r="G91" s="104"/>
      <c r="H91" s="104"/>
      <c r="I91" s="41"/>
      <c r="J91" s="41"/>
      <c r="K91" s="5"/>
      <c r="L91" s="5"/>
      <c r="M91" s="5"/>
    </row>
    <row r="92" spans="1:13" ht="15.75" customHeight="1">
      <c r="A92" s="5"/>
      <c r="B92" s="7"/>
      <c r="C92" s="38" t="s">
        <v>17</v>
      </c>
      <c r="D92" s="39">
        <f>COUNTIF(G14:G89,"X")</f>
        <v>0</v>
      </c>
      <c r="E92" s="40" t="e">
        <f t="shared" si="5"/>
        <v>#DIV/0!</v>
      </c>
      <c r="F92" s="108" t="s">
        <v>170</v>
      </c>
      <c r="G92" s="104"/>
      <c r="H92" s="104"/>
      <c r="I92" s="41"/>
      <c r="J92" s="41"/>
      <c r="K92" s="5"/>
      <c r="L92" s="5"/>
      <c r="M92" s="5"/>
    </row>
    <row r="93" spans="1:13" ht="15.75" customHeight="1">
      <c r="A93" s="5"/>
      <c r="B93" s="7"/>
      <c r="C93" s="38" t="s">
        <v>171</v>
      </c>
      <c r="D93" s="39">
        <f t="shared" ref="D93:E93" si="6">SUM(D90:D92)</f>
        <v>0</v>
      </c>
      <c r="E93" s="40" t="e">
        <f t="shared" si="6"/>
        <v>#DIV/0!</v>
      </c>
      <c r="F93" s="108" t="s">
        <v>172</v>
      </c>
      <c r="G93" s="104"/>
      <c r="H93" s="104"/>
      <c r="I93" s="41"/>
      <c r="J93" s="41"/>
      <c r="K93" s="5"/>
      <c r="L93" s="5"/>
      <c r="M93" s="5"/>
    </row>
    <row r="94" spans="1:13" ht="15.75" customHeight="1">
      <c r="A94" s="1"/>
      <c r="B94" s="42"/>
      <c r="C94" s="42"/>
      <c r="D94" s="2"/>
      <c r="E94" s="3"/>
      <c r="F94" s="2"/>
      <c r="G94" s="2"/>
      <c r="H94" s="42"/>
      <c r="I94" s="4"/>
      <c r="J94" s="4"/>
      <c r="K94" s="5"/>
      <c r="L94" s="5"/>
      <c r="M94" s="5"/>
    </row>
  </sheetData>
  <mergeCells count="92"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B74:J74"/>
    <mergeCell ref="I75:J75"/>
    <mergeCell ref="I76:J76"/>
    <mergeCell ref="I77:J77"/>
    <mergeCell ref="I78:J78"/>
    <mergeCell ref="I79:J79"/>
    <mergeCell ref="I80:J80"/>
    <mergeCell ref="I81:J81"/>
    <mergeCell ref="I89:J89"/>
    <mergeCell ref="F90:H90"/>
    <mergeCell ref="F91:H91"/>
    <mergeCell ref="F92:H92"/>
    <mergeCell ref="F93:H93"/>
    <mergeCell ref="I82:J82"/>
    <mergeCell ref="I83:J83"/>
    <mergeCell ref="I84:J84"/>
    <mergeCell ref="I85:J85"/>
    <mergeCell ref="I86:J86"/>
    <mergeCell ref="I87:J87"/>
    <mergeCell ref="I88:J88"/>
    <mergeCell ref="C2:J2"/>
    <mergeCell ref="B4:J4"/>
    <mergeCell ref="C5:H5"/>
    <mergeCell ref="I5:J5"/>
    <mergeCell ref="C6:H6"/>
    <mergeCell ref="C7:H7"/>
    <mergeCell ref="C8:J8"/>
    <mergeCell ref="C9:J9"/>
    <mergeCell ref="B10:J10"/>
    <mergeCell ref="B11:J11"/>
    <mergeCell ref="I12:J12"/>
    <mergeCell ref="B13:J13"/>
    <mergeCell ref="I14:J14"/>
    <mergeCell ref="I15:J15"/>
    <mergeCell ref="I23:J23"/>
    <mergeCell ref="I24:J24"/>
    <mergeCell ref="B25:J25"/>
    <mergeCell ref="I16:J16"/>
    <mergeCell ref="I17:J17"/>
    <mergeCell ref="I18:J18"/>
    <mergeCell ref="I19:J19"/>
    <mergeCell ref="I20:J20"/>
    <mergeCell ref="I21:J21"/>
    <mergeCell ref="I22:J22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B37:J37"/>
    <mergeCell ref="I38:J38"/>
    <mergeCell ref="I39:J39"/>
    <mergeCell ref="I40:J40"/>
    <mergeCell ref="I46:J46"/>
    <mergeCell ref="I41:J41"/>
    <mergeCell ref="I42:J42"/>
    <mergeCell ref="B43:J43"/>
    <mergeCell ref="I44:J44"/>
    <mergeCell ref="I45:J45"/>
  </mergeCells>
  <pageMargins left="0.20002540005080013" right="0.16668783337566678" top="0.78740157499999996" bottom="0.78740157499999996" header="0" footer="0"/>
  <pageSetup paperSize="9" scale="68" fitToHeight="0" orientation="landscape" r:id="rId1"/>
  <rowBreaks count="10" manualBreakCount="10">
    <brk id="20" max="12" man="1"/>
    <brk id="29" max="12" man="1"/>
    <brk id="39" max="12" man="1"/>
    <brk id="46" max="12" man="1"/>
    <brk id="53" max="12" man="1"/>
    <brk id="58" max="16383" man="1"/>
    <brk id="64" max="16383" man="1"/>
    <brk id="69" max="12" man="1"/>
    <brk id="77" max="12" man="1"/>
    <brk id="84" max="16383" man="1"/>
  </rowBreaks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G1001"/>
  <sheetViews>
    <sheetView showGridLines="0" view="pageBreakPreview" zoomScale="60" zoomScaleNormal="100" workbookViewId="0">
      <selection activeCell="C22" sqref="C22"/>
    </sheetView>
  </sheetViews>
  <sheetFormatPr defaultColWidth="12.5546875" defaultRowHeight="15" customHeight="1"/>
  <cols>
    <col min="1" max="1" width="5.44140625" customWidth="1"/>
    <col min="3" max="3" width="67.33203125" customWidth="1"/>
    <col min="4" max="4" width="63.6640625" customWidth="1"/>
    <col min="5" max="5" width="76.44140625" customWidth="1"/>
    <col min="6" max="6" width="2.88671875" customWidth="1"/>
    <col min="7" max="7" width="76.6640625" customWidth="1"/>
  </cols>
  <sheetData>
    <row r="1" spans="2:7" ht="13.2">
      <c r="C1" s="43"/>
    </row>
    <row r="2" spans="2:7" ht="13.2">
      <c r="C2" s="43"/>
    </row>
    <row r="3" spans="2:7" ht="27.75" customHeight="1">
      <c r="B3" s="94" t="s">
        <v>173</v>
      </c>
      <c r="C3" s="95"/>
      <c r="D3" s="95"/>
      <c r="E3" s="92"/>
    </row>
    <row r="4" spans="2:7" ht="13.2">
      <c r="B4" s="17"/>
      <c r="C4" s="43"/>
      <c r="D4" s="44"/>
      <c r="E4" s="44"/>
    </row>
    <row r="5" spans="2:7" ht="13.2">
      <c r="B5" s="31"/>
      <c r="C5" s="43"/>
    </row>
    <row r="6" spans="2:7" ht="13.2">
      <c r="B6" s="17"/>
      <c r="C6" s="43"/>
    </row>
    <row r="7" spans="2:7" ht="13.2">
      <c r="B7" s="29"/>
      <c r="C7" s="43"/>
    </row>
    <row r="8" spans="2:7" ht="13.2">
      <c r="B8" s="29"/>
      <c r="C8" s="43"/>
      <c r="D8" s="45"/>
      <c r="E8" s="45"/>
      <c r="F8" s="44"/>
      <c r="G8" s="44"/>
    </row>
    <row r="9" spans="2:7" ht="13.2">
      <c r="B9" s="29"/>
      <c r="C9" s="43"/>
    </row>
    <row r="10" spans="2:7" ht="13.2">
      <c r="B10" s="17"/>
      <c r="C10" s="43"/>
    </row>
    <row r="11" spans="2:7" ht="13.2">
      <c r="B11" s="29"/>
      <c r="C11" s="43"/>
    </row>
    <row r="12" spans="2:7" ht="13.2">
      <c r="B12" s="29"/>
      <c r="C12" s="43"/>
    </row>
    <row r="13" spans="2:7" ht="13.2">
      <c r="B13" s="29"/>
      <c r="C13" s="43"/>
    </row>
    <row r="14" spans="2:7" ht="13.2">
      <c r="B14" s="29"/>
      <c r="C14" s="43"/>
      <c r="D14" s="44"/>
      <c r="E14" s="44"/>
    </row>
    <row r="15" spans="2:7" ht="13.2">
      <c r="B15" s="29"/>
      <c r="C15" s="43"/>
      <c r="D15" s="45"/>
    </row>
    <row r="16" spans="2:7" ht="13.2">
      <c r="B16" s="29"/>
      <c r="C16" s="43"/>
    </row>
    <row r="17" spans="2:4" ht="13.2">
      <c r="B17" s="29"/>
      <c r="C17" s="43"/>
      <c r="D17" s="45"/>
    </row>
    <row r="18" spans="2:4" ht="13.2">
      <c r="C18" s="43"/>
    </row>
    <row r="19" spans="2:4" ht="13.2">
      <c r="C19" s="43"/>
    </row>
    <row r="20" spans="2:4" ht="13.2">
      <c r="C20" s="43"/>
    </row>
    <row r="21" spans="2:4" ht="13.2">
      <c r="C21" s="43"/>
    </row>
    <row r="22" spans="2:4" ht="13.2">
      <c r="C22" s="43"/>
    </row>
    <row r="23" spans="2:4" ht="13.2">
      <c r="C23" s="43"/>
    </row>
    <row r="24" spans="2:4" ht="13.2">
      <c r="C24" s="43"/>
    </row>
    <row r="25" spans="2:4" ht="13.2">
      <c r="C25" s="43"/>
    </row>
    <row r="26" spans="2:4" ht="13.2">
      <c r="C26" s="43"/>
    </row>
    <row r="27" spans="2:4" ht="13.2">
      <c r="C27" s="43"/>
    </row>
    <row r="28" spans="2:4" ht="13.2">
      <c r="C28" s="43"/>
    </row>
    <row r="29" spans="2:4" ht="13.2">
      <c r="C29" s="43"/>
    </row>
    <row r="30" spans="2:4" ht="13.2">
      <c r="C30" s="43"/>
    </row>
    <row r="31" spans="2:4" ht="13.2">
      <c r="C31" s="43"/>
    </row>
    <row r="32" spans="2:4" ht="13.2">
      <c r="C32" s="43"/>
    </row>
    <row r="33" spans="3:3" ht="13.2">
      <c r="C33" s="43"/>
    </row>
    <row r="34" spans="3:3" ht="13.2">
      <c r="C34" s="43"/>
    </row>
    <row r="35" spans="3:3" ht="13.2">
      <c r="C35" s="43"/>
    </row>
    <row r="36" spans="3:3" ht="13.2">
      <c r="C36" s="43"/>
    </row>
    <row r="37" spans="3:3" ht="13.2">
      <c r="C37" s="43"/>
    </row>
    <row r="38" spans="3:3" ht="13.2">
      <c r="C38" s="43"/>
    </row>
    <row r="39" spans="3:3" ht="13.2">
      <c r="C39" s="43"/>
    </row>
    <row r="40" spans="3:3" ht="13.2">
      <c r="C40" s="43"/>
    </row>
    <row r="41" spans="3:3" ht="13.2">
      <c r="C41" s="43"/>
    </row>
    <row r="42" spans="3:3" ht="13.2">
      <c r="C42" s="43"/>
    </row>
    <row r="43" spans="3:3" ht="13.2">
      <c r="C43" s="43"/>
    </row>
    <row r="44" spans="3:3" ht="13.2">
      <c r="C44" s="43"/>
    </row>
    <row r="45" spans="3:3" ht="13.2">
      <c r="C45" s="43"/>
    </row>
    <row r="46" spans="3:3" ht="13.2">
      <c r="C46" s="43"/>
    </row>
    <row r="47" spans="3:3" ht="13.2">
      <c r="C47" s="43"/>
    </row>
    <row r="48" spans="3:3" ht="13.2">
      <c r="C48" s="43"/>
    </row>
    <row r="49" spans="3:3" ht="13.2">
      <c r="C49" s="43"/>
    </row>
    <row r="50" spans="3:3" ht="13.2">
      <c r="C50" s="43"/>
    </row>
    <row r="51" spans="3:3" ht="13.2">
      <c r="C51" s="43"/>
    </row>
    <row r="52" spans="3:3" ht="13.2">
      <c r="C52" s="43"/>
    </row>
    <row r="53" spans="3:3" ht="13.2">
      <c r="C53" s="43"/>
    </row>
    <row r="54" spans="3:3" ht="13.2">
      <c r="C54" s="43"/>
    </row>
    <row r="55" spans="3:3" ht="13.2">
      <c r="C55" s="43"/>
    </row>
    <row r="56" spans="3:3" ht="13.2">
      <c r="C56" s="43"/>
    </row>
    <row r="57" spans="3:3" ht="13.2">
      <c r="C57" s="43"/>
    </row>
    <row r="58" spans="3:3" ht="13.2">
      <c r="C58" s="43"/>
    </row>
    <row r="59" spans="3:3" ht="13.2">
      <c r="C59" s="43"/>
    </row>
    <row r="60" spans="3:3" ht="13.2">
      <c r="C60" s="43"/>
    </row>
    <row r="61" spans="3:3" ht="13.2">
      <c r="C61" s="43"/>
    </row>
    <row r="62" spans="3:3" ht="13.2">
      <c r="C62" s="43"/>
    </row>
    <row r="63" spans="3:3" ht="13.2">
      <c r="C63" s="43"/>
    </row>
    <row r="64" spans="3:3" ht="13.2">
      <c r="C64" s="43"/>
    </row>
    <row r="65" spans="3:3" ht="13.2">
      <c r="C65" s="43"/>
    </row>
    <row r="66" spans="3:3" ht="13.2">
      <c r="C66" s="43"/>
    </row>
    <row r="67" spans="3:3" ht="13.2">
      <c r="C67" s="43"/>
    </row>
    <row r="68" spans="3:3" ht="13.2">
      <c r="C68" s="43"/>
    </row>
    <row r="69" spans="3:3" ht="13.2">
      <c r="C69" s="43"/>
    </row>
    <row r="70" spans="3:3" ht="13.2">
      <c r="C70" s="43"/>
    </row>
    <row r="71" spans="3:3" ht="13.2">
      <c r="C71" s="43"/>
    </row>
    <row r="72" spans="3:3" ht="13.2">
      <c r="C72" s="43"/>
    </row>
    <row r="73" spans="3:3" ht="13.2">
      <c r="C73" s="43"/>
    </row>
    <row r="74" spans="3:3" ht="13.2">
      <c r="C74" s="43"/>
    </row>
    <row r="75" spans="3:3" ht="13.2">
      <c r="C75" s="43"/>
    </row>
    <row r="76" spans="3:3" ht="13.2">
      <c r="C76" s="43"/>
    </row>
    <row r="77" spans="3:3" ht="13.2">
      <c r="C77" s="43"/>
    </row>
    <row r="78" spans="3:3" ht="13.2">
      <c r="C78" s="43"/>
    </row>
    <row r="79" spans="3:3" ht="13.2">
      <c r="C79" s="43"/>
    </row>
    <row r="80" spans="3:3" ht="13.2">
      <c r="C80" s="43"/>
    </row>
    <row r="81" spans="3:3" ht="13.2">
      <c r="C81" s="43"/>
    </row>
    <row r="82" spans="3:3" ht="13.2">
      <c r="C82" s="43"/>
    </row>
    <row r="83" spans="3:3" ht="13.2">
      <c r="C83" s="43"/>
    </row>
    <row r="84" spans="3:3" ht="13.2">
      <c r="C84" s="43"/>
    </row>
    <row r="85" spans="3:3" ht="13.2">
      <c r="C85" s="43"/>
    </row>
    <row r="86" spans="3:3" ht="13.2">
      <c r="C86" s="43"/>
    </row>
    <row r="87" spans="3:3" ht="13.2">
      <c r="C87" s="43"/>
    </row>
    <row r="88" spans="3:3" ht="13.2">
      <c r="C88" s="43"/>
    </row>
    <row r="89" spans="3:3" ht="13.2">
      <c r="C89" s="43"/>
    </row>
    <row r="90" spans="3:3" ht="13.2">
      <c r="C90" s="43"/>
    </row>
    <row r="91" spans="3:3" ht="13.2">
      <c r="C91" s="43"/>
    </row>
    <row r="92" spans="3:3" ht="13.2">
      <c r="C92" s="43"/>
    </row>
    <row r="93" spans="3:3" ht="13.2">
      <c r="C93" s="43"/>
    </row>
    <row r="94" spans="3:3" ht="13.2">
      <c r="C94" s="43"/>
    </row>
    <row r="95" spans="3:3" ht="13.2">
      <c r="C95" s="43"/>
    </row>
    <row r="96" spans="3:3" ht="13.2">
      <c r="C96" s="43"/>
    </row>
    <row r="97" spans="3:3" ht="13.2">
      <c r="C97" s="43"/>
    </row>
    <row r="98" spans="3:3" ht="13.2">
      <c r="C98" s="43"/>
    </row>
    <row r="99" spans="3:3" ht="13.2">
      <c r="C99" s="43"/>
    </row>
    <row r="100" spans="3:3" ht="13.2">
      <c r="C100" s="43"/>
    </row>
    <row r="101" spans="3:3" ht="13.2">
      <c r="C101" s="43"/>
    </row>
    <row r="102" spans="3:3" ht="13.2">
      <c r="C102" s="43"/>
    </row>
    <row r="103" spans="3:3" ht="13.2">
      <c r="C103" s="43"/>
    </row>
    <row r="104" spans="3:3" ht="13.2">
      <c r="C104" s="43"/>
    </row>
    <row r="105" spans="3:3" ht="13.2">
      <c r="C105" s="43"/>
    </row>
    <row r="106" spans="3:3" ht="13.2">
      <c r="C106" s="43"/>
    </row>
    <row r="107" spans="3:3" ht="13.2">
      <c r="C107" s="43"/>
    </row>
    <row r="108" spans="3:3" ht="13.2">
      <c r="C108" s="43"/>
    </row>
    <row r="109" spans="3:3" ht="13.2">
      <c r="C109" s="43"/>
    </row>
    <row r="110" spans="3:3" ht="13.2">
      <c r="C110" s="43"/>
    </row>
    <row r="111" spans="3:3" ht="13.2">
      <c r="C111" s="43"/>
    </row>
    <row r="112" spans="3:3" ht="13.2">
      <c r="C112" s="43"/>
    </row>
    <row r="113" spans="3:3" ht="13.2">
      <c r="C113" s="43"/>
    </row>
    <row r="114" spans="3:3" ht="13.2">
      <c r="C114" s="43"/>
    </row>
    <row r="115" spans="3:3" ht="13.2">
      <c r="C115" s="43"/>
    </row>
    <row r="116" spans="3:3" ht="13.2">
      <c r="C116" s="43"/>
    </row>
    <row r="117" spans="3:3" ht="13.2">
      <c r="C117" s="43"/>
    </row>
    <row r="118" spans="3:3" ht="13.2">
      <c r="C118" s="43"/>
    </row>
    <row r="119" spans="3:3" ht="13.2">
      <c r="C119" s="43"/>
    </row>
    <row r="120" spans="3:3" ht="13.2">
      <c r="C120" s="43"/>
    </row>
    <row r="121" spans="3:3" ht="13.2">
      <c r="C121" s="43"/>
    </row>
    <row r="122" spans="3:3" ht="13.2">
      <c r="C122" s="43"/>
    </row>
    <row r="123" spans="3:3" ht="13.2">
      <c r="C123" s="43"/>
    </row>
    <row r="124" spans="3:3" ht="13.2">
      <c r="C124" s="43"/>
    </row>
    <row r="125" spans="3:3" ht="13.2">
      <c r="C125" s="43"/>
    </row>
    <row r="126" spans="3:3" ht="13.2">
      <c r="C126" s="43"/>
    </row>
    <row r="127" spans="3:3" ht="13.2">
      <c r="C127" s="43"/>
    </row>
    <row r="128" spans="3:3" ht="13.2">
      <c r="C128" s="43"/>
    </row>
    <row r="129" spans="3:3" ht="13.2">
      <c r="C129" s="43"/>
    </row>
    <row r="130" spans="3:3" ht="13.2">
      <c r="C130" s="43"/>
    </row>
    <row r="131" spans="3:3" ht="13.2">
      <c r="C131" s="43"/>
    </row>
    <row r="132" spans="3:3" ht="13.2">
      <c r="C132" s="43"/>
    </row>
    <row r="133" spans="3:3" ht="13.2">
      <c r="C133" s="43"/>
    </row>
    <row r="134" spans="3:3" ht="13.2">
      <c r="C134" s="43"/>
    </row>
    <row r="135" spans="3:3" ht="13.2">
      <c r="C135" s="43"/>
    </row>
    <row r="136" spans="3:3" ht="13.2">
      <c r="C136" s="43"/>
    </row>
    <row r="137" spans="3:3" ht="13.2">
      <c r="C137" s="43"/>
    </row>
    <row r="138" spans="3:3" ht="13.2">
      <c r="C138" s="43"/>
    </row>
    <row r="139" spans="3:3" ht="13.2">
      <c r="C139" s="43"/>
    </row>
    <row r="140" spans="3:3" ht="13.2">
      <c r="C140" s="43"/>
    </row>
    <row r="141" spans="3:3" ht="13.2">
      <c r="C141" s="43"/>
    </row>
    <row r="142" spans="3:3" ht="13.2">
      <c r="C142" s="43"/>
    </row>
    <row r="143" spans="3:3" ht="13.2">
      <c r="C143" s="43"/>
    </row>
    <row r="144" spans="3:3" ht="13.2">
      <c r="C144" s="43"/>
    </row>
    <row r="145" spans="3:3" ht="13.2">
      <c r="C145" s="43"/>
    </row>
    <row r="146" spans="3:3" ht="13.2">
      <c r="C146" s="43"/>
    </row>
    <row r="147" spans="3:3" ht="13.2">
      <c r="C147" s="43"/>
    </row>
    <row r="148" spans="3:3" ht="13.2">
      <c r="C148" s="43"/>
    </row>
    <row r="149" spans="3:3" ht="13.2">
      <c r="C149" s="43"/>
    </row>
    <row r="150" spans="3:3" ht="13.2">
      <c r="C150" s="43"/>
    </row>
    <row r="151" spans="3:3" ht="13.2">
      <c r="C151" s="43"/>
    </row>
    <row r="152" spans="3:3" ht="13.2">
      <c r="C152" s="43"/>
    </row>
    <row r="153" spans="3:3" ht="13.2">
      <c r="C153" s="43"/>
    </row>
    <row r="154" spans="3:3" ht="13.2">
      <c r="C154" s="43"/>
    </row>
    <row r="155" spans="3:3" ht="13.2">
      <c r="C155" s="43"/>
    </row>
    <row r="156" spans="3:3" ht="13.2">
      <c r="C156" s="43"/>
    </row>
    <row r="157" spans="3:3" ht="13.2">
      <c r="C157" s="43"/>
    </row>
    <row r="158" spans="3:3" ht="13.2">
      <c r="C158" s="43"/>
    </row>
    <row r="159" spans="3:3" ht="13.2">
      <c r="C159" s="43"/>
    </row>
    <row r="160" spans="3:3" ht="13.2">
      <c r="C160" s="43"/>
    </row>
    <row r="161" spans="3:3" ht="13.2">
      <c r="C161" s="43"/>
    </row>
    <row r="162" spans="3:3" ht="13.2">
      <c r="C162" s="43"/>
    </row>
    <row r="163" spans="3:3" ht="13.2">
      <c r="C163" s="43"/>
    </row>
    <row r="164" spans="3:3" ht="13.2">
      <c r="C164" s="43"/>
    </row>
    <row r="165" spans="3:3" ht="13.2">
      <c r="C165" s="43"/>
    </row>
    <row r="166" spans="3:3" ht="13.2">
      <c r="C166" s="43"/>
    </row>
    <row r="167" spans="3:3" ht="13.2">
      <c r="C167" s="43"/>
    </row>
    <row r="168" spans="3:3" ht="13.2">
      <c r="C168" s="43"/>
    </row>
    <row r="169" spans="3:3" ht="13.2">
      <c r="C169" s="43"/>
    </row>
    <row r="170" spans="3:3" ht="13.2">
      <c r="C170" s="43"/>
    </row>
    <row r="171" spans="3:3" ht="13.2">
      <c r="C171" s="43"/>
    </row>
    <row r="172" spans="3:3" ht="13.2">
      <c r="C172" s="43"/>
    </row>
    <row r="173" spans="3:3" ht="13.2">
      <c r="C173" s="43"/>
    </row>
    <row r="174" spans="3:3" ht="13.2">
      <c r="C174" s="43"/>
    </row>
    <row r="175" spans="3:3" ht="13.2">
      <c r="C175" s="43"/>
    </row>
    <row r="176" spans="3:3" ht="13.2">
      <c r="C176" s="43"/>
    </row>
    <row r="177" spans="3:3" ht="13.2">
      <c r="C177" s="43"/>
    </row>
    <row r="178" spans="3:3" ht="13.2">
      <c r="C178" s="43"/>
    </row>
    <row r="179" spans="3:3" ht="13.2">
      <c r="C179" s="43"/>
    </row>
    <row r="180" spans="3:3" ht="13.2">
      <c r="C180" s="43"/>
    </row>
    <row r="181" spans="3:3" ht="13.2">
      <c r="C181" s="43"/>
    </row>
    <row r="182" spans="3:3" ht="13.2">
      <c r="C182" s="43"/>
    </row>
    <row r="183" spans="3:3" ht="13.2">
      <c r="C183" s="43"/>
    </row>
    <row r="184" spans="3:3" ht="13.2">
      <c r="C184" s="43"/>
    </row>
    <row r="185" spans="3:3" ht="13.2">
      <c r="C185" s="43"/>
    </row>
    <row r="186" spans="3:3" ht="13.2">
      <c r="C186" s="43"/>
    </row>
    <row r="187" spans="3:3" ht="13.2">
      <c r="C187" s="43"/>
    </row>
    <row r="188" spans="3:3" ht="13.2">
      <c r="C188" s="43"/>
    </row>
    <row r="189" spans="3:3" ht="13.2">
      <c r="C189" s="43"/>
    </row>
    <row r="190" spans="3:3" ht="13.2">
      <c r="C190" s="43"/>
    </row>
    <row r="191" spans="3:3" ht="13.2">
      <c r="C191" s="43"/>
    </row>
    <row r="192" spans="3:3" ht="13.2">
      <c r="C192" s="43"/>
    </row>
    <row r="193" spans="3:3" ht="13.2">
      <c r="C193" s="43"/>
    </row>
    <row r="194" spans="3:3" ht="13.2">
      <c r="C194" s="43"/>
    </row>
    <row r="195" spans="3:3" ht="13.2">
      <c r="C195" s="43"/>
    </row>
    <row r="196" spans="3:3" ht="13.2">
      <c r="C196" s="43"/>
    </row>
    <row r="197" spans="3:3" ht="13.2">
      <c r="C197" s="43"/>
    </row>
    <row r="198" spans="3:3" ht="13.2">
      <c r="C198" s="43"/>
    </row>
    <row r="199" spans="3:3" ht="13.2">
      <c r="C199" s="43"/>
    </row>
    <row r="200" spans="3:3" ht="13.2">
      <c r="C200" s="43"/>
    </row>
    <row r="201" spans="3:3" ht="13.2">
      <c r="C201" s="43"/>
    </row>
    <row r="202" spans="3:3" ht="13.2">
      <c r="C202" s="43"/>
    </row>
    <row r="203" spans="3:3" ht="13.2">
      <c r="C203" s="43"/>
    </row>
    <row r="204" spans="3:3" ht="13.2">
      <c r="C204" s="43"/>
    </row>
    <row r="205" spans="3:3" ht="13.2">
      <c r="C205" s="43"/>
    </row>
    <row r="206" spans="3:3" ht="13.2">
      <c r="C206" s="43"/>
    </row>
    <row r="207" spans="3:3" ht="13.2">
      <c r="C207" s="43"/>
    </row>
    <row r="208" spans="3:3" ht="13.2">
      <c r="C208" s="43"/>
    </row>
    <row r="209" spans="3:3" ht="13.2">
      <c r="C209" s="43"/>
    </row>
    <row r="210" spans="3:3" ht="13.2">
      <c r="C210" s="43"/>
    </row>
    <row r="211" spans="3:3" ht="13.2">
      <c r="C211" s="43"/>
    </row>
    <row r="212" spans="3:3" ht="13.2">
      <c r="C212" s="43"/>
    </row>
    <row r="213" spans="3:3" ht="13.2">
      <c r="C213" s="43"/>
    </row>
    <row r="214" spans="3:3" ht="13.2">
      <c r="C214" s="43"/>
    </row>
    <row r="215" spans="3:3" ht="13.2">
      <c r="C215" s="43"/>
    </row>
    <row r="216" spans="3:3" ht="13.2">
      <c r="C216" s="43"/>
    </row>
    <row r="217" spans="3:3" ht="13.2">
      <c r="C217" s="43"/>
    </row>
    <row r="218" spans="3:3" ht="13.2">
      <c r="C218" s="43"/>
    </row>
    <row r="219" spans="3:3" ht="13.2">
      <c r="C219" s="43"/>
    </row>
    <row r="220" spans="3:3" ht="13.2">
      <c r="C220" s="43"/>
    </row>
    <row r="221" spans="3:3" ht="13.2">
      <c r="C221" s="43"/>
    </row>
    <row r="222" spans="3:3" ht="13.2">
      <c r="C222" s="43"/>
    </row>
    <row r="223" spans="3:3" ht="13.2">
      <c r="C223" s="43"/>
    </row>
    <row r="224" spans="3:3" ht="13.2">
      <c r="C224" s="43"/>
    </row>
    <row r="225" spans="3:3" ht="13.2">
      <c r="C225" s="43"/>
    </row>
    <row r="226" spans="3:3" ht="13.2">
      <c r="C226" s="43"/>
    </row>
    <row r="227" spans="3:3" ht="13.2">
      <c r="C227" s="43"/>
    </row>
    <row r="228" spans="3:3" ht="13.2">
      <c r="C228" s="43"/>
    </row>
    <row r="229" spans="3:3" ht="13.2">
      <c r="C229" s="43"/>
    </row>
    <row r="230" spans="3:3" ht="13.2">
      <c r="C230" s="43"/>
    </row>
    <row r="231" spans="3:3" ht="13.2">
      <c r="C231" s="43"/>
    </row>
    <row r="232" spans="3:3" ht="13.2">
      <c r="C232" s="43"/>
    </row>
    <row r="233" spans="3:3" ht="13.2">
      <c r="C233" s="43"/>
    </row>
    <row r="234" spans="3:3" ht="13.2">
      <c r="C234" s="43"/>
    </row>
    <row r="235" spans="3:3" ht="13.2">
      <c r="C235" s="43"/>
    </row>
    <row r="236" spans="3:3" ht="13.2">
      <c r="C236" s="43"/>
    </row>
    <row r="237" spans="3:3" ht="13.2">
      <c r="C237" s="43"/>
    </row>
    <row r="238" spans="3:3" ht="13.2">
      <c r="C238" s="43"/>
    </row>
    <row r="239" spans="3:3" ht="13.2">
      <c r="C239" s="43"/>
    </row>
    <row r="240" spans="3:3" ht="13.2">
      <c r="C240" s="43"/>
    </row>
    <row r="241" spans="3:3" ht="13.2">
      <c r="C241" s="43"/>
    </row>
    <row r="242" spans="3:3" ht="13.2">
      <c r="C242" s="43"/>
    </row>
    <row r="243" spans="3:3" ht="13.2">
      <c r="C243" s="43"/>
    </row>
    <row r="244" spans="3:3" ht="13.2">
      <c r="C244" s="43"/>
    </row>
    <row r="245" spans="3:3" ht="13.2">
      <c r="C245" s="43"/>
    </row>
    <row r="246" spans="3:3" ht="13.2">
      <c r="C246" s="43"/>
    </row>
    <row r="247" spans="3:3" ht="13.2">
      <c r="C247" s="43"/>
    </row>
    <row r="248" spans="3:3" ht="13.2">
      <c r="C248" s="43"/>
    </row>
    <row r="249" spans="3:3" ht="13.2">
      <c r="C249" s="43"/>
    </row>
    <row r="250" spans="3:3" ht="13.2">
      <c r="C250" s="43"/>
    </row>
    <row r="251" spans="3:3" ht="13.2">
      <c r="C251" s="43"/>
    </row>
    <row r="252" spans="3:3" ht="13.2">
      <c r="C252" s="43"/>
    </row>
    <row r="253" spans="3:3" ht="13.2">
      <c r="C253" s="43"/>
    </row>
    <row r="254" spans="3:3" ht="13.2">
      <c r="C254" s="43"/>
    </row>
    <row r="255" spans="3:3" ht="13.2">
      <c r="C255" s="43"/>
    </row>
    <row r="256" spans="3:3" ht="13.2">
      <c r="C256" s="43"/>
    </row>
    <row r="257" spans="3:3" ht="13.2">
      <c r="C257" s="43"/>
    </row>
    <row r="258" spans="3:3" ht="13.2">
      <c r="C258" s="43"/>
    </row>
    <row r="259" spans="3:3" ht="13.2">
      <c r="C259" s="43"/>
    </row>
    <row r="260" spans="3:3" ht="13.2">
      <c r="C260" s="43"/>
    </row>
    <row r="261" spans="3:3" ht="13.2">
      <c r="C261" s="43"/>
    </row>
    <row r="262" spans="3:3" ht="13.2">
      <c r="C262" s="43"/>
    </row>
    <row r="263" spans="3:3" ht="13.2">
      <c r="C263" s="43"/>
    </row>
    <row r="264" spans="3:3" ht="13.2">
      <c r="C264" s="43"/>
    </row>
    <row r="265" spans="3:3" ht="13.2">
      <c r="C265" s="43"/>
    </row>
    <row r="266" spans="3:3" ht="13.2">
      <c r="C266" s="43"/>
    </row>
    <row r="267" spans="3:3" ht="13.2">
      <c r="C267" s="43"/>
    </row>
    <row r="268" spans="3:3" ht="13.2">
      <c r="C268" s="43"/>
    </row>
    <row r="269" spans="3:3" ht="13.2">
      <c r="C269" s="43"/>
    </row>
    <row r="270" spans="3:3" ht="13.2">
      <c r="C270" s="43"/>
    </row>
    <row r="271" spans="3:3" ht="13.2">
      <c r="C271" s="43"/>
    </row>
    <row r="272" spans="3:3" ht="13.2">
      <c r="C272" s="43"/>
    </row>
    <row r="273" spans="3:3" ht="13.2">
      <c r="C273" s="43"/>
    </row>
    <row r="274" spans="3:3" ht="13.2">
      <c r="C274" s="43"/>
    </row>
    <row r="275" spans="3:3" ht="13.2">
      <c r="C275" s="43"/>
    </row>
    <row r="276" spans="3:3" ht="13.2">
      <c r="C276" s="43"/>
    </row>
    <row r="277" spans="3:3" ht="13.2">
      <c r="C277" s="43"/>
    </row>
    <row r="278" spans="3:3" ht="13.2">
      <c r="C278" s="43"/>
    </row>
    <row r="279" spans="3:3" ht="13.2">
      <c r="C279" s="43"/>
    </row>
    <row r="280" spans="3:3" ht="13.2">
      <c r="C280" s="43"/>
    </row>
    <row r="281" spans="3:3" ht="13.2">
      <c r="C281" s="43"/>
    </row>
    <row r="282" spans="3:3" ht="13.2">
      <c r="C282" s="43"/>
    </row>
    <row r="283" spans="3:3" ht="13.2">
      <c r="C283" s="43"/>
    </row>
    <row r="284" spans="3:3" ht="13.2">
      <c r="C284" s="43"/>
    </row>
    <row r="285" spans="3:3" ht="13.2">
      <c r="C285" s="43"/>
    </row>
    <row r="286" spans="3:3" ht="13.2">
      <c r="C286" s="43"/>
    </row>
    <row r="287" spans="3:3" ht="13.2">
      <c r="C287" s="43"/>
    </row>
    <row r="288" spans="3:3" ht="13.2">
      <c r="C288" s="43"/>
    </row>
    <row r="289" spans="3:3" ht="13.2">
      <c r="C289" s="43"/>
    </row>
    <row r="290" spans="3:3" ht="13.2">
      <c r="C290" s="43"/>
    </row>
    <row r="291" spans="3:3" ht="13.2">
      <c r="C291" s="43"/>
    </row>
    <row r="292" spans="3:3" ht="13.2">
      <c r="C292" s="43"/>
    </row>
    <row r="293" spans="3:3" ht="13.2">
      <c r="C293" s="43"/>
    </row>
    <row r="294" spans="3:3" ht="13.2">
      <c r="C294" s="43"/>
    </row>
    <row r="295" spans="3:3" ht="13.2">
      <c r="C295" s="43"/>
    </row>
    <row r="296" spans="3:3" ht="13.2">
      <c r="C296" s="43"/>
    </row>
    <row r="297" spans="3:3" ht="13.2">
      <c r="C297" s="43"/>
    </row>
    <row r="298" spans="3:3" ht="13.2">
      <c r="C298" s="43"/>
    </row>
    <row r="299" spans="3:3" ht="13.2">
      <c r="C299" s="43"/>
    </row>
    <row r="300" spans="3:3" ht="13.2">
      <c r="C300" s="43"/>
    </row>
    <row r="301" spans="3:3" ht="13.2">
      <c r="C301" s="43"/>
    </row>
    <row r="302" spans="3:3" ht="13.2">
      <c r="C302" s="43"/>
    </row>
    <row r="303" spans="3:3" ht="13.2">
      <c r="C303" s="43"/>
    </row>
    <row r="304" spans="3:3" ht="13.2">
      <c r="C304" s="43"/>
    </row>
    <row r="305" spans="3:3" ht="13.2">
      <c r="C305" s="43"/>
    </row>
    <row r="306" spans="3:3" ht="13.2">
      <c r="C306" s="43"/>
    </row>
    <row r="307" spans="3:3" ht="13.2">
      <c r="C307" s="43"/>
    </row>
    <row r="308" spans="3:3" ht="13.2">
      <c r="C308" s="43"/>
    </row>
    <row r="309" spans="3:3" ht="13.2">
      <c r="C309" s="43"/>
    </row>
    <row r="310" spans="3:3" ht="13.2">
      <c r="C310" s="43"/>
    </row>
    <row r="311" spans="3:3" ht="13.2">
      <c r="C311" s="43"/>
    </row>
    <row r="312" spans="3:3" ht="13.2">
      <c r="C312" s="43"/>
    </row>
    <row r="313" spans="3:3" ht="13.2">
      <c r="C313" s="43"/>
    </row>
    <row r="314" spans="3:3" ht="13.2">
      <c r="C314" s="43"/>
    </row>
    <row r="315" spans="3:3" ht="13.2">
      <c r="C315" s="43"/>
    </row>
    <row r="316" spans="3:3" ht="13.2">
      <c r="C316" s="43"/>
    </row>
    <row r="317" spans="3:3" ht="13.2">
      <c r="C317" s="43"/>
    </row>
    <row r="318" spans="3:3" ht="13.2">
      <c r="C318" s="43"/>
    </row>
    <row r="319" spans="3:3" ht="13.2">
      <c r="C319" s="43"/>
    </row>
    <row r="320" spans="3:3" ht="13.2">
      <c r="C320" s="43"/>
    </row>
    <row r="321" spans="3:3" ht="13.2">
      <c r="C321" s="43"/>
    </row>
    <row r="322" spans="3:3" ht="13.2">
      <c r="C322" s="43"/>
    </row>
    <row r="323" spans="3:3" ht="13.2">
      <c r="C323" s="43"/>
    </row>
    <row r="324" spans="3:3" ht="13.2">
      <c r="C324" s="43"/>
    </row>
    <row r="325" spans="3:3" ht="13.2">
      <c r="C325" s="43"/>
    </row>
    <row r="326" spans="3:3" ht="13.2">
      <c r="C326" s="43"/>
    </row>
    <row r="327" spans="3:3" ht="13.2">
      <c r="C327" s="43"/>
    </row>
    <row r="328" spans="3:3" ht="13.2">
      <c r="C328" s="43"/>
    </row>
    <row r="329" spans="3:3" ht="13.2">
      <c r="C329" s="43"/>
    </row>
    <row r="330" spans="3:3" ht="13.2">
      <c r="C330" s="43"/>
    </row>
    <row r="331" spans="3:3" ht="13.2">
      <c r="C331" s="43"/>
    </row>
    <row r="332" spans="3:3" ht="13.2">
      <c r="C332" s="43"/>
    </row>
    <row r="333" spans="3:3" ht="13.2">
      <c r="C333" s="43"/>
    </row>
    <row r="334" spans="3:3" ht="13.2">
      <c r="C334" s="43"/>
    </row>
    <row r="335" spans="3:3" ht="13.2">
      <c r="C335" s="43"/>
    </row>
    <row r="336" spans="3:3" ht="13.2">
      <c r="C336" s="43"/>
    </row>
    <row r="337" spans="3:3" ht="13.2">
      <c r="C337" s="43"/>
    </row>
    <row r="338" spans="3:3" ht="13.2">
      <c r="C338" s="43"/>
    </row>
    <row r="339" spans="3:3" ht="13.2">
      <c r="C339" s="43"/>
    </row>
    <row r="340" spans="3:3" ht="13.2">
      <c r="C340" s="43"/>
    </row>
    <row r="341" spans="3:3" ht="13.2">
      <c r="C341" s="43"/>
    </row>
    <row r="342" spans="3:3" ht="13.2">
      <c r="C342" s="43"/>
    </row>
    <row r="343" spans="3:3" ht="13.2">
      <c r="C343" s="43"/>
    </row>
    <row r="344" spans="3:3" ht="13.2">
      <c r="C344" s="43"/>
    </row>
    <row r="345" spans="3:3" ht="13.2">
      <c r="C345" s="43"/>
    </row>
    <row r="346" spans="3:3" ht="13.2">
      <c r="C346" s="43"/>
    </row>
    <row r="347" spans="3:3" ht="13.2">
      <c r="C347" s="43"/>
    </row>
    <row r="348" spans="3:3" ht="13.2">
      <c r="C348" s="43"/>
    </row>
    <row r="349" spans="3:3" ht="13.2">
      <c r="C349" s="43"/>
    </row>
    <row r="350" spans="3:3" ht="13.2">
      <c r="C350" s="43"/>
    </row>
    <row r="351" spans="3:3" ht="13.2">
      <c r="C351" s="43"/>
    </row>
    <row r="352" spans="3:3" ht="13.2">
      <c r="C352" s="43"/>
    </row>
    <row r="353" spans="3:3" ht="13.2">
      <c r="C353" s="43"/>
    </row>
    <row r="354" spans="3:3" ht="13.2">
      <c r="C354" s="43"/>
    </row>
    <row r="355" spans="3:3" ht="13.2">
      <c r="C355" s="43"/>
    </row>
    <row r="356" spans="3:3" ht="13.2">
      <c r="C356" s="43"/>
    </row>
    <row r="357" spans="3:3" ht="13.2">
      <c r="C357" s="43"/>
    </row>
    <row r="358" spans="3:3" ht="13.2">
      <c r="C358" s="43"/>
    </row>
    <row r="359" spans="3:3" ht="13.2">
      <c r="C359" s="43"/>
    </row>
    <row r="360" spans="3:3" ht="13.2">
      <c r="C360" s="43"/>
    </row>
    <row r="361" spans="3:3" ht="13.2">
      <c r="C361" s="43"/>
    </row>
    <row r="362" spans="3:3" ht="13.2">
      <c r="C362" s="43"/>
    </row>
    <row r="363" spans="3:3" ht="13.2">
      <c r="C363" s="43"/>
    </row>
    <row r="364" spans="3:3" ht="13.2">
      <c r="C364" s="43"/>
    </row>
    <row r="365" spans="3:3" ht="13.2">
      <c r="C365" s="43"/>
    </row>
    <row r="366" spans="3:3" ht="13.2">
      <c r="C366" s="43"/>
    </row>
    <row r="367" spans="3:3" ht="13.2">
      <c r="C367" s="43"/>
    </row>
    <row r="368" spans="3:3" ht="13.2">
      <c r="C368" s="43"/>
    </row>
    <row r="369" spans="3:3" ht="13.2">
      <c r="C369" s="43"/>
    </row>
    <row r="370" spans="3:3" ht="13.2">
      <c r="C370" s="43"/>
    </row>
    <row r="371" spans="3:3" ht="13.2">
      <c r="C371" s="43"/>
    </row>
    <row r="372" spans="3:3" ht="13.2">
      <c r="C372" s="43"/>
    </row>
    <row r="373" spans="3:3" ht="13.2">
      <c r="C373" s="43"/>
    </row>
    <row r="374" spans="3:3" ht="13.2">
      <c r="C374" s="43"/>
    </row>
    <row r="375" spans="3:3" ht="13.2">
      <c r="C375" s="43"/>
    </row>
    <row r="376" spans="3:3" ht="13.2">
      <c r="C376" s="43"/>
    </row>
    <row r="377" spans="3:3" ht="13.2">
      <c r="C377" s="43"/>
    </row>
    <row r="378" spans="3:3" ht="13.2">
      <c r="C378" s="43"/>
    </row>
    <row r="379" spans="3:3" ht="13.2">
      <c r="C379" s="43"/>
    </row>
    <row r="380" spans="3:3" ht="13.2">
      <c r="C380" s="43"/>
    </row>
    <row r="381" spans="3:3" ht="13.2">
      <c r="C381" s="43"/>
    </row>
    <row r="382" spans="3:3" ht="13.2">
      <c r="C382" s="43"/>
    </row>
    <row r="383" spans="3:3" ht="13.2">
      <c r="C383" s="43"/>
    </row>
    <row r="384" spans="3:3" ht="13.2">
      <c r="C384" s="43"/>
    </row>
    <row r="385" spans="3:3" ht="13.2">
      <c r="C385" s="43"/>
    </row>
    <row r="386" spans="3:3" ht="13.2">
      <c r="C386" s="43"/>
    </row>
    <row r="387" spans="3:3" ht="13.2">
      <c r="C387" s="43"/>
    </row>
    <row r="388" spans="3:3" ht="13.2">
      <c r="C388" s="43"/>
    </row>
    <row r="389" spans="3:3" ht="13.2">
      <c r="C389" s="43"/>
    </row>
    <row r="390" spans="3:3" ht="13.2">
      <c r="C390" s="43"/>
    </row>
    <row r="391" spans="3:3" ht="13.2">
      <c r="C391" s="43"/>
    </row>
    <row r="392" spans="3:3" ht="13.2">
      <c r="C392" s="43"/>
    </row>
    <row r="393" spans="3:3" ht="13.2">
      <c r="C393" s="43"/>
    </row>
    <row r="394" spans="3:3" ht="13.2">
      <c r="C394" s="43"/>
    </row>
    <row r="395" spans="3:3" ht="13.2">
      <c r="C395" s="43"/>
    </row>
    <row r="396" spans="3:3" ht="13.2">
      <c r="C396" s="43"/>
    </row>
    <row r="397" spans="3:3" ht="13.2">
      <c r="C397" s="43"/>
    </row>
    <row r="398" spans="3:3" ht="13.2">
      <c r="C398" s="43"/>
    </row>
    <row r="399" spans="3:3" ht="13.2">
      <c r="C399" s="43"/>
    </row>
    <row r="400" spans="3:3" ht="13.2">
      <c r="C400" s="43"/>
    </row>
    <row r="401" spans="3:3" ht="13.2">
      <c r="C401" s="43"/>
    </row>
    <row r="402" spans="3:3" ht="13.2">
      <c r="C402" s="43"/>
    </row>
    <row r="403" spans="3:3" ht="13.2">
      <c r="C403" s="43"/>
    </row>
    <row r="404" spans="3:3" ht="13.2">
      <c r="C404" s="43"/>
    </row>
    <row r="405" spans="3:3" ht="13.2">
      <c r="C405" s="43"/>
    </row>
    <row r="406" spans="3:3" ht="13.2">
      <c r="C406" s="43"/>
    </row>
    <row r="407" spans="3:3" ht="13.2">
      <c r="C407" s="43"/>
    </row>
    <row r="408" spans="3:3" ht="13.2">
      <c r="C408" s="43"/>
    </row>
    <row r="409" spans="3:3" ht="13.2">
      <c r="C409" s="43"/>
    </row>
    <row r="410" spans="3:3" ht="13.2">
      <c r="C410" s="43"/>
    </row>
    <row r="411" spans="3:3" ht="13.2">
      <c r="C411" s="43"/>
    </row>
    <row r="412" spans="3:3" ht="13.2">
      <c r="C412" s="43"/>
    </row>
    <row r="413" spans="3:3" ht="13.2">
      <c r="C413" s="43"/>
    </row>
    <row r="414" spans="3:3" ht="13.2">
      <c r="C414" s="43"/>
    </row>
    <row r="415" spans="3:3" ht="13.2">
      <c r="C415" s="43"/>
    </row>
    <row r="416" spans="3:3" ht="13.2">
      <c r="C416" s="43"/>
    </row>
    <row r="417" spans="3:3" ht="13.2">
      <c r="C417" s="43"/>
    </row>
    <row r="418" spans="3:3" ht="13.2">
      <c r="C418" s="43"/>
    </row>
    <row r="419" spans="3:3" ht="13.2">
      <c r="C419" s="43"/>
    </row>
    <row r="420" spans="3:3" ht="13.2">
      <c r="C420" s="43"/>
    </row>
    <row r="421" spans="3:3" ht="13.2">
      <c r="C421" s="43"/>
    </row>
    <row r="422" spans="3:3" ht="13.2">
      <c r="C422" s="43"/>
    </row>
    <row r="423" spans="3:3" ht="13.2">
      <c r="C423" s="43"/>
    </row>
    <row r="424" spans="3:3" ht="13.2">
      <c r="C424" s="43"/>
    </row>
    <row r="425" spans="3:3" ht="13.2">
      <c r="C425" s="43"/>
    </row>
    <row r="426" spans="3:3" ht="13.2">
      <c r="C426" s="43"/>
    </row>
    <row r="427" spans="3:3" ht="13.2">
      <c r="C427" s="43"/>
    </row>
    <row r="428" spans="3:3" ht="13.2">
      <c r="C428" s="43"/>
    </row>
    <row r="429" spans="3:3" ht="13.2">
      <c r="C429" s="43"/>
    </row>
    <row r="430" spans="3:3" ht="13.2">
      <c r="C430" s="43"/>
    </row>
    <row r="431" spans="3:3" ht="13.2">
      <c r="C431" s="43"/>
    </row>
    <row r="432" spans="3:3" ht="13.2">
      <c r="C432" s="43"/>
    </row>
    <row r="433" spans="3:3" ht="13.2">
      <c r="C433" s="43"/>
    </row>
    <row r="434" spans="3:3" ht="13.2">
      <c r="C434" s="43"/>
    </row>
    <row r="435" spans="3:3" ht="13.2">
      <c r="C435" s="43"/>
    </row>
    <row r="436" spans="3:3" ht="13.2">
      <c r="C436" s="43"/>
    </row>
    <row r="437" spans="3:3" ht="13.2">
      <c r="C437" s="43"/>
    </row>
    <row r="438" spans="3:3" ht="13.2">
      <c r="C438" s="43"/>
    </row>
    <row r="439" spans="3:3" ht="13.2">
      <c r="C439" s="43"/>
    </row>
    <row r="440" spans="3:3" ht="13.2">
      <c r="C440" s="43"/>
    </row>
    <row r="441" spans="3:3" ht="13.2">
      <c r="C441" s="43"/>
    </row>
    <row r="442" spans="3:3" ht="13.2">
      <c r="C442" s="43"/>
    </row>
    <row r="443" spans="3:3" ht="13.2">
      <c r="C443" s="43"/>
    </row>
    <row r="444" spans="3:3" ht="13.2">
      <c r="C444" s="43"/>
    </row>
    <row r="445" spans="3:3" ht="13.2">
      <c r="C445" s="43"/>
    </row>
    <row r="446" spans="3:3" ht="13.2">
      <c r="C446" s="43"/>
    </row>
    <row r="447" spans="3:3" ht="13.2">
      <c r="C447" s="43"/>
    </row>
    <row r="448" spans="3:3" ht="13.2">
      <c r="C448" s="43"/>
    </row>
    <row r="449" spans="3:3" ht="13.2">
      <c r="C449" s="43"/>
    </row>
    <row r="450" spans="3:3" ht="13.2">
      <c r="C450" s="43"/>
    </row>
    <row r="451" spans="3:3" ht="13.2">
      <c r="C451" s="43"/>
    </row>
    <row r="452" spans="3:3" ht="13.2">
      <c r="C452" s="43"/>
    </row>
    <row r="453" spans="3:3" ht="13.2">
      <c r="C453" s="43"/>
    </row>
    <row r="454" spans="3:3" ht="13.2">
      <c r="C454" s="43"/>
    </row>
    <row r="455" spans="3:3" ht="13.2">
      <c r="C455" s="43"/>
    </row>
    <row r="456" spans="3:3" ht="13.2">
      <c r="C456" s="43"/>
    </row>
    <row r="457" spans="3:3" ht="13.2">
      <c r="C457" s="43"/>
    </row>
    <row r="458" spans="3:3" ht="13.2">
      <c r="C458" s="43"/>
    </row>
    <row r="459" spans="3:3" ht="13.2">
      <c r="C459" s="43"/>
    </row>
    <row r="460" spans="3:3" ht="13.2">
      <c r="C460" s="43"/>
    </row>
    <row r="461" spans="3:3" ht="13.2">
      <c r="C461" s="43"/>
    </row>
    <row r="462" spans="3:3" ht="13.2">
      <c r="C462" s="43"/>
    </row>
    <row r="463" spans="3:3" ht="13.2">
      <c r="C463" s="43"/>
    </row>
    <row r="464" spans="3:3" ht="13.2">
      <c r="C464" s="43"/>
    </row>
    <row r="465" spans="3:3" ht="13.2">
      <c r="C465" s="43"/>
    </row>
    <row r="466" spans="3:3" ht="13.2">
      <c r="C466" s="43"/>
    </row>
    <row r="467" spans="3:3" ht="13.2">
      <c r="C467" s="43"/>
    </row>
    <row r="468" spans="3:3" ht="13.2">
      <c r="C468" s="43"/>
    </row>
    <row r="469" spans="3:3" ht="13.2">
      <c r="C469" s="43"/>
    </row>
    <row r="470" spans="3:3" ht="13.2">
      <c r="C470" s="43"/>
    </row>
    <row r="471" spans="3:3" ht="13.2">
      <c r="C471" s="43"/>
    </row>
    <row r="472" spans="3:3" ht="13.2">
      <c r="C472" s="43"/>
    </row>
    <row r="473" spans="3:3" ht="13.2">
      <c r="C473" s="43"/>
    </row>
    <row r="474" spans="3:3" ht="13.2">
      <c r="C474" s="43"/>
    </row>
    <row r="475" spans="3:3" ht="13.2">
      <c r="C475" s="43"/>
    </row>
    <row r="476" spans="3:3" ht="13.2">
      <c r="C476" s="43"/>
    </row>
    <row r="477" spans="3:3" ht="13.2">
      <c r="C477" s="43"/>
    </row>
    <row r="478" spans="3:3" ht="13.2">
      <c r="C478" s="43"/>
    </row>
    <row r="479" spans="3:3" ht="13.2">
      <c r="C479" s="43"/>
    </row>
    <row r="480" spans="3:3" ht="13.2">
      <c r="C480" s="43"/>
    </row>
    <row r="481" spans="3:3" ht="13.2">
      <c r="C481" s="43"/>
    </row>
    <row r="482" spans="3:3" ht="13.2">
      <c r="C482" s="43"/>
    </row>
    <row r="483" spans="3:3" ht="13.2">
      <c r="C483" s="43"/>
    </row>
    <row r="484" spans="3:3" ht="13.2">
      <c r="C484" s="43"/>
    </row>
    <row r="485" spans="3:3" ht="13.2">
      <c r="C485" s="43"/>
    </row>
    <row r="486" spans="3:3" ht="13.2">
      <c r="C486" s="43"/>
    </row>
    <row r="487" spans="3:3" ht="13.2">
      <c r="C487" s="43"/>
    </row>
    <row r="488" spans="3:3" ht="13.2">
      <c r="C488" s="43"/>
    </row>
    <row r="489" spans="3:3" ht="13.2">
      <c r="C489" s="43"/>
    </row>
    <row r="490" spans="3:3" ht="13.2">
      <c r="C490" s="43"/>
    </row>
    <row r="491" spans="3:3" ht="13.2">
      <c r="C491" s="43"/>
    </row>
    <row r="492" spans="3:3" ht="13.2">
      <c r="C492" s="43"/>
    </row>
    <row r="493" spans="3:3" ht="13.2">
      <c r="C493" s="43"/>
    </row>
    <row r="494" spans="3:3" ht="13.2">
      <c r="C494" s="43"/>
    </row>
    <row r="495" spans="3:3" ht="13.2">
      <c r="C495" s="43"/>
    </row>
    <row r="496" spans="3:3" ht="13.2">
      <c r="C496" s="43"/>
    </row>
    <row r="497" spans="3:3" ht="13.2">
      <c r="C497" s="43"/>
    </row>
    <row r="498" spans="3:3" ht="13.2">
      <c r="C498" s="43"/>
    </row>
    <row r="499" spans="3:3" ht="13.2">
      <c r="C499" s="43"/>
    </row>
    <row r="500" spans="3:3" ht="13.2">
      <c r="C500" s="43"/>
    </row>
    <row r="501" spans="3:3" ht="13.2">
      <c r="C501" s="43"/>
    </row>
    <row r="502" spans="3:3" ht="13.2">
      <c r="C502" s="43"/>
    </row>
    <row r="503" spans="3:3" ht="13.2">
      <c r="C503" s="43"/>
    </row>
    <row r="504" spans="3:3" ht="13.2">
      <c r="C504" s="43"/>
    </row>
    <row r="505" spans="3:3" ht="13.2">
      <c r="C505" s="43"/>
    </row>
    <row r="506" spans="3:3" ht="13.2">
      <c r="C506" s="43"/>
    </row>
    <row r="507" spans="3:3" ht="13.2">
      <c r="C507" s="43"/>
    </row>
    <row r="508" spans="3:3" ht="13.2">
      <c r="C508" s="43"/>
    </row>
    <row r="509" spans="3:3" ht="13.2">
      <c r="C509" s="43"/>
    </row>
    <row r="510" spans="3:3" ht="13.2">
      <c r="C510" s="43"/>
    </row>
    <row r="511" spans="3:3" ht="13.2">
      <c r="C511" s="43"/>
    </row>
    <row r="512" spans="3:3" ht="13.2">
      <c r="C512" s="43"/>
    </row>
    <row r="513" spans="3:3" ht="13.2">
      <c r="C513" s="43"/>
    </row>
    <row r="514" spans="3:3" ht="13.2">
      <c r="C514" s="43"/>
    </row>
    <row r="515" spans="3:3" ht="13.2">
      <c r="C515" s="43"/>
    </row>
    <row r="516" spans="3:3" ht="13.2">
      <c r="C516" s="43"/>
    </row>
    <row r="517" spans="3:3" ht="13.2">
      <c r="C517" s="43"/>
    </row>
    <row r="518" spans="3:3" ht="13.2">
      <c r="C518" s="43"/>
    </row>
    <row r="519" spans="3:3" ht="13.2">
      <c r="C519" s="43"/>
    </row>
    <row r="520" spans="3:3" ht="13.2">
      <c r="C520" s="43"/>
    </row>
    <row r="521" spans="3:3" ht="13.2">
      <c r="C521" s="43"/>
    </row>
    <row r="522" spans="3:3" ht="13.2">
      <c r="C522" s="43"/>
    </row>
    <row r="523" spans="3:3" ht="13.2">
      <c r="C523" s="43"/>
    </row>
    <row r="524" spans="3:3" ht="13.2">
      <c r="C524" s="43"/>
    </row>
    <row r="525" spans="3:3" ht="13.2">
      <c r="C525" s="43"/>
    </row>
    <row r="526" spans="3:3" ht="13.2">
      <c r="C526" s="43"/>
    </row>
    <row r="527" spans="3:3" ht="13.2">
      <c r="C527" s="43"/>
    </row>
    <row r="528" spans="3:3" ht="13.2">
      <c r="C528" s="43"/>
    </row>
    <row r="529" spans="3:3" ht="13.2">
      <c r="C529" s="43"/>
    </row>
    <row r="530" spans="3:3" ht="13.2">
      <c r="C530" s="43"/>
    </row>
    <row r="531" spans="3:3" ht="13.2">
      <c r="C531" s="43"/>
    </row>
    <row r="532" spans="3:3" ht="13.2">
      <c r="C532" s="43"/>
    </row>
    <row r="533" spans="3:3" ht="13.2">
      <c r="C533" s="43"/>
    </row>
    <row r="534" spans="3:3" ht="13.2">
      <c r="C534" s="43"/>
    </row>
    <row r="535" spans="3:3" ht="13.2">
      <c r="C535" s="43"/>
    </row>
    <row r="536" spans="3:3" ht="13.2">
      <c r="C536" s="43"/>
    </row>
    <row r="537" spans="3:3" ht="13.2">
      <c r="C537" s="43"/>
    </row>
    <row r="538" spans="3:3" ht="13.2">
      <c r="C538" s="43"/>
    </row>
    <row r="539" spans="3:3" ht="13.2">
      <c r="C539" s="43"/>
    </row>
    <row r="540" spans="3:3" ht="13.2">
      <c r="C540" s="43"/>
    </row>
    <row r="541" spans="3:3" ht="13.2">
      <c r="C541" s="43"/>
    </row>
    <row r="542" spans="3:3" ht="13.2">
      <c r="C542" s="43"/>
    </row>
    <row r="543" spans="3:3" ht="13.2">
      <c r="C543" s="43"/>
    </row>
    <row r="544" spans="3:3" ht="13.2">
      <c r="C544" s="43"/>
    </row>
    <row r="545" spans="3:3" ht="13.2">
      <c r="C545" s="43"/>
    </row>
    <row r="546" spans="3:3" ht="13.2">
      <c r="C546" s="43"/>
    </row>
    <row r="547" spans="3:3" ht="13.2">
      <c r="C547" s="43"/>
    </row>
    <row r="548" spans="3:3" ht="13.2">
      <c r="C548" s="43"/>
    </row>
    <row r="549" spans="3:3" ht="13.2">
      <c r="C549" s="43"/>
    </row>
    <row r="550" spans="3:3" ht="13.2">
      <c r="C550" s="43"/>
    </row>
    <row r="551" spans="3:3" ht="13.2">
      <c r="C551" s="43"/>
    </row>
    <row r="552" spans="3:3" ht="13.2">
      <c r="C552" s="43"/>
    </row>
    <row r="553" spans="3:3" ht="13.2">
      <c r="C553" s="43"/>
    </row>
    <row r="554" spans="3:3" ht="13.2">
      <c r="C554" s="43"/>
    </row>
    <row r="555" spans="3:3" ht="13.2">
      <c r="C555" s="43"/>
    </row>
    <row r="556" spans="3:3" ht="13.2">
      <c r="C556" s="43"/>
    </row>
    <row r="557" spans="3:3" ht="13.2">
      <c r="C557" s="43"/>
    </row>
    <row r="558" spans="3:3" ht="13.2">
      <c r="C558" s="43"/>
    </row>
    <row r="559" spans="3:3" ht="13.2">
      <c r="C559" s="43"/>
    </row>
    <row r="560" spans="3:3" ht="13.2">
      <c r="C560" s="43"/>
    </row>
    <row r="561" spans="3:3" ht="13.2">
      <c r="C561" s="43"/>
    </row>
    <row r="562" spans="3:3" ht="13.2">
      <c r="C562" s="43"/>
    </row>
    <row r="563" spans="3:3" ht="13.2">
      <c r="C563" s="43"/>
    </row>
    <row r="564" spans="3:3" ht="13.2">
      <c r="C564" s="43"/>
    </row>
    <row r="565" spans="3:3" ht="13.2">
      <c r="C565" s="43"/>
    </row>
    <row r="566" spans="3:3" ht="13.2">
      <c r="C566" s="43"/>
    </row>
    <row r="567" spans="3:3" ht="13.2">
      <c r="C567" s="43"/>
    </row>
    <row r="568" spans="3:3" ht="13.2">
      <c r="C568" s="43"/>
    </row>
    <row r="569" spans="3:3" ht="13.2">
      <c r="C569" s="43"/>
    </row>
    <row r="570" spans="3:3" ht="13.2">
      <c r="C570" s="43"/>
    </row>
    <row r="571" spans="3:3" ht="13.2">
      <c r="C571" s="43"/>
    </row>
    <row r="572" spans="3:3" ht="13.2">
      <c r="C572" s="43"/>
    </row>
    <row r="573" spans="3:3" ht="13.2">
      <c r="C573" s="43"/>
    </row>
    <row r="574" spans="3:3" ht="13.2">
      <c r="C574" s="43"/>
    </row>
    <row r="575" spans="3:3" ht="13.2">
      <c r="C575" s="43"/>
    </row>
    <row r="576" spans="3:3" ht="13.2">
      <c r="C576" s="43"/>
    </row>
    <row r="577" spans="3:3" ht="13.2">
      <c r="C577" s="43"/>
    </row>
    <row r="578" spans="3:3" ht="13.2">
      <c r="C578" s="43"/>
    </row>
    <row r="579" spans="3:3" ht="13.2">
      <c r="C579" s="43"/>
    </row>
    <row r="580" spans="3:3" ht="13.2">
      <c r="C580" s="43"/>
    </row>
    <row r="581" spans="3:3" ht="13.2">
      <c r="C581" s="43"/>
    </row>
    <row r="582" spans="3:3" ht="13.2">
      <c r="C582" s="43"/>
    </row>
    <row r="583" spans="3:3" ht="13.2">
      <c r="C583" s="43"/>
    </row>
    <row r="584" spans="3:3" ht="13.2">
      <c r="C584" s="43"/>
    </row>
    <row r="585" spans="3:3" ht="13.2">
      <c r="C585" s="43"/>
    </row>
    <row r="586" spans="3:3" ht="13.2">
      <c r="C586" s="43"/>
    </row>
    <row r="587" spans="3:3" ht="13.2">
      <c r="C587" s="43"/>
    </row>
    <row r="588" spans="3:3" ht="13.2">
      <c r="C588" s="43"/>
    </row>
    <row r="589" spans="3:3" ht="13.2">
      <c r="C589" s="43"/>
    </row>
    <row r="590" spans="3:3" ht="13.2">
      <c r="C590" s="43"/>
    </row>
    <row r="591" spans="3:3" ht="13.2">
      <c r="C591" s="43"/>
    </row>
    <row r="592" spans="3:3" ht="13.2">
      <c r="C592" s="43"/>
    </row>
    <row r="593" spans="3:3" ht="13.2">
      <c r="C593" s="43"/>
    </row>
    <row r="594" spans="3:3" ht="13.2">
      <c r="C594" s="43"/>
    </row>
    <row r="595" spans="3:3" ht="13.2">
      <c r="C595" s="43"/>
    </row>
    <row r="596" spans="3:3" ht="13.2">
      <c r="C596" s="43"/>
    </row>
    <row r="597" spans="3:3" ht="13.2">
      <c r="C597" s="43"/>
    </row>
    <row r="598" spans="3:3" ht="13.2">
      <c r="C598" s="43"/>
    </row>
    <row r="599" spans="3:3" ht="13.2">
      <c r="C599" s="43"/>
    </row>
    <row r="600" spans="3:3" ht="13.2">
      <c r="C600" s="43"/>
    </row>
    <row r="601" spans="3:3" ht="13.2">
      <c r="C601" s="43"/>
    </row>
    <row r="602" spans="3:3" ht="13.2">
      <c r="C602" s="43"/>
    </row>
    <row r="603" spans="3:3" ht="13.2">
      <c r="C603" s="43"/>
    </row>
    <row r="604" spans="3:3" ht="13.2">
      <c r="C604" s="43"/>
    </row>
    <row r="605" spans="3:3" ht="13.2">
      <c r="C605" s="43"/>
    </row>
    <row r="606" spans="3:3" ht="13.2">
      <c r="C606" s="43"/>
    </row>
    <row r="607" spans="3:3" ht="13.2">
      <c r="C607" s="43"/>
    </row>
    <row r="608" spans="3:3" ht="13.2">
      <c r="C608" s="43"/>
    </row>
    <row r="609" spans="3:3" ht="13.2">
      <c r="C609" s="43"/>
    </row>
    <row r="610" spans="3:3" ht="13.2">
      <c r="C610" s="43"/>
    </row>
    <row r="611" spans="3:3" ht="13.2">
      <c r="C611" s="43"/>
    </row>
    <row r="612" spans="3:3" ht="13.2">
      <c r="C612" s="43"/>
    </row>
    <row r="613" spans="3:3" ht="13.2">
      <c r="C613" s="43"/>
    </row>
    <row r="614" spans="3:3" ht="13.2">
      <c r="C614" s="43"/>
    </row>
    <row r="615" spans="3:3" ht="13.2">
      <c r="C615" s="43"/>
    </row>
    <row r="616" spans="3:3" ht="13.2">
      <c r="C616" s="43"/>
    </row>
    <row r="617" spans="3:3" ht="13.2">
      <c r="C617" s="43"/>
    </row>
    <row r="618" spans="3:3" ht="13.2">
      <c r="C618" s="43"/>
    </row>
    <row r="619" spans="3:3" ht="13.2">
      <c r="C619" s="43"/>
    </row>
    <row r="620" spans="3:3" ht="13.2">
      <c r="C620" s="43"/>
    </row>
    <row r="621" spans="3:3" ht="13.2">
      <c r="C621" s="43"/>
    </row>
    <row r="622" spans="3:3" ht="13.2">
      <c r="C622" s="43"/>
    </row>
    <row r="623" spans="3:3" ht="13.2">
      <c r="C623" s="43"/>
    </row>
    <row r="624" spans="3:3" ht="13.2">
      <c r="C624" s="43"/>
    </row>
    <row r="625" spans="3:3" ht="13.2">
      <c r="C625" s="43"/>
    </row>
    <row r="626" spans="3:3" ht="13.2">
      <c r="C626" s="43"/>
    </row>
    <row r="627" spans="3:3" ht="13.2">
      <c r="C627" s="43"/>
    </row>
    <row r="628" spans="3:3" ht="13.2">
      <c r="C628" s="43"/>
    </row>
    <row r="629" spans="3:3" ht="13.2">
      <c r="C629" s="43"/>
    </row>
    <row r="630" spans="3:3" ht="13.2">
      <c r="C630" s="43"/>
    </row>
    <row r="631" spans="3:3" ht="13.2">
      <c r="C631" s="43"/>
    </row>
    <row r="632" spans="3:3" ht="13.2">
      <c r="C632" s="43"/>
    </row>
    <row r="633" spans="3:3" ht="13.2">
      <c r="C633" s="43"/>
    </row>
    <row r="634" spans="3:3" ht="13.2">
      <c r="C634" s="43"/>
    </row>
    <row r="635" spans="3:3" ht="13.2">
      <c r="C635" s="43"/>
    </row>
    <row r="636" spans="3:3" ht="13.2">
      <c r="C636" s="43"/>
    </row>
    <row r="637" spans="3:3" ht="13.2">
      <c r="C637" s="43"/>
    </row>
    <row r="638" spans="3:3" ht="13.2">
      <c r="C638" s="43"/>
    </row>
    <row r="639" spans="3:3" ht="13.2">
      <c r="C639" s="43"/>
    </row>
    <row r="640" spans="3:3" ht="13.2">
      <c r="C640" s="43"/>
    </row>
    <row r="641" spans="3:3" ht="13.2">
      <c r="C641" s="43"/>
    </row>
    <row r="642" spans="3:3" ht="13.2">
      <c r="C642" s="43"/>
    </row>
    <row r="643" spans="3:3" ht="13.2">
      <c r="C643" s="43"/>
    </row>
    <row r="644" spans="3:3" ht="13.2">
      <c r="C644" s="43"/>
    </row>
    <row r="645" spans="3:3" ht="13.2">
      <c r="C645" s="43"/>
    </row>
    <row r="646" spans="3:3" ht="13.2">
      <c r="C646" s="43"/>
    </row>
    <row r="647" spans="3:3" ht="13.2">
      <c r="C647" s="43"/>
    </row>
    <row r="648" spans="3:3" ht="13.2">
      <c r="C648" s="43"/>
    </row>
    <row r="649" spans="3:3" ht="13.2">
      <c r="C649" s="43"/>
    </row>
    <row r="650" spans="3:3" ht="13.2">
      <c r="C650" s="43"/>
    </row>
    <row r="651" spans="3:3" ht="13.2">
      <c r="C651" s="43"/>
    </row>
    <row r="652" spans="3:3" ht="13.2">
      <c r="C652" s="43"/>
    </row>
    <row r="653" spans="3:3" ht="13.2">
      <c r="C653" s="43"/>
    </row>
    <row r="654" spans="3:3" ht="13.2">
      <c r="C654" s="43"/>
    </row>
    <row r="655" spans="3:3" ht="13.2">
      <c r="C655" s="43"/>
    </row>
    <row r="656" spans="3:3" ht="13.2">
      <c r="C656" s="43"/>
    </row>
    <row r="657" spans="3:3" ht="13.2">
      <c r="C657" s="43"/>
    </row>
    <row r="658" spans="3:3" ht="13.2">
      <c r="C658" s="43"/>
    </row>
    <row r="659" spans="3:3" ht="13.2">
      <c r="C659" s="43"/>
    </row>
    <row r="660" spans="3:3" ht="13.2">
      <c r="C660" s="43"/>
    </row>
    <row r="661" spans="3:3" ht="13.2">
      <c r="C661" s="43"/>
    </row>
    <row r="662" spans="3:3" ht="13.2">
      <c r="C662" s="43"/>
    </row>
    <row r="663" spans="3:3" ht="13.2">
      <c r="C663" s="43"/>
    </row>
    <row r="664" spans="3:3" ht="13.2">
      <c r="C664" s="43"/>
    </row>
    <row r="665" spans="3:3" ht="13.2">
      <c r="C665" s="43"/>
    </row>
    <row r="666" spans="3:3" ht="13.2">
      <c r="C666" s="43"/>
    </row>
    <row r="667" spans="3:3" ht="13.2">
      <c r="C667" s="43"/>
    </row>
    <row r="668" spans="3:3" ht="13.2">
      <c r="C668" s="43"/>
    </row>
    <row r="669" spans="3:3" ht="13.2">
      <c r="C669" s="43"/>
    </row>
    <row r="670" spans="3:3" ht="13.2">
      <c r="C670" s="43"/>
    </row>
    <row r="671" spans="3:3" ht="13.2">
      <c r="C671" s="43"/>
    </row>
    <row r="672" spans="3:3" ht="13.2">
      <c r="C672" s="43"/>
    </row>
    <row r="673" spans="3:3" ht="13.2">
      <c r="C673" s="43"/>
    </row>
    <row r="674" spans="3:3" ht="13.2">
      <c r="C674" s="43"/>
    </row>
    <row r="675" spans="3:3" ht="13.2">
      <c r="C675" s="43"/>
    </row>
    <row r="676" spans="3:3" ht="13.2">
      <c r="C676" s="43"/>
    </row>
    <row r="677" spans="3:3" ht="13.2">
      <c r="C677" s="43"/>
    </row>
    <row r="678" spans="3:3" ht="13.2">
      <c r="C678" s="43"/>
    </row>
    <row r="679" spans="3:3" ht="13.2">
      <c r="C679" s="43"/>
    </row>
    <row r="680" spans="3:3" ht="13.2">
      <c r="C680" s="43"/>
    </row>
    <row r="681" spans="3:3" ht="13.2">
      <c r="C681" s="43"/>
    </row>
    <row r="682" spans="3:3" ht="13.2">
      <c r="C682" s="43"/>
    </row>
    <row r="683" spans="3:3" ht="13.2">
      <c r="C683" s="43"/>
    </row>
    <row r="684" spans="3:3" ht="13.2">
      <c r="C684" s="43"/>
    </row>
    <row r="685" spans="3:3" ht="13.2">
      <c r="C685" s="43"/>
    </row>
    <row r="686" spans="3:3" ht="13.2">
      <c r="C686" s="43"/>
    </row>
    <row r="687" spans="3:3" ht="13.2">
      <c r="C687" s="43"/>
    </row>
    <row r="688" spans="3:3" ht="13.2">
      <c r="C688" s="43"/>
    </row>
    <row r="689" spans="3:3" ht="13.2">
      <c r="C689" s="43"/>
    </row>
    <row r="690" spans="3:3" ht="13.2">
      <c r="C690" s="43"/>
    </row>
    <row r="691" spans="3:3" ht="13.2">
      <c r="C691" s="43"/>
    </row>
    <row r="692" spans="3:3" ht="13.2">
      <c r="C692" s="43"/>
    </row>
    <row r="693" spans="3:3" ht="13.2">
      <c r="C693" s="43"/>
    </row>
    <row r="694" spans="3:3" ht="13.2">
      <c r="C694" s="43"/>
    </row>
    <row r="695" spans="3:3" ht="13.2">
      <c r="C695" s="43"/>
    </row>
    <row r="696" spans="3:3" ht="13.2">
      <c r="C696" s="43"/>
    </row>
    <row r="697" spans="3:3" ht="13.2">
      <c r="C697" s="43"/>
    </row>
    <row r="698" spans="3:3" ht="13.2">
      <c r="C698" s="43"/>
    </row>
    <row r="699" spans="3:3" ht="13.2">
      <c r="C699" s="43"/>
    </row>
    <row r="700" spans="3:3" ht="13.2">
      <c r="C700" s="43"/>
    </row>
    <row r="701" spans="3:3" ht="13.2">
      <c r="C701" s="43"/>
    </row>
    <row r="702" spans="3:3" ht="13.2">
      <c r="C702" s="43"/>
    </row>
    <row r="703" spans="3:3" ht="13.2">
      <c r="C703" s="43"/>
    </row>
    <row r="704" spans="3:3" ht="13.2">
      <c r="C704" s="43"/>
    </row>
    <row r="705" spans="3:3" ht="13.2">
      <c r="C705" s="43"/>
    </row>
    <row r="706" spans="3:3" ht="13.2">
      <c r="C706" s="43"/>
    </row>
    <row r="707" spans="3:3" ht="13.2">
      <c r="C707" s="43"/>
    </row>
    <row r="708" spans="3:3" ht="13.2">
      <c r="C708" s="43"/>
    </row>
    <row r="709" spans="3:3" ht="13.2">
      <c r="C709" s="43"/>
    </row>
    <row r="710" spans="3:3" ht="13.2">
      <c r="C710" s="43"/>
    </row>
    <row r="711" spans="3:3" ht="13.2">
      <c r="C711" s="43"/>
    </row>
    <row r="712" spans="3:3" ht="13.2">
      <c r="C712" s="43"/>
    </row>
    <row r="713" spans="3:3" ht="13.2">
      <c r="C713" s="43"/>
    </row>
    <row r="714" spans="3:3" ht="13.2">
      <c r="C714" s="43"/>
    </row>
    <row r="715" spans="3:3" ht="13.2">
      <c r="C715" s="43"/>
    </row>
    <row r="716" spans="3:3" ht="13.2">
      <c r="C716" s="43"/>
    </row>
    <row r="717" spans="3:3" ht="13.2">
      <c r="C717" s="43"/>
    </row>
    <row r="718" spans="3:3" ht="13.2">
      <c r="C718" s="43"/>
    </row>
    <row r="719" spans="3:3" ht="13.2">
      <c r="C719" s="43"/>
    </row>
    <row r="720" spans="3:3" ht="13.2">
      <c r="C720" s="43"/>
    </row>
    <row r="721" spans="3:3" ht="13.2">
      <c r="C721" s="43"/>
    </row>
    <row r="722" spans="3:3" ht="13.2">
      <c r="C722" s="43"/>
    </row>
    <row r="723" spans="3:3" ht="13.2">
      <c r="C723" s="43"/>
    </row>
    <row r="724" spans="3:3" ht="13.2">
      <c r="C724" s="43"/>
    </row>
    <row r="725" spans="3:3" ht="13.2">
      <c r="C725" s="43"/>
    </row>
    <row r="726" spans="3:3" ht="13.2">
      <c r="C726" s="43"/>
    </row>
    <row r="727" spans="3:3" ht="13.2">
      <c r="C727" s="43"/>
    </row>
    <row r="728" spans="3:3" ht="13.2">
      <c r="C728" s="43"/>
    </row>
    <row r="729" spans="3:3" ht="13.2">
      <c r="C729" s="43"/>
    </row>
    <row r="730" spans="3:3" ht="13.2">
      <c r="C730" s="43"/>
    </row>
    <row r="731" spans="3:3" ht="13.2">
      <c r="C731" s="43"/>
    </row>
    <row r="732" spans="3:3" ht="13.2">
      <c r="C732" s="43"/>
    </row>
    <row r="733" spans="3:3" ht="13.2">
      <c r="C733" s="43"/>
    </row>
    <row r="734" spans="3:3" ht="13.2">
      <c r="C734" s="43"/>
    </row>
    <row r="735" spans="3:3" ht="13.2">
      <c r="C735" s="43"/>
    </row>
    <row r="736" spans="3:3" ht="13.2">
      <c r="C736" s="43"/>
    </row>
    <row r="737" spans="3:3" ht="13.2">
      <c r="C737" s="43"/>
    </row>
    <row r="738" spans="3:3" ht="13.2">
      <c r="C738" s="43"/>
    </row>
    <row r="739" spans="3:3" ht="13.2">
      <c r="C739" s="43"/>
    </row>
    <row r="740" spans="3:3" ht="13.2">
      <c r="C740" s="43"/>
    </row>
    <row r="741" spans="3:3" ht="13.2">
      <c r="C741" s="43"/>
    </row>
    <row r="742" spans="3:3" ht="13.2">
      <c r="C742" s="43"/>
    </row>
    <row r="743" spans="3:3" ht="13.2">
      <c r="C743" s="43"/>
    </row>
    <row r="744" spans="3:3" ht="13.2">
      <c r="C744" s="43"/>
    </row>
    <row r="745" spans="3:3" ht="13.2">
      <c r="C745" s="43"/>
    </row>
    <row r="746" spans="3:3" ht="13.2">
      <c r="C746" s="43"/>
    </row>
    <row r="747" spans="3:3" ht="13.2">
      <c r="C747" s="43"/>
    </row>
    <row r="748" spans="3:3" ht="13.2">
      <c r="C748" s="43"/>
    </row>
    <row r="749" spans="3:3" ht="13.2">
      <c r="C749" s="43"/>
    </row>
    <row r="750" spans="3:3" ht="13.2">
      <c r="C750" s="43"/>
    </row>
    <row r="751" spans="3:3" ht="13.2">
      <c r="C751" s="43"/>
    </row>
    <row r="752" spans="3:3" ht="13.2">
      <c r="C752" s="43"/>
    </row>
    <row r="753" spans="3:3" ht="13.2">
      <c r="C753" s="43"/>
    </row>
    <row r="754" spans="3:3" ht="13.2">
      <c r="C754" s="43"/>
    </row>
    <row r="755" spans="3:3" ht="13.2">
      <c r="C755" s="43"/>
    </row>
    <row r="756" spans="3:3" ht="13.2">
      <c r="C756" s="43"/>
    </row>
    <row r="757" spans="3:3" ht="13.2">
      <c r="C757" s="43"/>
    </row>
    <row r="758" spans="3:3" ht="13.2">
      <c r="C758" s="43"/>
    </row>
    <row r="759" spans="3:3" ht="13.2">
      <c r="C759" s="43"/>
    </row>
    <row r="760" spans="3:3" ht="13.2">
      <c r="C760" s="43"/>
    </row>
    <row r="761" spans="3:3" ht="13.2">
      <c r="C761" s="43"/>
    </row>
    <row r="762" spans="3:3" ht="13.2">
      <c r="C762" s="43"/>
    </row>
    <row r="763" spans="3:3" ht="13.2">
      <c r="C763" s="43"/>
    </row>
    <row r="764" spans="3:3" ht="13.2">
      <c r="C764" s="43"/>
    </row>
    <row r="765" spans="3:3" ht="13.2">
      <c r="C765" s="43"/>
    </row>
    <row r="766" spans="3:3" ht="13.2">
      <c r="C766" s="43"/>
    </row>
    <row r="767" spans="3:3" ht="13.2">
      <c r="C767" s="43"/>
    </row>
    <row r="768" spans="3:3" ht="13.2">
      <c r="C768" s="43"/>
    </row>
    <row r="769" spans="3:3" ht="13.2">
      <c r="C769" s="43"/>
    </row>
    <row r="770" spans="3:3" ht="13.2">
      <c r="C770" s="43"/>
    </row>
    <row r="771" spans="3:3" ht="13.2">
      <c r="C771" s="43"/>
    </row>
    <row r="772" spans="3:3" ht="13.2">
      <c r="C772" s="43"/>
    </row>
    <row r="773" spans="3:3" ht="13.2">
      <c r="C773" s="43"/>
    </row>
    <row r="774" spans="3:3" ht="13.2">
      <c r="C774" s="43"/>
    </row>
    <row r="775" spans="3:3" ht="13.2">
      <c r="C775" s="43"/>
    </row>
    <row r="776" spans="3:3" ht="13.2">
      <c r="C776" s="43"/>
    </row>
    <row r="777" spans="3:3" ht="13.2">
      <c r="C777" s="43"/>
    </row>
    <row r="778" spans="3:3" ht="13.2">
      <c r="C778" s="43"/>
    </row>
    <row r="779" spans="3:3" ht="13.2">
      <c r="C779" s="43"/>
    </row>
    <row r="780" spans="3:3" ht="13.2">
      <c r="C780" s="43"/>
    </row>
    <row r="781" spans="3:3" ht="13.2">
      <c r="C781" s="43"/>
    </row>
    <row r="782" spans="3:3" ht="13.2">
      <c r="C782" s="43"/>
    </row>
    <row r="783" spans="3:3" ht="13.2">
      <c r="C783" s="43"/>
    </row>
    <row r="784" spans="3:3" ht="13.2">
      <c r="C784" s="43"/>
    </row>
    <row r="785" spans="3:3" ht="13.2">
      <c r="C785" s="43"/>
    </row>
    <row r="786" spans="3:3" ht="13.2">
      <c r="C786" s="43"/>
    </row>
    <row r="787" spans="3:3" ht="13.2">
      <c r="C787" s="43"/>
    </row>
    <row r="788" spans="3:3" ht="13.2">
      <c r="C788" s="43"/>
    </row>
    <row r="789" spans="3:3" ht="13.2">
      <c r="C789" s="43"/>
    </row>
    <row r="790" spans="3:3" ht="13.2">
      <c r="C790" s="43"/>
    </row>
    <row r="791" spans="3:3" ht="13.2">
      <c r="C791" s="43"/>
    </row>
    <row r="792" spans="3:3" ht="13.2">
      <c r="C792" s="43"/>
    </row>
    <row r="793" spans="3:3" ht="13.2">
      <c r="C793" s="43"/>
    </row>
    <row r="794" spans="3:3" ht="13.2">
      <c r="C794" s="43"/>
    </row>
    <row r="795" spans="3:3" ht="13.2">
      <c r="C795" s="43"/>
    </row>
    <row r="796" spans="3:3" ht="13.2">
      <c r="C796" s="43"/>
    </row>
    <row r="797" spans="3:3" ht="13.2">
      <c r="C797" s="43"/>
    </row>
    <row r="798" spans="3:3" ht="13.2">
      <c r="C798" s="43"/>
    </row>
    <row r="799" spans="3:3" ht="13.2">
      <c r="C799" s="43"/>
    </row>
    <row r="800" spans="3:3" ht="13.2">
      <c r="C800" s="43"/>
    </row>
    <row r="801" spans="3:3" ht="13.2">
      <c r="C801" s="43"/>
    </row>
    <row r="802" spans="3:3" ht="13.2">
      <c r="C802" s="43"/>
    </row>
    <row r="803" spans="3:3" ht="13.2">
      <c r="C803" s="43"/>
    </row>
    <row r="804" spans="3:3" ht="13.2">
      <c r="C804" s="43"/>
    </row>
    <row r="805" spans="3:3" ht="13.2">
      <c r="C805" s="43"/>
    </row>
    <row r="806" spans="3:3" ht="13.2">
      <c r="C806" s="43"/>
    </row>
    <row r="807" spans="3:3" ht="13.2">
      <c r="C807" s="43"/>
    </row>
    <row r="808" spans="3:3" ht="13.2">
      <c r="C808" s="43"/>
    </row>
    <row r="809" spans="3:3" ht="13.2">
      <c r="C809" s="43"/>
    </row>
    <row r="810" spans="3:3" ht="13.2">
      <c r="C810" s="43"/>
    </row>
    <row r="811" spans="3:3" ht="13.2">
      <c r="C811" s="43"/>
    </row>
    <row r="812" spans="3:3" ht="13.2">
      <c r="C812" s="43"/>
    </row>
    <row r="813" spans="3:3" ht="13.2">
      <c r="C813" s="43"/>
    </row>
    <row r="814" spans="3:3" ht="13.2">
      <c r="C814" s="43"/>
    </row>
    <row r="815" spans="3:3" ht="13.2">
      <c r="C815" s="43"/>
    </row>
    <row r="816" spans="3:3" ht="13.2">
      <c r="C816" s="43"/>
    </row>
    <row r="817" spans="3:3" ht="13.2">
      <c r="C817" s="43"/>
    </row>
    <row r="818" spans="3:3" ht="13.2">
      <c r="C818" s="43"/>
    </row>
    <row r="819" spans="3:3" ht="13.2">
      <c r="C819" s="43"/>
    </row>
    <row r="820" spans="3:3" ht="13.2">
      <c r="C820" s="43"/>
    </row>
    <row r="821" spans="3:3" ht="13.2">
      <c r="C821" s="43"/>
    </row>
    <row r="822" spans="3:3" ht="13.2">
      <c r="C822" s="43"/>
    </row>
    <row r="823" spans="3:3" ht="13.2">
      <c r="C823" s="43"/>
    </row>
    <row r="824" spans="3:3" ht="13.2">
      <c r="C824" s="43"/>
    </row>
    <row r="825" spans="3:3" ht="13.2">
      <c r="C825" s="43"/>
    </row>
    <row r="826" spans="3:3" ht="13.2">
      <c r="C826" s="43"/>
    </row>
    <row r="827" spans="3:3" ht="13.2">
      <c r="C827" s="43"/>
    </row>
    <row r="828" spans="3:3" ht="13.2">
      <c r="C828" s="43"/>
    </row>
    <row r="829" spans="3:3" ht="13.2">
      <c r="C829" s="43"/>
    </row>
    <row r="830" spans="3:3" ht="13.2">
      <c r="C830" s="43"/>
    </row>
    <row r="831" spans="3:3" ht="13.2">
      <c r="C831" s="43"/>
    </row>
    <row r="832" spans="3:3" ht="13.2">
      <c r="C832" s="43"/>
    </row>
    <row r="833" spans="3:3" ht="13.2">
      <c r="C833" s="43"/>
    </row>
    <row r="834" spans="3:3" ht="13.2">
      <c r="C834" s="43"/>
    </row>
    <row r="835" spans="3:3" ht="13.2">
      <c r="C835" s="43"/>
    </row>
    <row r="836" spans="3:3" ht="13.2">
      <c r="C836" s="43"/>
    </row>
    <row r="837" spans="3:3" ht="13.2">
      <c r="C837" s="43"/>
    </row>
    <row r="838" spans="3:3" ht="13.2">
      <c r="C838" s="43"/>
    </row>
    <row r="839" spans="3:3" ht="13.2">
      <c r="C839" s="43"/>
    </row>
    <row r="840" spans="3:3" ht="13.2">
      <c r="C840" s="43"/>
    </row>
    <row r="841" spans="3:3" ht="13.2">
      <c r="C841" s="43"/>
    </row>
    <row r="842" spans="3:3" ht="13.2">
      <c r="C842" s="43"/>
    </row>
    <row r="843" spans="3:3" ht="13.2">
      <c r="C843" s="43"/>
    </row>
    <row r="844" spans="3:3" ht="13.2">
      <c r="C844" s="43"/>
    </row>
    <row r="845" spans="3:3" ht="13.2">
      <c r="C845" s="43"/>
    </row>
    <row r="846" spans="3:3" ht="13.2">
      <c r="C846" s="43"/>
    </row>
    <row r="847" spans="3:3" ht="13.2">
      <c r="C847" s="43"/>
    </row>
    <row r="848" spans="3:3" ht="13.2">
      <c r="C848" s="43"/>
    </row>
    <row r="849" spans="3:3" ht="13.2">
      <c r="C849" s="43"/>
    </row>
    <row r="850" spans="3:3" ht="13.2">
      <c r="C850" s="43"/>
    </row>
    <row r="851" spans="3:3" ht="13.2">
      <c r="C851" s="43"/>
    </row>
    <row r="852" spans="3:3" ht="13.2">
      <c r="C852" s="43"/>
    </row>
    <row r="853" spans="3:3" ht="13.2">
      <c r="C853" s="43"/>
    </row>
    <row r="854" spans="3:3" ht="13.2">
      <c r="C854" s="43"/>
    </row>
    <row r="855" spans="3:3" ht="13.2">
      <c r="C855" s="43"/>
    </row>
    <row r="856" spans="3:3" ht="13.2">
      <c r="C856" s="43"/>
    </row>
    <row r="857" spans="3:3" ht="13.2">
      <c r="C857" s="43"/>
    </row>
    <row r="858" spans="3:3" ht="13.2">
      <c r="C858" s="43"/>
    </row>
    <row r="859" spans="3:3" ht="13.2">
      <c r="C859" s="43"/>
    </row>
    <row r="860" spans="3:3" ht="13.2">
      <c r="C860" s="43"/>
    </row>
    <row r="861" spans="3:3" ht="13.2">
      <c r="C861" s="43"/>
    </row>
    <row r="862" spans="3:3" ht="13.2">
      <c r="C862" s="43"/>
    </row>
    <row r="863" spans="3:3" ht="13.2">
      <c r="C863" s="43"/>
    </row>
    <row r="864" spans="3:3" ht="13.2">
      <c r="C864" s="43"/>
    </row>
    <row r="865" spans="3:3" ht="13.2">
      <c r="C865" s="43"/>
    </row>
    <row r="866" spans="3:3" ht="13.2">
      <c r="C866" s="43"/>
    </row>
    <row r="867" spans="3:3" ht="13.2">
      <c r="C867" s="43"/>
    </row>
    <row r="868" spans="3:3" ht="13.2">
      <c r="C868" s="43"/>
    </row>
    <row r="869" spans="3:3" ht="13.2">
      <c r="C869" s="43"/>
    </row>
    <row r="870" spans="3:3" ht="13.2">
      <c r="C870" s="43"/>
    </row>
    <row r="871" spans="3:3" ht="13.2">
      <c r="C871" s="43"/>
    </row>
    <row r="872" spans="3:3" ht="13.2">
      <c r="C872" s="43"/>
    </row>
    <row r="873" spans="3:3" ht="13.2">
      <c r="C873" s="43"/>
    </row>
    <row r="874" spans="3:3" ht="13.2">
      <c r="C874" s="43"/>
    </row>
    <row r="875" spans="3:3" ht="13.2">
      <c r="C875" s="43"/>
    </row>
    <row r="876" spans="3:3" ht="13.2">
      <c r="C876" s="43"/>
    </row>
    <row r="877" spans="3:3" ht="13.2">
      <c r="C877" s="43"/>
    </row>
    <row r="878" spans="3:3" ht="13.2">
      <c r="C878" s="43"/>
    </row>
    <row r="879" spans="3:3" ht="13.2">
      <c r="C879" s="43"/>
    </row>
    <row r="880" spans="3:3" ht="13.2">
      <c r="C880" s="43"/>
    </row>
    <row r="881" spans="3:3" ht="13.2">
      <c r="C881" s="43"/>
    </row>
    <row r="882" spans="3:3" ht="13.2">
      <c r="C882" s="43"/>
    </row>
    <row r="883" spans="3:3" ht="13.2">
      <c r="C883" s="43"/>
    </row>
    <row r="884" spans="3:3" ht="13.2">
      <c r="C884" s="43"/>
    </row>
    <row r="885" spans="3:3" ht="13.2">
      <c r="C885" s="43"/>
    </row>
    <row r="886" spans="3:3" ht="13.2">
      <c r="C886" s="43"/>
    </row>
    <row r="887" spans="3:3" ht="13.2">
      <c r="C887" s="43"/>
    </row>
    <row r="888" spans="3:3" ht="13.2">
      <c r="C888" s="43"/>
    </row>
    <row r="889" spans="3:3" ht="13.2">
      <c r="C889" s="43"/>
    </row>
    <row r="890" spans="3:3" ht="13.2">
      <c r="C890" s="43"/>
    </row>
    <row r="891" spans="3:3" ht="13.2">
      <c r="C891" s="43"/>
    </row>
    <row r="892" spans="3:3" ht="13.2">
      <c r="C892" s="43"/>
    </row>
    <row r="893" spans="3:3" ht="13.2">
      <c r="C893" s="43"/>
    </row>
    <row r="894" spans="3:3" ht="13.2">
      <c r="C894" s="43"/>
    </row>
    <row r="895" spans="3:3" ht="13.2">
      <c r="C895" s="43"/>
    </row>
    <row r="896" spans="3:3" ht="13.2">
      <c r="C896" s="43"/>
    </row>
    <row r="897" spans="3:3" ht="13.2">
      <c r="C897" s="43"/>
    </row>
    <row r="898" spans="3:3" ht="13.2">
      <c r="C898" s="43"/>
    </row>
    <row r="899" spans="3:3" ht="13.2">
      <c r="C899" s="43"/>
    </row>
    <row r="900" spans="3:3" ht="13.2">
      <c r="C900" s="43"/>
    </row>
    <row r="901" spans="3:3" ht="13.2">
      <c r="C901" s="43"/>
    </row>
    <row r="902" spans="3:3" ht="13.2">
      <c r="C902" s="43"/>
    </row>
    <row r="903" spans="3:3" ht="13.2">
      <c r="C903" s="43"/>
    </row>
    <row r="904" spans="3:3" ht="13.2">
      <c r="C904" s="43"/>
    </row>
    <row r="905" spans="3:3" ht="13.2">
      <c r="C905" s="43"/>
    </row>
    <row r="906" spans="3:3" ht="13.2">
      <c r="C906" s="43"/>
    </row>
    <row r="907" spans="3:3" ht="13.2">
      <c r="C907" s="43"/>
    </row>
    <row r="908" spans="3:3" ht="13.2">
      <c r="C908" s="43"/>
    </row>
    <row r="909" spans="3:3" ht="13.2">
      <c r="C909" s="43"/>
    </row>
    <row r="910" spans="3:3" ht="13.2">
      <c r="C910" s="43"/>
    </row>
    <row r="911" spans="3:3" ht="13.2">
      <c r="C911" s="43"/>
    </row>
    <row r="912" spans="3:3" ht="13.2">
      <c r="C912" s="43"/>
    </row>
    <row r="913" spans="3:3" ht="13.2">
      <c r="C913" s="43"/>
    </row>
    <row r="914" spans="3:3" ht="13.2">
      <c r="C914" s="43"/>
    </row>
    <row r="915" spans="3:3" ht="13.2">
      <c r="C915" s="43"/>
    </row>
    <row r="916" spans="3:3" ht="13.2">
      <c r="C916" s="43"/>
    </row>
    <row r="917" spans="3:3" ht="13.2">
      <c r="C917" s="43"/>
    </row>
    <row r="918" spans="3:3" ht="13.2">
      <c r="C918" s="43"/>
    </row>
    <row r="919" spans="3:3" ht="13.2">
      <c r="C919" s="43"/>
    </row>
    <row r="920" spans="3:3" ht="13.2">
      <c r="C920" s="43"/>
    </row>
    <row r="921" spans="3:3" ht="13.2">
      <c r="C921" s="43"/>
    </row>
    <row r="922" spans="3:3" ht="13.2">
      <c r="C922" s="43"/>
    </row>
    <row r="923" spans="3:3" ht="13.2">
      <c r="C923" s="43"/>
    </row>
    <row r="924" spans="3:3" ht="13.2">
      <c r="C924" s="43"/>
    </row>
    <row r="925" spans="3:3" ht="13.2">
      <c r="C925" s="43"/>
    </row>
    <row r="926" spans="3:3" ht="13.2">
      <c r="C926" s="43"/>
    </row>
    <row r="927" spans="3:3" ht="13.2">
      <c r="C927" s="43"/>
    </row>
    <row r="928" spans="3:3" ht="13.2">
      <c r="C928" s="43"/>
    </row>
    <row r="929" spans="3:3" ht="13.2">
      <c r="C929" s="43"/>
    </row>
    <row r="930" spans="3:3" ht="13.2">
      <c r="C930" s="43"/>
    </row>
    <row r="931" spans="3:3" ht="13.2">
      <c r="C931" s="43"/>
    </row>
    <row r="932" spans="3:3" ht="13.2">
      <c r="C932" s="43"/>
    </row>
    <row r="933" spans="3:3" ht="13.2">
      <c r="C933" s="43"/>
    </row>
    <row r="934" spans="3:3" ht="13.2">
      <c r="C934" s="43"/>
    </row>
    <row r="935" spans="3:3" ht="13.2">
      <c r="C935" s="43"/>
    </row>
    <row r="936" spans="3:3" ht="13.2">
      <c r="C936" s="43"/>
    </row>
    <row r="937" spans="3:3" ht="13.2">
      <c r="C937" s="43"/>
    </row>
    <row r="938" spans="3:3" ht="13.2">
      <c r="C938" s="43"/>
    </row>
    <row r="939" spans="3:3" ht="13.2">
      <c r="C939" s="43"/>
    </row>
    <row r="940" spans="3:3" ht="13.2">
      <c r="C940" s="43"/>
    </row>
    <row r="941" spans="3:3" ht="13.2">
      <c r="C941" s="43"/>
    </row>
    <row r="942" spans="3:3" ht="13.2">
      <c r="C942" s="43"/>
    </row>
    <row r="943" spans="3:3" ht="13.2">
      <c r="C943" s="43"/>
    </row>
    <row r="944" spans="3:3" ht="13.2">
      <c r="C944" s="43"/>
    </row>
    <row r="945" spans="3:3" ht="13.2">
      <c r="C945" s="43"/>
    </row>
    <row r="946" spans="3:3" ht="13.2">
      <c r="C946" s="43"/>
    </row>
    <row r="947" spans="3:3" ht="13.2">
      <c r="C947" s="43"/>
    </row>
    <row r="948" spans="3:3" ht="13.2">
      <c r="C948" s="43"/>
    </row>
    <row r="949" spans="3:3" ht="13.2">
      <c r="C949" s="43"/>
    </row>
    <row r="950" spans="3:3" ht="13.2">
      <c r="C950" s="43"/>
    </row>
    <row r="951" spans="3:3" ht="13.2">
      <c r="C951" s="43"/>
    </row>
    <row r="952" spans="3:3" ht="13.2">
      <c r="C952" s="43"/>
    </row>
    <row r="953" spans="3:3" ht="13.2">
      <c r="C953" s="43"/>
    </row>
    <row r="954" spans="3:3" ht="13.2">
      <c r="C954" s="43"/>
    </row>
    <row r="955" spans="3:3" ht="13.2">
      <c r="C955" s="43"/>
    </row>
    <row r="956" spans="3:3" ht="13.2">
      <c r="C956" s="43"/>
    </row>
    <row r="957" spans="3:3" ht="13.2">
      <c r="C957" s="43"/>
    </row>
    <row r="958" spans="3:3" ht="13.2">
      <c r="C958" s="43"/>
    </row>
    <row r="959" spans="3:3" ht="13.2">
      <c r="C959" s="43"/>
    </row>
    <row r="960" spans="3:3" ht="13.2">
      <c r="C960" s="43"/>
    </row>
    <row r="961" spans="3:3" ht="13.2">
      <c r="C961" s="43"/>
    </row>
    <row r="962" spans="3:3" ht="13.2">
      <c r="C962" s="43"/>
    </row>
    <row r="963" spans="3:3" ht="13.2">
      <c r="C963" s="43"/>
    </row>
    <row r="964" spans="3:3" ht="13.2">
      <c r="C964" s="43"/>
    </row>
    <row r="965" spans="3:3" ht="13.2">
      <c r="C965" s="43"/>
    </row>
    <row r="966" spans="3:3" ht="13.2">
      <c r="C966" s="43"/>
    </row>
    <row r="967" spans="3:3" ht="13.2">
      <c r="C967" s="43"/>
    </row>
    <row r="968" spans="3:3" ht="13.2">
      <c r="C968" s="43"/>
    </row>
    <row r="969" spans="3:3" ht="13.2">
      <c r="C969" s="43"/>
    </row>
    <row r="970" spans="3:3" ht="13.2">
      <c r="C970" s="43"/>
    </row>
    <row r="971" spans="3:3" ht="13.2">
      <c r="C971" s="43"/>
    </row>
    <row r="972" spans="3:3" ht="13.2">
      <c r="C972" s="43"/>
    </row>
    <row r="973" spans="3:3" ht="13.2">
      <c r="C973" s="43"/>
    </row>
    <row r="974" spans="3:3" ht="13.2">
      <c r="C974" s="43"/>
    </row>
    <row r="975" spans="3:3" ht="13.2">
      <c r="C975" s="43"/>
    </row>
    <row r="976" spans="3:3" ht="13.2">
      <c r="C976" s="43"/>
    </row>
    <row r="977" spans="3:3" ht="13.2">
      <c r="C977" s="43"/>
    </row>
    <row r="978" spans="3:3" ht="13.2">
      <c r="C978" s="43"/>
    </row>
    <row r="979" spans="3:3" ht="13.2">
      <c r="C979" s="43"/>
    </row>
    <row r="980" spans="3:3" ht="13.2">
      <c r="C980" s="43"/>
    </row>
    <row r="981" spans="3:3" ht="13.2">
      <c r="C981" s="43"/>
    </row>
    <row r="982" spans="3:3" ht="13.2">
      <c r="C982" s="43"/>
    </row>
    <row r="983" spans="3:3" ht="13.2">
      <c r="C983" s="43"/>
    </row>
    <row r="984" spans="3:3" ht="13.2">
      <c r="C984" s="43"/>
    </row>
    <row r="985" spans="3:3" ht="13.2">
      <c r="C985" s="43"/>
    </row>
    <row r="986" spans="3:3" ht="13.2">
      <c r="C986" s="43"/>
    </row>
    <row r="987" spans="3:3" ht="13.2">
      <c r="C987" s="43"/>
    </row>
    <row r="988" spans="3:3" ht="13.2">
      <c r="C988" s="43"/>
    </row>
    <row r="989" spans="3:3" ht="13.2">
      <c r="C989" s="43"/>
    </row>
    <row r="990" spans="3:3" ht="13.2">
      <c r="C990" s="43"/>
    </row>
    <row r="991" spans="3:3" ht="13.2">
      <c r="C991" s="43"/>
    </row>
    <row r="992" spans="3:3" ht="13.2">
      <c r="C992" s="43"/>
    </row>
    <row r="993" spans="3:3" ht="13.2">
      <c r="C993" s="43"/>
    </row>
    <row r="994" spans="3:3" ht="13.2">
      <c r="C994" s="43"/>
    </row>
    <row r="995" spans="3:3" ht="13.2">
      <c r="C995" s="43"/>
    </row>
    <row r="996" spans="3:3" ht="13.2">
      <c r="C996" s="43"/>
    </row>
    <row r="997" spans="3:3" ht="13.2">
      <c r="C997" s="43"/>
    </row>
    <row r="998" spans="3:3" ht="13.2">
      <c r="C998" s="43"/>
    </row>
    <row r="999" spans="3:3" ht="13.2">
      <c r="C999" s="43"/>
    </row>
    <row r="1000" spans="3:3" ht="13.2">
      <c r="C1000" s="43"/>
    </row>
    <row r="1001" spans="3:3" ht="13.2">
      <c r="C1001" s="43"/>
    </row>
  </sheetData>
  <mergeCells count="1">
    <mergeCell ref="B3:E3"/>
  </mergeCells>
  <pageMargins left="0.511811024" right="0.511811024" top="0.78740157499999996" bottom="0.78740157499999996" header="0.31496062000000002" footer="0.31496062000000002"/>
  <pageSetup paperSize="9" scale="45" orientation="landscape" r:id="rId1"/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01"/>
  <sheetViews>
    <sheetView showGridLines="0" view="pageBreakPreview" zoomScale="60" zoomScaleNormal="100" workbookViewId="0">
      <selection activeCell="D7" sqref="D7"/>
    </sheetView>
  </sheetViews>
  <sheetFormatPr defaultColWidth="12.5546875" defaultRowHeight="15" customHeight="1"/>
  <cols>
    <col min="1" max="1" width="1.33203125" customWidth="1"/>
    <col min="2" max="2" width="26.44140625" customWidth="1"/>
    <col min="3" max="3" width="6.44140625" customWidth="1"/>
    <col min="4" max="4" width="7.44140625" customWidth="1"/>
    <col min="5" max="8" width="5.33203125" customWidth="1"/>
    <col min="9" max="10" width="9.5546875" customWidth="1"/>
    <col min="11" max="11" width="11.88671875" customWidth="1"/>
    <col min="12" max="12" width="7.5546875" customWidth="1"/>
    <col min="13" max="13" width="2" customWidth="1"/>
    <col min="14" max="14" width="9.109375" customWidth="1"/>
    <col min="15" max="15" width="6" customWidth="1"/>
    <col min="16" max="16" width="9.109375" customWidth="1"/>
    <col min="17" max="17" width="28.109375" customWidth="1"/>
    <col min="18" max="18" width="9.109375" customWidth="1"/>
    <col min="19" max="19" width="18.5546875" customWidth="1"/>
    <col min="20" max="32" width="8.5546875" customWidth="1"/>
  </cols>
  <sheetData>
    <row r="1" spans="1:32" ht="6" customHeight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</row>
    <row r="2" spans="1:32" ht="19.5" customHeight="1">
      <c r="A2" s="46"/>
      <c r="B2" s="111" t="s">
        <v>174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46"/>
      <c r="N2" s="47" t="s">
        <v>175</v>
      </c>
      <c r="O2" s="48">
        <f>(E9+F9+H9)/D9</f>
        <v>0</v>
      </c>
      <c r="P2" s="46"/>
      <c r="Q2" s="49"/>
      <c r="R2" s="49"/>
      <c r="S2" s="49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</row>
    <row r="3" spans="1:32" ht="12.75" customHeight="1">
      <c r="A3" s="46"/>
      <c r="B3" s="50" t="s">
        <v>176</v>
      </c>
      <c r="C3" s="14" t="s">
        <v>177</v>
      </c>
      <c r="D3" s="14" t="s">
        <v>178</v>
      </c>
      <c r="E3" s="14" t="s">
        <v>14</v>
      </c>
      <c r="F3" s="14" t="s">
        <v>15</v>
      </c>
      <c r="G3" s="14" t="s">
        <v>16</v>
      </c>
      <c r="H3" s="14" t="s">
        <v>17</v>
      </c>
      <c r="I3" s="51" t="s">
        <v>179</v>
      </c>
      <c r="J3" s="51" t="s">
        <v>180</v>
      </c>
      <c r="K3" s="51" t="s">
        <v>170</v>
      </c>
      <c r="L3" s="52" t="s">
        <v>181</v>
      </c>
      <c r="M3" s="46"/>
      <c r="N3" s="53" t="s">
        <v>182</v>
      </c>
      <c r="O3" s="48">
        <f>(E9+H9)/(D9)</f>
        <v>0</v>
      </c>
      <c r="P3" s="46"/>
      <c r="Q3" s="112"/>
      <c r="R3" s="104"/>
      <c r="S3" s="104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ht="12.75" customHeight="1">
      <c r="A4" s="54"/>
      <c r="B4" s="55" t="s">
        <v>183</v>
      </c>
      <c r="C4" s="56">
        <f>COUNTA('Check-List'!B14:B24)</f>
        <v>11</v>
      </c>
      <c r="D4" s="56">
        <f t="shared" ref="D4:D8" si="0">C4-G4</f>
        <v>11</v>
      </c>
      <c r="E4" s="56">
        <f>COUNTIF('Check-List'!D14:D24,"x")</f>
        <v>0</v>
      </c>
      <c r="F4" s="56">
        <f>COUNTIF('Check-List'!E14:E24,"x")</f>
        <v>0</v>
      </c>
      <c r="G4" s="56">
        <f>COUNTIF('Check-List'!F14:F24,"x")</f>
        <v>0</v>
      </c>
      <c r="H4" s="56">
        <f>COUNTIF('Check-List'!G14:G24,"x")</f>
        <v>0</v>
      </c>
      <c r="I4" s="57">
        <f t="shared" ref="I4:I9" si="1">E4/D4</f>
        <v>0</v>
      </c>
      <c r="J4" s="57">
        <f t="shared" ref="J4:J9" si="2">F4/D4</f>
        <v>0</v>
      </c>
      <c r="K4" s="57">
        <f t="shared" ref="K4:K9" si="3">H4/D4</f>
        <v>0</v>
      </c>
      <c r="L4" s="57">
        <v>1</v>
      </c>
      <c r="M4" s="54"/>
      <c r="N4" s="54"/>
      <c r="O4" s="54"/>
      <c r="P4" s="54"/>
      <c r="Q4" s="58"/>
      <c r="R4" s="59"/>
      <c r="S4" s="60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</row>
    <row r="5" spans="1:32" ht="12.75" customHeight="1">
      <c r="A5" s="54"/>
      <c r="B5" s="55" t="s">
        <v>184</v>
      </c>
      <c r="C5" s="56">
        <f>COUNTA('Check-List'!B26:B36)</f>
        <v>11</v>
      </c>
      <c r="D5" s="56">
        <f t="shared" si="0"/>
        <v>11</v>
      </c>
      <c r="E5" s="56">
        <f>COUNTIF('Check-List'!D26:D36,"x")</f>
        <v>0</v>
      </c>
      <c r="F5" s="56">
        <f>COUNTIF('Check-List'!E26:E36,"x")</f>
        <v>0</v>
      </c>
      <c r="G5" s="56">
        <f>COUNTIF('Check-List'!F26:F36,"x")</f>
        <v>0</v>
      </c>
      <c r="H5" s="56">
        <f>COUNTIF('Check-List'!G26:G36,"x")</f>
        <v>0</v>
      </c>
      <c r="I5" s="57">
        <f t="shared" si="1"/>
        <v>0</v>
      </c>
      <c r="J5" s="57">
        <f t="shared" si="2"/>
        <v>0</v>
      </c>
      <c r="K5" s="57">
        <f t="shared" si="3"/>
        <v>0</v>
      </c>
      <c r="L5" s="57">
        <v>1</v>
      </c>
      <c r="M5" s="54"/>
      <c r="N5" s="54"/>
      <c r="O5" s="54"/>
      <c r="P5" s="54"/>
      <c r="Q5" s="58"/>
      <c r="R5" s="59"/>
      <c r="S5" s="60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</row>
    <row r="6" spans="1:32" ht="12.75" customHeight="1">
      <c r="A6" s="54"/>
      <c r="B6" s="55" t="s">
        <v>185</v>
      </c>
      <c r="C6" s="56">
        <f>COUNTA('Check-List'!B38:B42)</f>
        <v>5</v>
      </c>
      <c r="D6" s="56">
        <f t="shared" si="0"/>
        <v>5</v>
      </c>
      <c r="E6" s="56">
        <f>COUNTIF('Check-List'!D38:D42,"x")</f>
        <v>0</v>
      </c>
      <c r="F6" s="56">
        <f>COUNTIF('Check-List'!E38:E42,"x")</f>
        <v>0</v>
      </c>
      <c r="G6" s="56">
        <f>COUNTIF('Check-List'!F38:F42,"x")</f>
        <v>0</v>
      </c>
      <c r="H6" s="56">
        <f>COUNTIF('Check-List'!G38:G42,"x")</f>
        <v>0</v>
      </c>
      <c r="I6" s="57">
        <f t="shared" si="1"/>
        <v>0</v>
      </c>
      <c r="J6" s="57">
        <f t="shared" si="2"/>
        <v>0</v>
      </c>
      <c r="K6" s="57">
        <f t="shared" si="3"/>
        <v>0</v>
      </c>
      <c r="L6" s="57">
        <v>1</v>
      </c>
      <c r="M6" s="54"/>
      <c r="N6" s="54"/>
      <c r="O6" s="54"/>
      <c r="P6" s="54"/>
      <c r="Q6" s="58"/>
      <c r="R6" s="59"/>
      <c r="S6" s="60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</row>
    <row r="7" spans="1:32" ht="12.75" customHeight="1">
      <c r="A7" s="54"/>
      <c r="B7" s="55" t="s">
        <v>186</v>
      </c>
      <c r="C7" s="56">
        <f>COUNTA('Check-List'!B44:B73)</f>
        <v>30</v>
      </c>
      <c r="D7" s="56">
        <f t="shared" si="0"/>
        <v>30</v>
      </c>
      <c r="E7" s="56">
        <f>COUNTIF('Check-List'!D44:D73,"x")</f>
        <v>0</v>
      </c>
      <c r="F7" s="56">
        <f>COUNTIF('Check-List'!E44:E73,"x")</f>
        <v>0</v>
      </c>
      <c r="G7" s="56">
        <f>COUNTIF('Check-List'!F44:F73,"x")</f>
        <v>0</v>
      </c>
      <c r="H7" s="56">
        <f>COUNTIF('Check-List'!G44:G73,"x")</f>
        <v>0</v>
      </c>
      <c r="I7" s="57">
        <f t="shared" si="1"/>
        <v>0</v>
      </c>
      <c r="J7" s="57">
        <f t="shared" si="2"/>
        <v>0</v>
      </c>
      <c r="K7" s="57">
        <f t="shared" si="3"/>
        <v>0</v>
      </c>
      <c r="L7" s="57">
        <v>1</v>
      </c>
      <c r="M7" s="54"/>
      <c r="N7" s="54"/>
      <c r="O7" s="54"/>
      <c r="P7" s="54"/>
      <c r="Q7" s="58"/>
      <c r="R7" s="59"/>
      <c r="S7" s="60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</row>
    <row r="8" spans="1:32" ht="12.75" customHeight="1">
      <c r="A8" s="54"/>
      <c r="B8" s="55" t="s">
        <v>187</v>
      </c>
      <c r="C8" s="56">
        <f>COUNTA('Check-List'!B75:B89)</f>
        <v>15</v>
      </c>
      <c r="D8" s="56">
        <f t="shared" si="0"/>
        <v>15</v>
      </c>
      <c r="E8" s="56">
        <f>COUNTIF('Check-List'!D75:D89,"x")</f>
        <v>0</v>
      </c>
      <c r="F8" s="56">
        <f>COUNTIF('Check-List'!E75:E89,"x")</f>
        <v>0</v>
      </c>
      <c r="G8" s="56">
        <f>COUNTIF('Check-List'!F75:F89,"x")</f>
        <v>0</v>
      </c>
      <c r="H8" s="56">
        <f>COUNTIF('Check-List'!G75:G89,"x")</f>
        <v>0</v>
      </c>
      <c r="I8" s="57">
        <f t="shared" si="1"/>
        <v>0</v>
      </c>
      <c r="J8" s="57">
        <f t="shared" si="2"/>
        <v>0</v>
      </c>
      <c r="K8" s="57">
        <f t="shared" si="3"/>
        <v>0</v>
      </c>
      <c r="L8" s="57">
        <v>1</v>
      </c>
      <c r="M8" s="54"/>
      <c r="N8" s="61"/>
      <c r="O8" s="54"/>
      <c r="P8" s="54"/>
      <c r="Q8" s="58"/>
      <c r="R8" s="59"/>
      <c r="S8" s="60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1:32" ht="12.75" customHeight="1">
      <c r="A9" s="46"/>
      <c r="B9" s="55" t="s">
        <v>177</v>
      </c>
      <c r="C9" s="56">
        <f t="shared" ref="C9:H9" si="4">SUM(C4:C8)</f>
        <v>72</v>
      </c>
      <c r="D9" s="56">
        <f t="shared" si="4"/>
        <v>72</v>
      </c>
      <c r="E9" s="62">
        <f t="shared" si="4"/>
        <v>0</v>
      </c>
      <c r="F9" s="63">
        <f t="shared" si="4"/>
        <v>0</v>
      </c>
      <c r="G9" s="64">
        <f t="shared" si="4"/>
        <v>0</v>
      </c>
      <c r="H9" s="65">
        <f t="shared" si="4"/>
        <v>0</v>
      </c>
      <c r="I9" s="57">
        <f t="shared" si="1"/>
        <v>0</v>
      </c>
      <c r="J9" s="57">
        <f t="shared" si="2"/>
        <v>0</v>
      </c>
      <c r="K9" s="57">
        <f t="shared" si="3"/>
        <v>0</v>
      </c>
      <c r="L9" s="57">
        <v>1</v>
      </c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ht="12.7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ht="12.75" customHeight="1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</row>
    <row r="12" spans="1:32" ht="12.75" customHeight="1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</row>
    <row r="13" spans="1:32" ht="30.75" customHeight="1">
      <c r="A13" s="46"/>
      <c r="B13" s="113" t="s">
        <v>188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</row>
    <row r="14" spans="1:32" ht="12.75" customHeight="1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</row>
    <row r="15" spans="1:32" ht="12.75" customHeight="1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ht="12.75" customHeight="1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ht="12.75" customHeight="1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ht="12.75" customHeight="1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ht="12.75" customHeight="1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ht="12.75" customHeight="1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ht="12.75" customHeight="1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ht="12.75" customHeight="1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2.75" customHeight="1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ht="12.75" customHeight="1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ht="12.75" customHeight="1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</row>
    <row r="26" spans="1:32" ht="12.75" customHeight="1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</row>
    <row r="27" spans="1:32" ht="12.75" customHeight="1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</row>
    <row r="28" spans="1:32" ht="12.75" customHeight="1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</row>
    <row r="29" spans="1:32" ht="12.75" customHeight="1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ht="12.75" customHeight="1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ht="12.75" customHeight="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ht="12.75" customHeight="1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ht="12.75" customHeight="1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ht="12.75" customHeight="1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2.75" customHeight="1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</row>
    <row r="36" spans="1:32" ht="12.75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</row>
    <row r="37" spans="1:32" ht="12.75" customHeight="1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</row>
    <row r="38" spans="1:32" ht="12.75" customHeight="1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</row>
    <row r="39" spans="1:32" ht="12.75" customHeight="1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</row>
    <row r="40" spans="1:32" ht="12.75" customHeight="1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</row>
    <row r="41" spans="1:32" ht="12.75" customHeight="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ht="12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</row>
    <row r="43" spans="1:32" ht="22.5" customHeight="1">
      <c r="A43" s="66"/>
      <c r="B43" s="50" t="s">
        <v>176</v>
      </c>
      <c r="C43" s="14" t="s">
        <v>15</v>
      </c>
      <c r="D43" s="14" t="s">
        <v>17</v>
      </c>
      <c r="E43" s="94" t="s">
        <v>189</v>
      </c>
      <c r="F43" s="95"/>
      <c r="G43" s="95"/>
      <c r="H43" s="95"/>
      <c r="I43" s="95"/>
      <c r="J43" s="95"/>
      <c r="K43" s="95"/>
      <c r="L43" s="95"/>
      <c r="M43" s="95"/>
      <c r="N43" s="95"/>
      <c r="O43" s="92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</row>
    <row r="44" spans="1:32" ht="17.25" customHeight="1">
      <c r="A44" s="66"/>
      <c r="B44" s="55" t="s">
        <v>183</v>
      </c>
      <c r="C44" s="67">
        <f t="shared" ref="C44:C48" si="5">F4</f>
        <v>0</v>
      </c>
      <c r="D44" s="67">
        <f t="shared" ref="D44:D48" si="6">H4</f>
        <v>0</v>
      </c>
      <c r="E44" s="114"/>
      <c r="F44" s="95"/>
      <c r="G44" s="95"/>
      <c r="H44" s="95"/>
      <c r="I44" s="95"/>
      <c r="J44" s="95"/>
      <c r="K44" s="95"/>
      <c r="L44" s="95"/>
      <c r="M44" s="95"/>
      <c r="N44" s="95"/>
      <c r="O44" s="92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</row>
    <row r="45" spans="1:32" ht="12.75" customHeight="1">
      <c r="A45" s="66"/>
      <c r="B45" s="55" t="s">
        <v>184</v>
      </c>
      <c r="C45" s="67">
        <f t="shared" si="5"/>
        <v>0</v>
      </c>
      <c r="D45" s="67">
        <f t="shared" si="6"/>
        <v>0</v>
      </c>
      <c r="E45" s="110"/>
      <c r="F45" s="95"/>
      <c r="G45" s="95"/>
      <c r="H45" s="95"/>
      <c r="I45" s="95"/>
      <c r="J45" s="95"/>
      <c r="K45" s="95"/>
      <c r="L45" s="95"/>
      <c r="M45" s="95"/>
      <c r="N45" s="95"/>
      <c r="O45" s="92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</row>
    <row r="46" spans="1:32" ht="12.75" customHeight="1">
      <c r="A46" s="66"/>
      <c r="B46" s="55" t="s">
        <v>190</v>
      </c>
      <c r="C46" s="67">
        <f t="shared" si="5"/>
        <v>0</v>
      </c>
      <c r="D46" s="67">
        <f t="shared" si="6"/>
        <v>0</v>
      </c>
      <c r="E46" s="110"/>
      <c r="F46" s="95"/>
      <c r="G46" s="95"/>
      <c r="H46" s="95"/>
      <c r="I46" s="95"/>
      <c r="J46" s="95"/>
      <c r="K46" s="95"/>
      <c r="L46" s="95"/>
      <c r="M46" s="95"/>
      <c r="N46" s="95"/>
      <c r="O46" s="92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</row>
    <row r="47" spans="1:32" ht="12.75" customHeight="1">
      <c r="A47" s="66"/>
      <c r="B47" s="55" t="s">
        <v>186</v>
      </c>
      <c r="C47" s="67">
        <f t="shared" si="5"/>
        <v>0</v>
      </c>
      <c r="D47" s="67">
        <f t="shared" si="6"/>
        <v>0</v>
      </c>
      <c r="E47" s="110"/>
      <c r="F47" s="95"/>
      <c r="G47" s="95"/>
      <c r="H47" s="95"/>
      <c r="I47" s="95"/>
      <c r="J47" s="95"/>
      <c r="K47" s="95"/>
      <c r="L47" s="95"/>
      <c r="M47" s="95"/>
      <c r="N47" s="95"/>
      <c r="O47" s="92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</row>
    <row r="48" spans="1:32" ht="12.75" customHeight="1">
      <c r="A48" s="66"/>
      <c r="B48" s="55" t="s">
        <v>187</v>
      </c>
      <c r="C48" s="67">
        <f t="shared" si="5"/>
        <v>0</v>
      </c>
      <c r="D48" s="67">
        <f t="shared" si="6"/>
        <v>0</v>
      </c>
      <c r="E48" s="110"/>
      <c r="F48" s="95"/>
      <c r="G48" s="95"/>
      <c r="H48" s="95"/>
      <c r="I48" s="95"/>
      <c r="J48" s="95"/>
      <c r="K48" s="95"/>
      <c r="L48" s="95"/>
      <c r="M48" s="95"/>
      <c r="N48" s="95"/>
      <c r="O48" s="92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</row>
    <row r="49" spans="1:32" ht="12.75" customHeight="1">
      <c r="A49" s="66"/>
      <c r="B49" s="66"/>
      <c r="C49" s="68">
        <f t="shared" ref="C49:D49" si="7">SUM(C44:C48)</f>
        <v>0</v>
      </c>
      <c r="D49" s="69">
        <f t="shared" si="7"/>
        <v>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</row>
    <row r="50" spans="1:32" ht="12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</row>
    <row r="51" spans="1:32" ht="12.7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</row>
    <row r="52" spans="1:32" ht="12.7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</row>
    <row r="53" spans="1:32" ht="12.7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</row>
    <row r="54" spans="1:32" ht="12.7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</row>
    <row r="55" spans="1:32" ht="12.7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</row>
    <row r="56" spans="1:32" ht="12.7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</row>
    <row r="57" spans="1:32" ht="12.7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</row>
    <row r="58" spans="1:32" ht="12.7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</row>
    <row r="59" spans="1:32" ht="12.7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</row>
    <row r="60" spans="1:32" ht="12.7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</row>
    <row r="61" spans="1:32" ht="12.7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</row>
    <row r="62" spans="1:32" ht="12.7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</row>
    <row r="63" spans="1:32" ht="12.7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</row>
    <row r="64" spans="1:32" ht="12.7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</row>
    <row r="65" spans="1:32" ht="12.7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</row>
    <row r="66" spans="1:32" ht="12.7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</row>
    <row r="67" spans="1:32" ht="12.7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</row>
    <row r="68" spans="1:32" ht="12.7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</row>
    <row r="69" spans="1:32" ht="12.7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</row>
    <row r="70" spans="1:32" ht="12.7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</row>
    <row r="71" spans="1:32" ht="12.7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</row>
    <row r="72" spans="1:32" ht="12.7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</row>
    <row r="73" spans="1:32" ht="12.7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</row>
    <row r="74" spans="1:32" ht="12.7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</row>
    <row r="75" spans="1:32" ht="12.7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</row>
    <row r="76" spans="1:32" ht="12.7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</row>
    <row r="77" spans="1:32" ht="12.7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</row>
    <row r="78" spans="1:32" ht="12.7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</row>
    <row r="79" spans="1:32" ht="12.7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</row>
    <row r="80" spans="1:32" ht="12.7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</row>
    <row r="81" spans="1:32" ht="12.7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</row>
    <row r="82" spans="1:32" ht="12.7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</row>
    <row r="83" spans="1:32" ht="12.7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</row>
    <row r="84" spans="1:32" ht="12.7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</row>
    <row r="85" spans="1:32" ht="12.7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</row>
    <row r="86" spans="1:32" ht="12.7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</row>
    <row r="87" spans="1:32" ht="12.7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</row>
    <row r="88" spans="1:32" ht="12.7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</row>
    <row r="89" spans="1:32" ht="12.7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</row>
    <row r="90" spans="1:32" ht="12.7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</row>
    <row r="91" spans="1:32" ht="12.7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</row>
    <row r="92" spans="1:32" ht="12.7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</row>
    <row r="93" spans="1:32" ht="12.7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</row>
    <row r="94" spans="1:32" ht="12.7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</row>
    <row r="95" spans="1:32" ht="12.7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</row>
    <row r="96" spans="1:32" ht="12.7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</row>
    <row r="97" spans="1:32" ht="12.7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</row>
    <row r="98" spans="1:32" ht="12.7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</row>
    <row r="99" spans="1:32" ht="12.7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</row>
    <row r="100" spans="1:32" ht="12.7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</row>
    <row r="101" spans="1:32" ht="12.7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</row>
    <row r="102" spans="1:32" ht="12.7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</row>
    <row r="103" spans="1:32" ht="12.7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</row>
    <row r="104" spans="1:32" ht="12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</row>
    <row r="105" spans="1:32" ht="12.7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</row>
    <row r="106" spans="1:32" ht="12.7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</row>
    <row r="107" spans="1:32" ht="12.7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</row>
    <row r="108" spans="1:32" ht="12.7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</row>
    <row r="109" spans="1:32" ht="12.7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</row>
    <row r="110" spans="1:32" ht="12.7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</row>
    <row r="111" spans="1:32" ht="12.7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</row>
    <row r="112" spans="1:32" ht="12.7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</row>
    <row r="113" spans="1:32" ht="12.7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</row>
    <row r="114" spans="1:32" ht="12.7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</row>
    <row r="115" spans="1:32" ht="12.7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</row>
    <row r="116" spans="1:32" ht="12.7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</row>
    <row r="117" spans="1:32" ht="12.7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</row>
    <row r="118" spans="1:32" ht="12.7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</row>
    <row r="119" spans="1:32" ht="12.7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</row>
    <row r="120" spans="1:32" ht="12.7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</row>
    <row r="121" spans="1:32" ht="12.7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</row>
    <row r="122" spans="1:32" ht="12.7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</row>
    <row r="123" spans="1:32" ht="12.7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</row>
    <row r="124" spans="1:32" ht="12.7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</row>
    <row r="125" spans="1:32" ht="12.7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</row>
    <row r="126" spans="1:32" ht="12.7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</row>
    <row r="127" spans="1:32" ht="12.7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</row>
    <row r="128" spans="1:32" ht="12.7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</row>
    <row r="129" spans="1:32" ht="12.7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</row>
    <row r="130" spans="1:32" ht="12.7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</row>
    <row r="131" spans="1:32" ht="12.7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</row>
    <row r="132" spans="1:32" ht="12.7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</row>
    <row r="133" spans="1:32" ht="12.7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</row>
    <row r="134" spans="1:32" ht="12.7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</row>
    <row r="135" spans="1:32" ht="12.7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</row>
    <row r="136" spans="1:32" ht="12.7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</row>
    <row r="137" spans="1:32" ht="12.7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</row>
    <row r="138" spans="1:32" ht="12.7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</row>
    <row r="139" spans="1:32" ht="12.7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</row>
    <row r="140" spans="1:32" ht="12.7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</row>
    <row r="141" spans="1:32" ht="12.7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</row>
    <row r="142" spans="1:32" ht="12.7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</row>
    <row r="143" spans="1:32" ht="12.7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</row>
    <row r="144" spans="1:32" ht="12.7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</row>
    <row r="145" spans="1:32" ht="12.7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</row>
    <row r="146" spans="1:32" ht="12.7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</row>
    <row r="147" spans="1:32" ht="12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</row>
    <row r="148" spans="1:32" ht="12.7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</row>
    <row r="149" spans="1:32" ht="12.7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</row>
    <row r="150" spans="1:32" ht="12.7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</row>
    <row r="151" spans="1:32" ht="12.7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</row>
    <row r="152" spans="1:32" ht="12.7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</row>
    <row r="153" spans="1:32" ht="12.7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</row>
    <row r="154" spans="1:32" ht="12.7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</row>
    <row r="155" spans="1:32" ht="12.7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</row>
    <row r="156" spans="1:32" ht="12.7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</row>
    <row r="157" spans="1:32" ht="12.7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</row>
    <row r="158" spans="1:32" ht="12.7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</row>
    <row r="159" spans="1:32" ht="12.7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</row>
    <row r="160" spans="1:32" ht="12.7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</row>
    <row r="161" spans="1:32" ht="12.7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</row>
    <row r="162" spans="1:32" ht="12.7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</row>
    <row r="163" spans="1:32" ht="12.7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</row>
    <row r="164" spans="1:32" ht="12.7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</row>
    <row r="165" spans="1:32" ht="12.7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</row>
    <row r="166" spans="1:32" ht="12.7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</row>
    <row r="167" spans="1:32" ht="12.7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</row>
    <row r="168" spans="1:32" ht="12.7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</row>
    <row r="169" spans="1:32" ht="12.7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</row>
    <row r="170" spans="1:32" ht="12.7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</row>
    <row r="171" spans="1:32" ht="12.7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</row>
    <row r="172" spans="1:32" ht="12.7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</row>
    <row r="173" spans="1:32" ht="12.7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</row>
    <row r="174" spans="1:32" ht="12.7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</row>
    <row r="175" spans="1:32" ht="12.7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</row>
    <row r="176" spans="1:32" ht="12.7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</row>
    <row r="177" spans="1:32" ht="12.7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</row>
    <row r="178" spans="1:32" ht="12.7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</row>
    <row r="179" spans="1:32" ht="12.7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</row>
    <row r="180" spans="1:32" ht="12.7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</row>
    <row r="181" spans="1:32" ht="12.7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</row>
    <row r="182" spans="1:32" ht="12.7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</row>
    <row r="183" spans="1:32" ht="12.7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</row>
    <row r="184" spans="1:32" ht="12.7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</row>
    <row r="185" spans="1:32" ht="12.7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</row>
    <row r="186" spans="1:32" ht="12.7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</row>
    <row r="187" spans="1:32" ht="12.7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</row>
    <row r="188" spans="1:32" ht="12.7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</row>
    <row r="189" spans="1:32" ht="12.7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</row>
    <row r="190" spans="1:32" ht="12.7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</row>
    <row r="191" spans="1:32" ht="12.7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</row>
    <row r="192" spans="1:32" ht="12.7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</row>
    <row r="193" spans="1:32" ht="12.7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</row>
    <row r="194" spans="1:32" ht="12.7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</row>
    <row r="195" spans="1:32" ht="12.7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</row>
    <row r="196" spans="1:32" ht="12.7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</row>
    <row r="197" spans="1:32" ht="12.7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</row>
    <row r="198" spans="1:32" ht="12.7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</row>
    <row r="199" spans="1:32" ht="12.7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</row>
    <row r="200" spans="1:32" ht="12.7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</row>
    <row r="201" spans="1:32" ht="12.7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</row>
    <row r="202" spans="1:32" ht="12.7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</row>
    <row r="203" spans="1:32" ht="12.7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</row>
    <row r="204" spans="1:32" ht="12.7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</row>
    <row r="205" spans="1:32" ht="12.7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</row>
    <row r="206" spans="1:32" ht="12.7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</row>
    <row r="207" spans="1:32" ht="12.7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</row>
    <row r="208" spans="1:32" ht="12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</row>
    <row r="209" spans="1:32" ht="12.7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</row>
    <row r="210" spans="1:32" ht="12.7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</row>
    <row r="211" spans="1:32" ht="12.7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</row>
    <row r="212" spans="1:32" ht="12.7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</row>
    <row r="213" spans="1:32" ht="12.7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</row>
    <row r="214" spans="1:32" ht="12.7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</row>
    <row r="215" spans="1:32" ht="12.7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</row>
    <row r="216" spans="1:32" ht="12.7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</row>
    <row r="217" spans="1:32" ht="12.7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</row>
    <row r="218" spans="1:32" ht="12.7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</row>
    <row r="219" spans="1:32" ht="12.7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</row>
    <row r="220" spans="1:32" ht="12.7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</row>
    <row r="221" spans="1:32" ht="12.7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</row>
    <row r="222" spans="1:32" ht="12.7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</row>
    <row r="223" spans="1:32" ht="12.7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</row>
    <row r="224" spans="1:32" ht="12.75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</row>
    <row r="225" spans="1:32" ht="12.75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</row>
    <row r="226" spans="1:32" ht="12.75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</row>
    <row r="227" spans="1:32" ht="12.75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</row>
    <row r="228" spans="1:32" ht="12.75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</row>
    <row r="229" spans="1:32" ht="12.75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</row>
    <row r="230" spans="1:32" ht="12.75" customHeight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</row>
    <row r="231" spans="1:32" ht="12.75" customHeight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</row>
    <row r="232" spans="1:32" ht="12.75" customHeight="1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</row>
    <row r="233" spans="1:32" ht="12.75" customHeight="1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</row>
    <row r="234" spans="1:32" ht="12.75" customHeight="1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</row>
    <row r="235" spans="1:32" ht="12.75" customHeight="1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</row>
    <row r="236" spans="1:32" ht="12.75" customHeight="1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</row>
    <row r="237" spans="1:32" ht="12.75" customHeight="1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</row>
    <row r="238" spans="1:32" ht="12.75" customHeight="1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</row>
    <row r="239" spans="1:32" ht="12.75" customHeight="1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</row>
    <row r="240" spans="1:32" ht="12.75" customHeight="1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</row>
    <row r="241" spans="1:32" ht="12.75" customHeight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</row>
    <row r="242" spans="1:32" ht="12.75" customHeight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</row>
    <row r="243" spans="1:32" ht="12.75" customHeight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</row>
    <row r="244" spans="1:32" ht="12.75" customHeight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</row>
    <row r="245" spans="1:32" ht="12.75" customHeight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</row>
    <row r="246" spans="1:32" ht="12.75" customHeight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</row>
    <row r="247" spans="1:32" ht="12.75" customHeight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</row>
    <row r="248" spans="1:32" ht="12.75" customHeight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</row>
    <row r="249" spans="1:32" ht="12.75" customHeight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</row>
    <row r="250" spans="1:32" ht="12.75" customHeight="1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</row>
    <row r="251" spans="1:32" ht="12.75" customHeight="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</row>
    <row r="252" spans="1:32" ht="12.75" customHeight="1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</row>
    <row r="253" spans="1:32" ht="12.75" customHeight="1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</row>
    <row r="254" spans="1:32" ht="12.75" customHeight="1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</row>
    <row r="255" spans="1:32" ht="12.75" customHeight="1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</row>
    <row r="256" spans="1:32" ht="12.75" customHeight="1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</row>
    <row r="257" spans="1:32" ht="12.75" customHeight="1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</row>
    <row r="258" spans="1:32" ht="12.75" customHeight="1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</row>
    <row r="259" spans="1:32" ht="12.75" customHeight="1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</row>
    <row r="260" spans="1:32" ht="12.75" customHeight="1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</row>
    <row r="261" spans="1:32" ht="12.75" customHeight="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</row>
    <row r="262" spans="1:32" ht="12.75" customHeight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</row>
    <row r="263" spans="1:32" ht="12.75" customHeight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</row>
    <row r="264" spans="1:32" ht="12.75" customHeight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</row>
    <row r="265" spans="1:32" ht="12.75" customHeight="1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</row>
    <row r="266" spans="1:32" ht="12.75" customHeight="1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</row>
    <row r="267" spans="1:32" ht="12.75" customHeight="1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</row>
    <row r="268" spans="1:32" ht="12.75" customHeight="1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</row>
    <row r="269" spans="1:32" ht="12.75" customHeight="1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</row>
    <row r="270" spans="1:32" ht="12.75" customHeight="1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</row>
    <row r="271" spans="1:32" ht="12.75" customHeight="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</row>
    <row r="272" spans="1:32" ht="12.75" customHeight="1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</row>
    <row r="273" spans="1:32" ht="12.75" customHeight="1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</row>
    <row r="274" spans="1:32" ht="12.75" customHeight="1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</row>
    <row r="275" spans="1:32" ht="12.75" customHeight="1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</row>
    <row r="276" spans="1:32" ht="12.75" customHeight="1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</row>
    <row r="277" spans="1:32" ht="12.75" customHeight="1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</row>
    <row r="278" spans="1:32" ht="12.75" customHeight="1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</row>
    <row r="279" spans="1:32" ht="12.75" customHeight="1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</row>
    <row r="280" spans="1:32" ht="12.75" customHeight="1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</row>
    <row r="281" spans="1:32" ht="12.75" customHeight="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</row>
    <row r="282" spans="1:32" ht="12.75" customHeight="1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</row>
    <row r="283" spans="1:32" ht="12.75" customHeight="1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</row>
    <row r="284" spans="1:32" ht="12.75" customHeight="1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</row>
    <row r="285" spans="1:32" ht="12.75" customHeight="1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</row>
    <row r="286" spans="1:32" ht="12.75" customHeight="1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</row>
    <row r="287" spans="1:32" ht="12.75" customHeight="1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</row>
    <row r="288" spans="1:32" ht="12.75" customHeight="1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</row>
    <row r="289" spans="1:32" ht="12.75" customHeight="1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</row>
    <row r="290" spans="1:32" ht="12.75" customHeight="1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</row>
    <row r="291" spans="1:32" ht="12.75" customHeight="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</row>
    <row r="292" spans="1:32" ht="12.75" customHeight="1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</row>
    <row r="293" spans="1:32" ht="12.75" customHeight="1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</row>
    <row r="294" spans="1:32" ht="12.75" customHeight="1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</row>
    <row r="295" spans="1:32" ht="12.75" customHeight="1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</row>
    <row r="296" spans="1:32" ht="12.75" customHeight="1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</row>
    <row r="297" spans="1:32" ht="12.75" customHeight="1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</row>
    <row r="298" spans="1:32" ht="12.75" customHeight="1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</row>
    <row r="299" spans="1:32" ht="12.75" customHeight="1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</row>
    <row r="300" spans="1:32" ht="12.75" customHeight="1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</row>
    <row r="301" spans="1:32" ht="12.75" customHeight="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</row>
    <row r="302" spans="1:32" ht="12.75" customHeight="1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</row>
    <row r="303" spans="1:32" ht="12.75" customHeight="1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</row>
    <row r="304" spans="1:32" ht="12.75" customHeight="1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</row>
    <row r="305" spans="1:32" ht="12.75" customHeight="1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</row>
    <row r="306" spans="1:32" ht="12.75" customHeight="1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</row>
    <row r="307" spans="1:32" ht="12.75" customHeight="1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</row>
    <row r="308" spans="1:32" ht="12.75" customHeight="1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</row>
    <row r="309" spans="1:32" ht="12.75" customHeight="1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</row>
    <row r="310" spans="1:32" ht="12.75" customHeight="1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</row>
    <row r="311" spans="1:32" ht="12.75" customHeight="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</row>
    <row r="312" spans="1:32" ht="12.75" customHeight="1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</row>
    <row r="313" spans="1:32" ht="12.75" customHeight="1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</row>
    <row r="314" spans="1:32" ht="12.75" customHeight="1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</row>
    <row r="315" spans="1:32" ht="12.75" customHeight="1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</row>
    <row r="316" spans="1:32" ht="12.75" customHeight="1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</row>
    <row r="317" spans="1:32" ht="12.75" customHeight="1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</row>
    <row r="318" spans="1:32" ht="12.75" customHeight="1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</row>
    <row r="319" spans="1:32" ht="12.75" customHeight="1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</row>
    <row r="320" spans="1:32" ht="12.75" customHeight="1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</row>
    <row r="321" spans="1:32" ht="12.75" customHeight="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</row>
    <row r="322" spans="1:32" ht="12.75" customHeight="1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</row>
    <row r="323" spans="1:32" ht="12.75" customHeight="1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</row>
    <row r="324" spans="1:32" ht="12.75" customHeight="1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</row>
    <row r="325" spans="1:32" ht="12.75" customHeight="1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</row>
    <row r="326" spans="1:32" ht="12.75" customHeight="1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</row>
    <row r="327" spans="1:32" ht="12.75" customHeight="1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</row>
    <row r="328" spans="1:32" ht="12.75" customHeight="1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</row>
    <row r="329" spans="1:32" ht="12.75" customHeight="1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</row>
    <row r="330" spans="1:32" ht="12.75" customHeight="1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</row>
    <row r="331" spans="1:32" ht="12.75" customHeight="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</row>
    <row r="332" spans="1:32" ht="12.75" customHeight="1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</row>
    <row r="333" spans="1:32" ht="12.75" customHeight="1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</row>
    <row r="334" spans="1:32" ht="12.75" customHeight="1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</row>
    <row r="335" spans="1:32" ht="12.75" customHeight="1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</row>
    <row r="336" spans="1:32" ht="12.75" customHeight="1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</row>
    <row r="337" spans="1:32" ht="12.75" customHeight="1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</row>
    <row r="338" spans="1:32" ht="12.75" customHeight="1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</row>
    <row r="339" spans="1:32" ht="12.75" customHeight="1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</row>
    <row r="340" spans="1:32" ht="12.75" customHeight="1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</row>
    <row r="341" spans="1:32" ht="12.75" customHeight="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</row>
    <row r="342" spans="1:32" ht="12.75" customHeight="1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</row>
    <row r="343" spans="1:32" ht="12.75" customHeight="1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</row>
    <row r="344" spans="1:32" ht="12.75" customHeight="1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</row>
    <row r="345" spans="1:32" ht="12.75" customHeight="1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</row>
    <row r="346" spans="1:32" ht="12.75" customHeight="1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</row>
    <row r="347" spans="1:32" ht="12.75" customHeight="1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</row>
    <row r="348" spans="1:32" ht="12.75" customHeight="1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</row>
    <row r="349" spans="1:32" ht="12.75" customHeight="1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</row>
    <row r="350" spans="1:32" ht="12.75" customHeight="1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</row>
    <row r="351" spans="1:32" ht="12.75" customHeight="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</row>
    <row r="352" spans="1:32" ht="12.75" customHeight="1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</row>
    <row r="353" spans="1:32" ht="12.75" customHeight="1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</row>
    <row r="354" spans="1:32" ht="12.75" customHeight="1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</row>
    <row r="355" spans="1:32" ht="12.75" customHeight="1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</row>
    <row r="356" spans="1:32" ht="12.75" customHeight="1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</row>
    <row r="357" spans="1:32" ht="12.75" customHeight="1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</row>
    <row r="358" spans="1:32" ht="12.75" customHeight="1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</row>
    <row r="359" spans="1:32" ht="12.75" customHeight="1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</row>
    <row r="360" spans="1:32" ht="12.75" customHeight="1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</row>
    <row r="361" spans="1:32" ht="12.75" customHeight="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</row>
    <row r="362" spans="1:32" ht="12.75" customHeight="1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</row>
    <row r="363" spans="1:32" ht="12.75" customHeight="1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</row>
    <row r="364" spans="1:32" ht="12.75" customHeight="1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</row>
    <row r="365" spans="1:32" ht="12.75" customHeight="1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</row>
    <row r="366" spans="1:32" ht="12.75" customHeight="1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</row>
    <row r="367" spans="1:32" ht="12.75" customHeight="1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</row>
    <row r="368" spans="1:32" ht="12.75" customHeight="1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</row>
    <row r="369" spans="1:32" ht="12.75" customHeight="1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</row>
    <row r="370" spans="1:32" ht="12.75" customHeight="1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</row>
    <row r="371" spans="1:32" ht="12.75" customHeight="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</row>
    <row r="372" spans="1:32" ht="12.75" customHeight="1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</row>
    <row r="373" spans="1:32" ht="12.75" customHeight="1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</row>
    <row r="374" spans="1:32" ht="12.75" customHeight="1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</row>
    <row r="375" spans="1:32" ht="12.75" customHeight="1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</row>
    <row r="376" spans="1:32" ht="12.75" customHeight="1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</row>
    <row r="377" spans="1:32" ht="12.75" customHeight="1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</row>
    <row r="378" spans="1:32" ht="12.75" customHeight="1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</row>
    <row r="379" spans="1:32" ht="12.75" customHeight="1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</row>
    <row r="380" spans="1:32" ht="12.75" customHeight="1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</row>
    <row r="381" spans="1:32" ht="12.75" customHeight="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</row>
    <row r="382" spans="1:32" ht="12.75" customHeight="1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</row>
    <row r="383" spans="1:32" ht="12.75" customHeight="1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</row>
    <row r="384" spans="1:32" ht="12.75" customHeight="1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</row>
    <row r="385" spans="1:32" ht="12.75" customHeight="1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</row>
    <row r="386" spans="1:32" ht="12.75" customHeight="1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</row>
    <row r="387" spans="1:32" ht="12.75" customHeight="1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</row>
    <row r="388" spans="1:32" ht="12.75" customHeight="1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</row>
    <row r="389" spans="1:32" ht="12.75" customHeight="1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</row>
    <row r="390" spans="1:32" ht="12.75" customHeight="1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</row>
    <row r="391" spans="1:32" ht="12.75" customHeight="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</row>
    <row r="392" spans="1:32" ht="12.75" customHeight="1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</row>
    <row r="393" spans="1:32" ht="12.75" customHeight="1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</row>
    <row r="394" spans="1:32" ht="12.75" customHeight="1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</row>
    <row r="395" spans="1:32" ht="12.75" customHeight="1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</row>
    <row r="396" spans="1:32" ht="12.75" customHeight="1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</row>
    <row r="397" spans="1:32" ht="12.75" customHeight="1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</row>
    <row r="398" spans="1:32" ht="12.75" customHeight="1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</row>
    <row r="399" spans="1:32" ht="12.75" customHeight="1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</row>
    <row r="400" spans="1:32" ht="12.75" customHeight="1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</row>
    <row r="401" spans="1:32" ht="12.75" customHeight="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</row>
    <row r="402" spans="1:32" ht="12.75" customHeight="1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</row>
    <row r="403" spans="1:32" ht="12.75" customHeight="1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</row>
    <row r="404" spans="1:32" ht="12.75" customHeight="1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</row>
    <row r="405" spans="1:32" ht="12.75" customHeight="1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</row>
    <row r="406" spans="1:32" ht="12.75" customHeight="1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</row>
    <row r="407" spans="1:32" ht="12.75" customHeight="1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</row>
    <row r="408" spans="1:32" ht="12.75" customHeight="1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</row>
    <row r="409" spans="1:32" ht="12.75" customHeight="1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</row>
    <row r="410" spans="1:32" ht="12.75" customHeight="1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</row>
    <row r="411" spans="1:32" ht="12.75" customHeight="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</row>
    <row r="412" spans="1:32" ht="12.75" customHeight="1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</row>
    <row r="413" spans="1:32" ht="12.75" customHeight="1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</row>
    <row r="414" spans="1:32" ht="12.75" customHeight="1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</row>
    <row r="415" spans="1:32" ht="12.75" customHeight="1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</row>
    <row r="416" spans="1:32" ht="12.75" customHeight="1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</row>
    <row r="417" spans="1:32" ht="12.75" customHeight="1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</row>
    <row r="418" spans="1:32" ht="12.75" customHeight="1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</row>
    <row r="419" spans="1:32" ht="12.75" customHeight="1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</row>
    <row r="420" spans="1:32" ht="12.75" customHeight="1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</row>
    <row r="421" spans="1:32" ht="12.75" customHeight="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</row>
    <row r="422" spans="1:32" ht="12.75" customHeight="1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</row>
    <row r="423" spans="1:32" ht="12.75" customHeight="1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</row>
    <row r="424" spans="1:32" ht="12.75" customHeight="1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</row>
    <row r="425" spans="1:32" ht="12.75" customHeight="1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</row>
    <row r="426" spans="1:32" ht="12.75" customHeight="1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</row>
    <row r="427" spans="1:32" ht="12.75" customHeight="1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</row>
    <row r="428" spans="1:32" ht="12.75" customHeight="1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</row>
    <row r="429" spans="1:32" ht="12.75" customHeight="1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</row>
    <row r="430" spans="1:32" ht="12.75" customHeight="1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</row>
    <row r="431" spans="1:32" ht="12.75" customHeight="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</row>
    <row r="432" spans="1:32" ht="12.75" customHeight="1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</row>
    <row r="433" spans="1:32" ht="12.75" customHeight="1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</row>
    <row r="434" spans="1:32" ht="12.75" customHeight="1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</row>
    <row r="435" spans="1:32" ht="12.75" customHeight="1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</row>
    <row r="436" spans="1:32" ht="12.75" customHeight="1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</row>
    <row r="437" spans="1:32" ht="12.75" customHeight="1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</row>
    <row r="438" spans="1:32" ht="12.75" customHeight="1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</row>
    <row r="439" spans="1:32" ht="12.75" customHeight="1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</row>
    <row r="440" spans="1:32" ht="12.75" customHeight="1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</row>
    <row r="441" spans="1:32" ht="12.75" customHeight="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</row>
    <row r="442" spans="1:32" ht="12.75" customHeight="1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</row>
    <row r="443" spans="1:32" ht="12.75" customHeight="1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</row>
    <row r="444" spans="1:32" ht="12.75" customHeight="1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</row>
    <row r="445" spans="1:32" ht="12.75" customHeight="1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</row>
    <row r="446" spans="1:32" ht="12.75" customHeight="1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</row>
    <row r="447" spans="1:32" ht="12.75" customHeight="1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</row>
    <row r="448" spans="1:32" ht="12.75" customHeight="1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</row>
    <row r="449" spans="1:32" ht="12.75" customHeight="1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</row>
    <row r="450" spans="1:32" ht="12.75" customHeight="1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</row>
    <row r="451" spans="1:32" ht="12.75" customHeight="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</row>
    <row r="452" spans="1:32" ht="12.75" customHeight="1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</row>
    <row r="453" spans="1:32" ht="12.75" customHeight="1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</row>
    <row r="454" spans="1:32" ht="12.75" customHeight="1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</row>
    <row r="455" spans="1:32" ht="12.75" customHeight="1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</row>
    <row r="456" spans="1:32" ht="12.75" customHeight="1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</row>
    <row r="457" spans="1:32" ht="12.75" customHeight="1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</row>
    <row r="458" spans="1:32" ht="12.75" customHeight="1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</row>
    <row r="459" spans="1:32" ht="12.75" customHeight="1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</row>
    <row r="460" spans="1:32" ht="12.75" customHeight="1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</row>
    <row r="461" spans="1:32" ht="12.75" customHeight="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</row>
    <row r="462" spans="1:32" ht="12.75" customHeight="1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</row>
    <row r="463" spans="1:32" ht="12.75" customHeight="1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</row>
    <row r="464" spans="1:32" ht="12.75" customHeight="1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</row>
    <row r="465" spans="1:32" ht="12.75" customHeight="1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</row>
    <row r="466" spans="1:32" ht="12.75" customHeight="1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</row>
    <row r="467" spans="1:32" ht="12.75" customHeight="1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</row>
    <row r="468" spans="1:32" ht="12.75" customHeight="1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</row>
    <row r="469" spans="1:32" ht="12.75" customHeight="1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</row>
    <row r="470" spans="1:32" ht="12.75" customHeight="1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</row>
    <row r="471" spans="1:32" ht="12.75" customHeight="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</row>
    <row r="472" spans="1:32" ht="12.75" customHeight="1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</row>
    <row r="473" spans="1:32" ht="12.75" customHeight="1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</row>
    <row r="474" spans="1:32" ht="12.75" customHeight="1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</row>
    <row r="475" spans="1:32" ht="12.75" customHeight="1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</row>
    <row r="476" spans="1:32" ht="12.75" customHeight="1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</row>
    <row r="477" spans="1:32" ht="12.75" customHeight="1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</row>
    <row r="478" spans="1:32" ht="12.75" customHeight="1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</row>
    <row r="479" spans="1:32" ht="12.75" customHeight="1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</row>
    <row r="480" spans="1:32" ht="12.75" customHeight="1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</row>
    <row r="481" spans="1:32" ht="12.75" customHeight="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</row>
    <row r="482" spans="1:32" ht="12.75" customHeight="1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</row>
    <row r="483" spans="1:32" ht="12.75" customHeight="1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</row>
    <row r="484" spans="1:32" ht="12.75" customHeight="1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</row>
    <row r="485" spans="1:32" ht="12.75" customHeight="1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</row>
    <row r="486" spans="1:32" ht="12.75" customHeight="1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</row>
    <row r="487" spans="1:32" ht="12.75" customHeight="1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</row>
    <row r="488" spans="1:32" ht="12.75" customHeight="1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</row>
    <row r="489" spans="1:32" ht="12.75" customHeight="1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</row>
    <row r="490" spans="1:32" ht="12.75" customHeight="1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</row>
    <row r="491" spans="1:32" ht="12.75" customHeight="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</row>
    <row r="492" spans="1:32" ht="12.75" customHeight="1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</row>
    <row r="493" spans="1:32" ht="12.75" customHeight="1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</row>
    <row r="494" spans="1:32" ht="12.75" customHeight="1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</row>
    <row r="495" spans="1:32" ht="12.75" customHeight="1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</row>
    <row r="496" spans="1:32" ht="12.75" customHeight="1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</row>
    <row r="497" spans="1:32" ht="12.75" customHeight="1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</row>
    <row r="498" spans="1:32" ht="12.75" customHeight="1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</row>
    <row r="499" spans="1:32" ht="12.75" customHeight="1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</row>
    <row r="500" spans="1:32" ht="12.75" customHeight="1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</row>
    <row r="501" spans="1:32" ht="12.75" customHeight="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</row>
    <row r="502" spans="1:32" ht="12.75" customHeight="1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</row>
    <row r="503" spans="1:32" ht="12.75" customHeight="1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</row>
    <row r="504" spans="1:32" ht="12.75" customHeight="1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</row>
    <row r="505" spans="1:32" ht="12.75" customHeight="1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</row>
    <row r="506" spans="1:32" ht="12.75" customHeight="1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</row>
    <row r="507" spans="1:32" ht="12.75" customHeight="1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</row>
    <row r="508" spans="1:32" ht="12.75" customHeight="1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</row>
    <row r="509" spans="1:32" ht="12.75" customHeight="1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</row>
    <row r="510" spans="1:32" ht="12.75" customHeight="1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</row>
    <row r="511" spans="1:32" ht="12.75" customHeight="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</row>
    <row r="512" spans="1:32" ht="12.75" customHeight="1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</row>
    <row r="513" spans="1:32" ht="12.75" customHeight="1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</row>
    <row r="514" spans="1:32" ht="12.75" customHeight="1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</row>
    <row r="515" spans="1:32" ht="12.75" customHeight="1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</row>
    <row r="516" spans="1:32" ht="12.75" customHeight="1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</row>
    <row r="517" spans="1:32" ht="12.75" customHeight="1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</row>
    <row r="518" spans="1:32" ht="12.75" customHeight="1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</row>
    <row r="519" spans="1:32" ht="12.75" customHeight="1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</row>
    <row r="520" spans="1:32" ht="12.75" customHeight="1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</row>
    <row r="521" spans="1:32" ht="12.75" customHeight="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</row>
    <row r="522" spans="1:32" ht="12.75" customHeight="1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</row>
    <row r="523" spans="1:32" ht="12.75" customHeight="1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</row>
    <row r="524" spans="1:32" ht="12.75" customHeight="1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</row>
    <row r="525" spans="1:32" ht="12.75" customHeight="1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</row>
    <row r="526" spans="1:32" ht="12.75" customHeight="1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</row>
    <row r="527" spans="1:32" ht="12.75" customHeight="1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</row>
    <row r="528" spans="1:32" ht="12.75" customHeight="1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</row>
    <row r="529" spans="1:32" ht="12.75" customHeight="1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</row>
    <row r="530" spans="1:32" ht="12.75" customHeight="1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</row>
    <row r="531" spans="1:32" ht="12.75" customHeight="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</row>
    <row r="532" spans="1:32" ht="12.75" customHeight="1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</row>
    <row r="533" spans="1:32" ht="12.75" customHeight="1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</row>
    <row r="534" spans="1:32" ht="12.75" customHeight="1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</row>
    <row r="535" spans="1:32" ht="12.75" customHeight="1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</row>
    <row r="536" spans="1:32" ht="12.75" customHeight="1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</row>
    <row r="537" spans="1:32" ht="12.75" customHeight="1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</row>
    <row r="538" spans="1:32" ht="12.75" customHeight="1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</row>
    <row r="539" spans="1:32" ht="12.75" customHeight="1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</row>
    <row r="540" spans="1:32" ht="12.75" customHeight="1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</row>
    <row r="541" spans="1:32" ht="12.75" customHeight="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</row>
    <row r="542" spans="1:32" ht="12.75" customHeight="1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</row>
    <row r="543" spans="1:32" ht="12.75" customHeight="1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</row>
    <row r="544" spans="1:32" ht="12.75" customHeight="1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</row>
    <row r="545" spans="1:32" ht="12.75" customHeight="1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</row>
    <row r="546" spans="1:32" ht="12.75" customHeight="1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</row>
    <row r="547" spans="1:32" ht="12.75" customHeight="1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</row>
    <row r="548" spans="1:32" ht="12.75" customHeight="1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</row>
    <row r="549" spans="1:32" ht="12.75" customHeight="1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</row>
    <row r="550" spans="1:32" ht="12.75" customHeight="1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</row>
    <row r="551" spans="1:32" ht="12.75" customHeight="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</row>
    <row r="552" spans="1:32" ht="12.75" customHeight="1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</row>
    <row r="553" spans="1:32" ht="12.75" customHeight="1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</row>
    <row r="554" spans="1:32" ht="12.75" customHeight="1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</row>
    <row r="555" spans="1:32" ht="12.75" customHeight="1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</row>
    <row r="556" spans="1:32" ht="12.75" customHeight="1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</row>
    <row r="557" spans="1:32" ht="12.75" customHeight="1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</row>
    <row r="558" spans="1:32" ht="12.75" customHeight="1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</row>
    <row r="559" spans="1:32" ht="12.75" customHeight="1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</row>
    <row r="560" spans="1:32" ht="12.75" customHeight="1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</row>
    <row r="561" spans="1:32" ht="12.75" customHeight="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</row>
    <row r="562" spans="1:32" ht="12.75" customHeight="1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</row>
    <row r="563" spans="1:32" ht="12.75" customHeight="1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</row>
    <row r="564" spans="1:32" ht="12.75" customHeight="1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</row>
    <row r="565" spans="1:32" ht="12.75" customHeight="1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</row>
    <row r="566" spans="1:32" ht="12.75" customHeight="1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</row>
    <row r="567" spans="1:32" ht="12.75" customHeight="1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</row>
    <row r="568" spans="1:32" ht="12.75" customHeight="1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</row>
    <row r="569" spans="1:32" ht="12.75" customHeight="1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</row>
    <row r="570" spans="1:32" ht="12.75" customHeight="1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</row>
    <row r="571" spans="1:32" ht="12.75" customHeight="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</row>
    <row r="572" spans="1:32" ht="12.75" customHeight="1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</row>
    <row r="573" spans="1:32" ht="12.75" customHeight="1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</row>
    <row r="574" spans="1:32" ht="12.75" customHeight="1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</row>
    <row r="575" spans="1:32" ht="12.75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</row>
    <row r="576" spans="1:32" ht="12.75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</row>
    <row r="577" spans="1:32" ht="12.75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</row>
    <row r="578" spans="1:32" ht="12.75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</row>
    <row r="579" spans="1:32" ht="12.75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</row>
    <row r="580" spans="1:32" ht="12.75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</row>
    <row r="581" spans="1:32" ht="12.75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</row>
    <row r="582" spans="1:32" ht="12.75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</row>
    <row r="583" spans="1:32" ht="12.75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</row>
    <row r="584" spans="1:32" ht="12.75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</row>
    <row r="585" spans="1:32" ht="12.75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</row>
    <row r="586" spans="1:32" ht="12.75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</row>
    <row r="587" spans="1:32" ht="12.75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</row>
    <row r="588" spans="1:32" ht="12.75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</row>
    <row r="589" spans="1:32" ht="12.75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</row>
    <row r="590" spans="1:32" ht="12.75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</row>
    <row r="591" spans="1:32" ht="12.75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</row>
    <row r="592" spans="1:32" ht="12.75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</row>
    <row r="593" spans="1:32" ht="12.75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</row>
    <row r="594" spans="1:32" ht="12.75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</row>
    <row r="595" spans="1:32" ht="12.75" customHeight="1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</row>
    <row r="596" spans="1:32" ht="12.75" customHeight="1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</row>
    <row r="597" spans="1:32" ht="12.75" customHeight="1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</row>
    <row r="598" spans="1:32" ht="12.75" customHeight="1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</row>
    <row r="599" spans="1:32" ht="12.75" customHeight="1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</row>
    <row r="600" spans="1:32" ht="12.75" customHeight="1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</row>
    <row r="601" spans="1:32" ht="12.75" customHeight="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</row>
    <row r="602" spans="1:32" ht="12.75" customHeight="1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</row>
    <row r="603" spans="1:32" ht="12.75" customHeight="1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</row>
    <row r="604" spans="1:32" ht="12.75" customHeight="1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</row>
    <row r="605" spans="1:32" ht="12.75" customHeight="1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</row>
    <row r="606" spans="1:32" ht="12.75" customHeight="1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</row>
    <row r="607" spans="1:32" ht="12.75" customHeight="1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</row>
    <row r="608" spans="1:32" ht="12.75" customHeight="1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</row>
    <row r="609" spans="1:32" ht="12.75" customHeight="1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</row>
    <row r="610" spans="1:32" ht="12.75" customHeight="1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</row>
    <row r="611" spans="1:32" ht="12.75" customHeight="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</row>
    <row r="612" spans="1:32" ht="12.75" customHeight="1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</row>
    <row r="613" spans="1:32" ht="12.75" customHeight="1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</row>
    <row r="614" spans="1:32" ht="12.75" customHeight="1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</row>
    <row r="615" spans="1:32" ht="12.75" customHeight="1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</row>
    <row r="616" spans="1:32" ht="12.75" customHeight="1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</row>
    <row r="617" spans="1:32" ht="12.75" customHeight="1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</row>
    <row r="618" spans="1:32" ht="12.75" customHeight="1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</row>
    <row r="619" spans="1:32" ht="12.75" customHeight="1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</row>
    <row r="620" spans="1:32" ht="12.75" customHeight="1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</row>
    <row r="621" spans="1:32" ht="12.75" customHeight="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</row>
    <row r="622" spans="1:32" ht="12.75" customHeight="1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</row>
    <row r="623" spans="1:32" ht="12.75" customHeight="1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</row>
    <row r="624" spans="1:32" ht="12.75" customHeight="1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</row>
    <row r="625" spans="1:32" ht="12.75" customHeight="1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</row>
    <row r="626" spans="1:32" ht="12.75" customHeight="1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</row>
    <row r="627" spans="1:32" ht="12.75" customHeight="1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</row>
    <row r="628" spans="1:32" ht="12.75" customHeight="1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</row>
    <row r="629" spans="1:32" ht="12.75" customHeight="1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</row>
    <row r="630" spans="1:32" ht="12.75" customHeight="1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</row>
    <row r="631" spans="1:32" ht="12.75" customHeight="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</row>
    <row r="632" spans="1:32" ht="12.75" customHeight="1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</row>
    <row r="633" spans="1:32" ht="12.75" customHeight="1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</row>
    <row r="634" spans="1:32" ht="12.75" customHeight="1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</row>
    <row r="635" spans="1:32" ht="12.75" customHeight="1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</row>
    <row r="636" spans="1:32" ht="12.75" customHeight="1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</row>
    <row r="637" spans="1:32" ht="12.75" customHeight="1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</row>
    <row r="638" spans="1:32" ht="12.75" customHeight="1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</row>
    <row r="639" spans="1:32" ht="12.75" customHeight="1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</row>
    <row r="640" spans="1:32" ht="12.75" customHeight="1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</row>
    <row r="641" spans="1:32" ht="12.75" customHeight="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</row>
    <row r="642" spans="1:32" ht="12.75" customHeight="1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</row>
    <row r="643" spans="1:32" ht="12.75" customHeight="1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</row>
    <row r="644" spans="1:32" ht="12.75" customHeight="1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</row>
    <row r="645" spans="1:32" ht="12.75" customHeight="1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</row>
    <row r="646" spans="1:32" ht="12.75" customHeight="1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</row>
    <row r="647" spans="1:32" ht="12.75" customHeight="1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</row>
    <row r="648" spans="1:32" ht="12.75" customHeight="1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</row>
    <row r="649" spans="1:32" ht="12.75" customHeight="1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</row>
    <row r="650" spans="1:32" ht="12.75" customHeight="1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</row>
    <row r="651" spans="1:32" ht="12.75" customHeight="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</row>
    <row r="652" spans="1:32" ht="12.75" customHeight="1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</row>
    <row r="653" spans="1:32" ht="12.75" customHeight="1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</row>
    <row r="654" spans="1:32" ht="12.75" customHeight="1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</row>
    <row r="655" spans="1:32" ht="12.75" customHeight="1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</row>
    <row r="656" spans="1:32" ht="12.75" customHeight="1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</row>
    <row r="657" spans="1:32" ht="12.75" customHeight="1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</row>
    <row r="658" spans="1:32" ht="12.75" customHeight="1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</row>
    <row r="659" spans="1:32" ht="12.75" customHeight="1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</row>
    <row r="660" spans="1:32" ht="12.75" customHeight="1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</row>
    <row r="661" spans="1:32" ht="12.75" customHeight="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</row>
    <row r="662" spans="1:32" ht="12.75" customHeight="1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</row>
    <row r="663" spans="1:32" ht="12.75" customHeight="1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</row>
    <row r="664" spans="1:32" ht="12.75" customHeight="1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</row>
    <row r="665" spans="1:32" ht="12.75" customHeight="1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</row>
    <row r="666" spans="1:32" ht="12.75" customHeight="1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</row>
    <row r="667" spans="1:32" ht="12.75" customHeight="1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</row>
    <row r="668" spans="1:32" ht="12.75" customHeight="1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</row>
    <row r="669" spans="1:32" ht="12.75" customHeight="1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</row>
    <row r="670" spans="1:32" ht="12.75" customHeight="1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</row>
    <row r="671" spans="1:32" ht="12.75" customHeight="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</row>
    <row r="672" spans="1:32" ht="12.75" customHeight="1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</row>
    <row r="673" spans="1:32" ht="12.75" customHeight="1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</row>
    <row r="674" spans="1:32" ht="12.75" customHeight="1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</row>
    <row r="675" spans="1:32" ht="12.75" customHeight="1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</row>
    <row r="676" spans="1:32" ht="12.75" customHeight="1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</row>
    <row r="677" spans="1:32" ht="12.75" customHeight="1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</row>
    <row r="678" spans="1:32" ht="12.75" customHeight="1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</row>
    <row r="679" spans="1:32" ht="12.75" customHeight="1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</row>
    <row r="680" spans="1:32" ht="12.75" customHeight="1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</row>
    <row r="681" spans="1:32" ht="12.75" customHeight="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</row>
    <row r="682" spans="1:32" ht="12.75" customHeight="1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</row>
    <row r="683" spans="1:32" ht="12.75" customHeight="1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</row>
    <row r="684" spans="1:32" ht="12.75" customHeight="1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</row>
    <row r="685" spans="1:32" ht="12.75" customHeight="1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</row>
    <row r="686" spans="1:32" ht="12.75" customHeight="1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</row>
    <row r="687" spans="1:32" ht="12.75" customHeight="1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</row>
    <row r="688" spans="1:32" ht="12.75" customHeight="1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</row>
    <row r="689" spans="1:32" ht="12.75" customHeight="1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</row>
    <row r="690" spans="1:32" ht="12.75" customHeight="1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</row>
    <row r="691" spans="1:32" ht="12.75" customHeight="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</row>
    <row r="692" spans="1:32" ht="12.75" customHeight="1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</row>
    <row r="693" spans="1:32" ht="12.75" customHeight="1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</row>
    <row r="694" spans="1:32" ht="12.75" customHeight="1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</row>
    <row r="695" spans="1:32" ht="12.75" customHeight="1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</row>
    <row r="696" spans="1:32" ht="12.75" customHeight="1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</row>
    <row r="697" spans="1:32" ht="12.75" customHeight="1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</row>
    <row r="698" spans="1:32" ht="12.75" customHeight="1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</row>
    <row r="699" spans="1:32" ht="12.75" customHeight="1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</row>
    <row r="700" spans="1:32" ht="12.75" customHeight="1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</row>
    <row r="701" spans="1:32" ht="12.75" customHeight="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</row>
    <row r="702" spans="1:32" ht="12.75" customHeight="1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</row>
    <row r="703" spans="1:32" ht="12.75" customHeight="1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</row>
    <row r="704" spans="1:32" ht="12.75" customHeight="1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</row>
    <row r="705" spans="1:32" ht="12.75" customHeight="1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</row>
    <row r="706" spans="1:32" ht="12.75" customHeight="1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</row>
    <row r="707" spans="1:32" ht="12.75" customHeight="1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</row>
    <row r="708" spans="1:32" ht="12.75" customHeight="1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</row>
    <row r="709" spans="1:32" ht="12.75" customHeight="1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</row>
    <row r="710" spans="1:32" ht="12.75" customHeight="1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</row>
    <row r="711" spans="1:32" ht="12.75" customHeight="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</row>
    <row r="712" spans="1:32" ht="12.75" customHeight="1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</row>
    <row r="713" spans="1:32" ht="12.75" customHeight="1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</row>
    <row r="714" spans="1:32" ht="12.75" customHeight="1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</row>
    <row r="715" spans="1:32" ht="12.75" customHeight="1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</row>
    <row r="716" spans="1:32" ht="12.75" customHeight="1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</row>
    <row r="717" spans="1:32" ht="12.75" customHeight="1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</row>
    <row r="718" spans="1:32" ht="12.75" customHeight="1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</row>
    <row r="719" spans="1:32" ht="12.75" customHeight="1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</row>
    <row r="720" spans="1:32" ht="12.75" customHeight="1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</row>
    <row r="721" spans="1:32" ht="12.75" customHeight="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</row>
    <row r="722" spans="1:32" ht="12.75" customHeight="1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</row>
    <row r="723" spans="1:32" ht="12.75" customHeight="1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</row>
    <row r="724" spans="1:32" ht="12.75" customHeight="1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</row>
    <row r="725" spans="1:32" ht="12.75" customHeight="1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</row>
    <row r="726" spans="1:32" ht="12.75" customHeight="1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</row>
    <row r="727" spans="1:32" ht="12.75" customHeight="1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</row>
    <row r="728" spans="1:32" ht="12.75" customHeight="1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</row>
    <row r="729" spans="1:32" ht="12.75" customHeight="1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</row>
    <row r="730" spans="1:32" ht="12.75" customHeight="1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</row>
    <row r="731" spans="1:32" ht="12.75" customHeight="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</row>
    <row r="732" spans="1:32" ht="12.75" customHeight="1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</row>
    <row r="733" spans="1:32" ht="12.75" customHeight="1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</row>
    <row r="734" spans="1:32" ht="12.75" customHeight="1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</row>
    <row r="735" spans="1:32" ht="12.75" customHeight="1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</row>
    <row r="736" spans="1:32" ht="12.75" customHeight="1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</row>
    <row r="737" spans="1:32" ht="12.75" customHeight="1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</row>
    <row r="738" spans="1:32" ht="12.75" customHeight="1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</row>
    <row r="739" spans="1:32" ht="12.75" customHeight="1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</row>
    <row r="740" spans="1:32" ht="12.75" customHeight="1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</row>
    <row r="741" spans="1:32" ht="12.75" customHeight="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</row>
    <row r="742" spans="1:32" ht="12.75" customHeight="1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</row>
    <row r="743" spans="1:32" ht="12.75" customHeight="1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</row>
    <row r="744" spans="1:32" ht="12.75" customHeight="1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</row>
    <row r="745" spans="1:32" ht="12.75" customHeight="1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</row>
    <row r="746" spans="1:32" ht="12.75" customHeight="1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</row>
    <row r="747" spans="1:32" ht="12.75" customHeight="1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</row>
    <row r="748" spans="1:32" ht="12.75" customHeight="1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</row>
    <row r="749" spans="1:32" ht="12.75" customHeight="1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</row>
    <row r="750" spans="1:32" ht="12.75" customHeight="1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</row>
    <row r="751" spans="1:32" ht="12.75" customHeight="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</row>
    <row r="752" spans="1:32" ht="12.75" customHeight="1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</row>
    <row r="753" spans="1:32" ht="12.75" customHeight="1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</row>
    <row r="754" spans="1:32" ht="12.75" customHeight="1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</row>
    <row r="755" spans="1:32" ht="12.75" customHeight="1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</row>
    <row r="756" spans="1:32" ht="12.75" customHeight="1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</row>
    <row r="757" spans="1:32" ht="12.75" customHeight="1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</row>
    <row r="758" spans="1:32" ht="12.75" customHeight="1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</row>
    <row r="759" spans="1:32" ht="12.75" customHeight="1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</row>
    <row r="760" spans="1:32" ht="12.75" customHeight="1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</row>
    <row r="761" spans="1:32" ht="12.75" customHeight="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</row>
    <row r="762" spans="1:32" ht="12.75" customHeight="1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</row>
    <row r="763" spans="1:32" ht="12.75" customHeight="1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</row>
    <row r="764" spans="1:32" ht="12.75" customHeight="1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</row>
    <row r="765" spans="1:32" ht="12.75" customHeight="1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</row>
    <row r="766" spans="1:32" ht="12.75" customHeight="1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</row>
    <row r="767" spans="1:32" ht="12.75" customHeight="1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</row>
    <row r="768" spans="1:32" ht="12.75" customHeight="1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</row>
    <row r="769" spans="1:32" ht="12.75" customHeight="1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</row>
    <row r="770" spans="1:32" ht="12.75" customHeight="1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</row>
    <row r="771" spans="1:32" ht="12.75" customHeight="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</row>
    <row r="772" spans="1:32" ht="12.75" customHeight="1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</row>
    <row r="773" spans="1:32" ht="12.75" customHeight="1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</row>
    <row r="774" spans="1:32" ht="12.75" customHeight="1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</row>
    <row r="775" spans="1:32" ht="12.75" customHeight="1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</row>
    <row r="776" spans="1:32" ht="12.75" customHeight="1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</row>
    <row r="777" spans="1:32" ht="12.75" customHeight="1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</row>
    <row r="778" spans="1:32" ht="12.75" customHeight="1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</row>
    <row r="779" spans="1:32" ht="12.75" customHeight="1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</row>
    <row r="780" spans="1:32" ht="12.75" customHeight="1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</row>
    <row r="781" spans="1:32" ht="12.75" customHeight="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</row>
    <row r="782" spans="1:32" ht="12.75" customHeight="1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</row>
    <row r="783" spans="1:32" ht="12.75" customHeight="1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</row>
    <row r="784" spans="1:32" ht="12.75" customHeight="1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</row>
    <row r="785" spans="1:32" ht="12.75" customHeight="1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</row>
    <row r="786" spans="1:32" ht="12.75" customHeight="1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</row>
    <row r="787" spans="1:32" ht="12.75" customHeight="1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</row>
    <row r="788" spans="1:32" ht="12.75" customHeight="1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</row>
    <row r="789" spans="1:32" ht="12.75" customHeight="1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</row>
    <row r="790" spans="1:32" ht="12.75" customHeight="1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</row>
    <row r="791" spans="1:32" ht="12.75" customHeight="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</row>
    <row r="792" spans="1:32" ht="12.75" customHeight="1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</row>
    <row r="793" spans="1:32" ht="12.75" customHeight="1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</row>
    <row r="794" spans="1:32" ht="12.75" customHeight="1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</row>
    <row r="795" spans="1:32" ht="12.75" customHeight="1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</row>
    <row r="796" spans="1:32" ht="12.75" customHeight="1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</row>
    <row r="797" spans="1:32" ht="12.75" customHeight="1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</row>
    <row r="798" spans="1:32" ht="12.75" customHeight="1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</row>
    <row r="799" spans="1:32" ht="12.75" customHeight="1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</row>
    <row r="800" spans="1:32" ht="12.75" customHeight="1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</row>
    <row r="801" spans="1:32" ht="12.75" customHeight="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</row>
    <row r="802" spans="1:32" ht="12.75" customHeight="1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</row>
    <row r="803" spans="1:32" ht="12.75" customHeight="1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</row>
    <row r="804" spans="1:32" ht="12.75" customHeight="1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</row>
    <row r="805" spans="1:32" ht="12.75" customHeight="1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</row>
    <row r="806" spans="1:32" ht="12.75" customHeight="1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</row>
    <row r="807" spans="1:32" ht="12.75" customHeight="1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</row>
    <row r="808" spans="1:32" ht="12.75" customHeight="1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</row>
    <row r="809" spans="1:32" ht="12.75" customHeight="1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</row>
    <row r="810" spans="1:32" ht="12.75" customHeight="1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</row>
    <row r="811" spans="1:32" ht="12.75" customHeight="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</row>
    <row r="812" spans="1:32" ht="12.75" customHeight="1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</row>
    <row r="813" spans="1:32" ht="12.75" customHeight="1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</row>
    <row r="814" spans="1:32" ht="12.75" customHeight="1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</row>
    <row r="815" spans="1:32" ht="12.75" customHeight="1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</row>
    <row r="816" spans="1:32" ht="12.75" customHeight="1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</row>
    <row r="817" spans="1:32" ht="12.75" customHeight="1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</row>
    <row r="818" spans="1:32" ht="12.75" customHeight="1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</row>
    <row r="819" spans="1:32" ht="12.75" customHeight="1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</row>
    <row r="820" spans="1:32" ht="12.75" customHeight="1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</row>
    <row r="821" spans="1:32" ht="12.75" customHeight="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</row>
    <row r="822" spans="1:32" ht="12.75" customHeight="1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</row>
    <row r="823" spans="1:32" ht="12.75" customHeight="1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</row>
    <row r="824" spans="1:32" ht="12.75" customHeight="1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</row>
    <row r="825" spans="1:32" ht="12.75" customHeight="1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</row>
    <row r="826" spans="1:32" ht="12.75" customHeight="1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</row>
    <row r="827" spans="1:32" ht="12.75" customHeight="1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</row>
    <row r="828" spans="1:32" ht="12.75" customHeight="1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</row>
    <row r="829" spans="1:32" ht="12.75" customHeight="1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</row>
    <row r="830" spans="1:32" ht="12.75" customHeight="1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</row>
    <row r="831" spans="1:32" ht="12.75" customHeight="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</row>
    <row r="832" spans="1:32" ht="12.75" customHeight="1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</row>
    <row r="833" spans="1:32" ht="12.75" customHeight="1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</row>
    <row r="834" spans="1:32" ht="12.75" customHeight="1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</row>
    <row r="835" spans="1:32" ht="12.75" customHeight="1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</row>
    <row r="836" spans="1:32" ht="12.75" customHeight="1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</row>
    <row r="837" spans="1:32" ht="12.75" customHeight="1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</row>
    <row r="838" spans="1:32" ht="12.75" customHeight="1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</row>
    <row r="839" spans="1:32" ht="12.75" customHeight="1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</row>
    <row r="840" spans="1:32" ht="12.75" customHeight="1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</row>
    <row r="841" spans="1:32" ht="12.75" customHeight="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</row>
    <row r="842" spans="1:32" ht="12.75" customHeight="1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</row>
    <row r="843" spans="1:32" ht="12.75" customHeight="1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</row>
    <row r="844" spans="1:32" ht="12.75" customHeight="1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</row>
    <row r="845" spans="1:32" ht="12.75" customHeight="1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</row>
    <row r="846" spans="1:32" ht="12.75" customHeight="1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</row>
    <row r="847" spans="1:32" ht="12.75" customHeight="1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</row>
    <row r="848" spans="1:32" ht="12.75" customHeight="1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</row>
    <row r="849" spans="1:32" ht="12.75" customHeight="1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</row>
    <row r="850" spans="1:32" ht="12.75" customHeight="1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</row>
    <row r="851" spans="1:32" ht="12.75" customHeight="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</row>
    <row r="852" spans="1:32" ht="12.75" customHeight="1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</row>
    <row r="853" spans="1:32" ht="12.75" customHeight="1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</row>
    <row r="854" spans="1:32" ht="12.75" customHeight="1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</row>
    <row r="855" spans="1:32" ht="12.75" customHeight="1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</row>
    <row r="856" spans="1:32" ht="12.75" customHeight="1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</row>
    <row r="857" spans="1:32" ht="12.75" customHeight="1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</row>
    <row r="858" spans="1:32" ht="12.75" customHeight="1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</row>
    <row r="859" spans="1:32" ht="12.75" customHeight="1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</row>
    <row r="860" spans="1:32" ht="12.75" customHeight="1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</row>
    <row r="861" spans="1:32" ht="12.75" customHeight="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</row>
    <row r="862" spans="1:32" ht="12.75" customHeight="1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</row>
    <row r="863" spans="1:32" ht="12.75" customHeight="1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</row>
    <row r="864" spans="1:32" ht="12.75" customHeight="1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</row>
    <row r="865" spans="1:32" ht="12.75" customHeight="1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</row>
    <row r="866" spans="1:32" ht="12.75" customHeight="1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</row>
    <row r="867" spans="1:32" ht="12.75" customHeight="1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</row>
    <row r="868" spans="1:32" ht="12.75" customHeight="1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</row>
    <row r="869" spans="1:32" ht="12.75" customHeight="1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</row>
    <row r="870" spans="1:32" ht="12.75" customHeight="1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</row>
    <row r="871" spans="1:32" ht="12.75" customHeight="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</row>
    <row r="872" spans="1:32" ht="12.75" customHeight="1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</row>
    <row r="873" spans="1:32" ht="12.75" customHeight="1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</row>
    <row r="874" spans="1:32" ht="12.75" customHeight="1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</row>
    <row r="875" spans="1:32" ht="12.75" customHeight="1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</row>
    <row r="876" spans="1:32" ht="12.75" customHeight="1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</row>
    <row r="877" spans="1:32" ht="12.75" customHeight="1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</row>
    <row r="878" spans="1:32" ht="12.75" customHeight="1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</row>
    <row r="879" spans="1:32" ht="12.75" customHeight="1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</row>
    <row r="880" spans="1:32" ht="12.75" customHeight="1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</row>
    <row r="881" spans="1:32" ht="12.75" customHeight="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</row>
    <row r="882" spans="1:32" ht="12.75" customHeight="1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</row>
    <row r="883" spans="1:32" ht="12.75" customHeight="1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</row>
    <row r="884" spans="1:32" ht="12.75" customHeight="1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</row>
    <row r="885" spans="1:32" ht="12.75" customHeight="1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</row>
    <row r="886" spans="1:32" ht="12.75" customHeight="1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</row>
    <row r="887" spans="1:32" ht="12.75" customHeight="1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</row>
    <row r="888" spans="1:32" ht="12.75" customHeight="1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</row>
    <row r="889" spans="1:32" ht="12.75" customHeight="1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</row>
    <row r="890" spans="1:32" ht="12.75" customHeight="1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</row>
    <row r="891" spans="1:32" ht="12.75" customHeight="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</row>
    <row r="892" spans="1:32" ht="12.75" customHeight="1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</row>
    <row r="893" spans="1:32" ht="12.75" customHeight="1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</row>
    <row r="894" spans="1:32" ht="12.75" customHeight="1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</row>
    <row r="895" spans="1:32" ht="12.75" customHeight="1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</row>
    <row r="896" spans="1:32" ht="12.75" customHeight="1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</row>
    <row r="897" spans="1:32" ht="12.75" customHeight="1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</row>
    <row r="898" spans="1:32" ht="12.75" customHeight="1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</row>
    <row r="899" spans="1:32" ht="12.75" customHeight="1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</row>
    <row r="900" spans="1:32" ht="12.75" customHeight="1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</row>
    <row r="901" spans="1:32" ht="12.75" customHeight="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</row>
    <row r="902" spans="1:32" ht="12.75" customHeight="1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</row>
    <row r="903" spans="1:32" ht="12.75" customHeight="1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</row>
    <row r="904" spans="1:32" ht="12.75" customHeight="1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</row>
    <row r="905" spans="1:32" ht="12.75" customHeight="1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</row>
    <row r="906" spans="1:32" ht="12.75" customHeight="1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</row>
    <row r="907" spans="1:32" ht="12.75" customHeight="1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</row>
    <row r="908" spans="1:32" ht="12.75" customHeight="1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</row>
    <row r="909" spans="1:32" ht="12.75" customHeight="1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</row>
    <row r="910" spans="1:32" ht="12.75" customHeight="1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</row>
    <row r="911" spans="1:32" ht="12.75" customHeight="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</row>
    <row r="912" spans="1:32" ht="12.75" customHeight="1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</row>
    <row r="913" spans="1:32" ht="12.75" customHeight="1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</row>
    <row r="914" spans="1:32" ht="12.75" customHeight="1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</row>
    <row r="915" spans="1:32" ht="12.75" customHeight="1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</row>
    <row r="916" spans="1:32" ht="12.75" customHeight="1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</row>
    <row r="917" spans="1:32" ht="12.75" customHeight="1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</row>
    <row r="918" spans="1:32" ht="12.75" customHeight="1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</row>
    <row r="919" spans="1:32" ht="12.75" customHeight="1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</row>
    <row r="920" spans="1:32" ht="12.75" customHeight="1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</row>
    <row r="921" spans="1:32" ht="12.75" customHeight="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</row>
    <row r="922" spans="1:32" ht="12.75" customHeight="1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</row>
    <row r="923" spans="1:32" ht="12.75" customHeight="1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</row>
    <row r="924" spans="1:32" ht="12.75" customHeight="1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</row>
    <row r="925" spans="1:32" ht="12.75" customHeight="1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</row>
    <row r="926" spans="1:32" ht="12.75" customHeight="1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</row>
    <row r="927" spans="1:32" ht="12.75" customHeight="1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</row>
    <row r="928" spans="1:32" ht="12.75" customHeight="1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</row>
    <row r="929" spans="1:32" ht="12.75" customHeight="1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</row>
    <row r="930" spans="1:32" ht="12.75" customHeight="1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</row>
    <row r="931" spans="1:32" ht="12.75" customHeight="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</row>
    <row r="932" spans="1:32" ht="12.75" customHeight="1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</row>
    <row r="933" spans="1:32" ht="12.75" customHeight="1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</row>
    <row r="934" spans="1:32" ht="12.75" customHeight="1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</row>
    <row r="935" spans="1:32" ht="12.75" customHeight="1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</row>
    <row r="936" spans="1:32" ht="12.75" customHeight="1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</row>
    <row r="937" spans="1:32" ht="12.75" customHeight="1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</row>
    <row r="938" spans="1:32" ht="12.75" customHeight="1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</row>
    <row r="939" spans="1:32" ht="12.75" customHeight="1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</row>
    <row r="940" spans="1:32" ht="12.75" customHeight="1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</row>
    <row r="941" spans="1:32" ht="12.75" customHeight="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</row>
    <row r="942" spans="1:32" ht="12.75" customHeight="1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</row>
    <row r="943" spans="1:32" ht="12.75" customHeight="1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</row>
    <row r="944" spans="1:32" ht="12.75" customHeight="1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</row>
    <row r="945" spans="1:32" ht="12.75" customHeight="1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</row>
    <row r="946" spans="1:32" ht="12.75" customHeight="1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</row>
    <row r="947" spans="1:32" ht="12.75" customHeight="1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</row>
    <row r="948" spans="1:32" ht="12.75" customHeight="1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</row>
    <row r="949" spans="1:32" ht="12.75" customHeight="1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</row>
    <row r="950" spans="1:32" ht="12.75" customHeight="1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</row>
    <row r="951" spans="1:32" ht="12.75" customHeight="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</row>
    <row r="952" spans="1:32" ht="12.75" customHeight="1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</row>
    <row r="953" spans="1:32" ht="12.75" customHeight="1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</row>
    <row r="954" spans="1:32" ht="12.75" customHeight="1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</row>
    <row r="955" spans="1:32" ht="12.75" customHeight="1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</row>
    <row r="956" spans="1:32" ht="12.75" customHeight="1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</row>
    <row r="957" spans="1:32" ht="12.75" customHeight="1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</row>
    <row r="958" spans="1:32" ht="12.75" customHeight="1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</row>
    <row r="959" spans="1:32" ht="12.75" customHeight="1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</row>
    <row r="960" spans="1:32" ht="12.75" customHeight="1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</row>
    <row r="961" spans="1:32" ht="12.75" customHeight="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</row>
    <row r="962" spans="1:32" ht="12.75" customHeight="1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</row>
    <row r="963" spans="1:32" ht="12.75" customHeight="1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</row>
    <row r="964" spans="1:32" ht="12.75" customHeight="1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</row>
    <row r="965" spans="1:32" ht="12.75" customHeight="1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</row>
    <row r="966" spans="1:32" ht="12.75" customHeight="1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</row>
    <row r="967" spans="1:32" ht="12.75" customHeight="1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</row>
    <row r="968" spans="1:32" ht="12.75" customHeight="1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</row>
    <row r="969" spans="1:32" ht="12.75" customHeight="1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</row>
    <row r="970" spans="1:32" ht="12.75" customHeight="1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</row>
    <row r="971" spans="1:32" ht="12.75" customHeight="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</row>
    <row r="972" spans="1:32" ht="12.75" customHeight="1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</row>
    <row r="973" spans="1:32" ht="12.75" customHeight="1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</row>
    <row r="974" spans="1:32" ht="12.75" customHeight="1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</row>
    <row r="975" spans="1:32" ht="12.75" customHeight="1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</row>
    <row r="976" spans="1:32" ht="12.75" customHeight="1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</row>
    <row r="977" spans="1:32" ht="12.75" customHeight="1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</row>
    <row r="978" spans="1:32" ht="12.75" customHeight="1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</row>
    <row r="979" spans="1:32" ht="12.75" customHeight="1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</row>
    <row r="980" spans="1:32" ht="12.75" customHeight="1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</row>
    <row r="981" spans="1:32" ht="12.75" customHeight="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</row>
    <row r="982" spans="1:32" ht="12.75" customHeight="1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</row>
    <row r="983" spans="1:32" ht="12.75" customHeight="1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</row>
    <row r="984" spans="1:32" ht="12.75" customHeight="1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</row>
    <row r="985" spans="1:32" ht="12.75" customHeight="1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</row>
    <row r="986" spans="1:32" ht="12.75" customHeight="1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</row>
    <row r="987" spans="1:32" ht="12.75" customHeight="1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</row>
    <row r="988" spans="1:32" ht="12.75" customHeight="1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</row>
    <row r="989" spans="1:32" ht="12.75" customHeight="1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</row>
    <row r="990" spans="1:32" ht="12.75" customHeight="1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</row>
    <row r="991" spans="1:32" ht="12.75" customHeight="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</row>
    <row r="992" spans="1:32" ht="12.75" customHeight="1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</row>
    <row r="993" spans="1:32" ht="12.75" customHeight="1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</row>
    <row r="994" spans="1:32" ht="12.75" customHeight="1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</row>
    <row r="995" spans="1:32" ht="12.75" customHeight="1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</row>
    <row r="996" spans="1:32" ht="12.75" customHeight="1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</row>
    <row r="997" spans="1:32" ht="12.75" customHeight="1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</row>
    <row r="998" spans="1:32" ht="12.75" customHeight="1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</row>
    <row r="999" spans="1:32" ht="12.75" customHeight="1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</row>
    <row r="1000" spans="1:32" ht="12.75" customHeight="1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</row>
    <row r="1001" spans="1:32" ht="12.75" customHeight="1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  <c r="AA1001" s="46"/>
      <c r="AB1001" s="46"/>
      <c r="AC1001" s="46"/>
      <c r="AD1001" s="46"/>
      <c r="AE1001" s="46"/>
      <c r="AF1001" s="46"/>
    </row>
  </sheetData>
  <mergeCells count="9">
    <mergeCell ref="E47:O47"/>
    <mergeCell ref="E48:O48"/>
    <mergeCell ref="B2:L2"/>
    <mergeCell ref="Q3:S3"/>
    <mergeCell ref="B13:L13"/>
    <mergeCell ref="E43:O43"/>
    <mergeCell ref="E44:O44"/>
    <mergeCell ref="E45:O45"/>
    <mergeCell ref="E46:O46"/>
  </mergeCells>
  <pageMargins left="0.31" right="0.11" top="1" bottom="1" header="0" footer="0"/>
  <pageSetup paperSize="9" scale="55" orientation="landscape" r:id="rId1"/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defaultColWidth="12.5546875" defaultRowHeight="15" customHeight="1"/>
  <cols>
    <col min="1" max="1" width="3.33203125" customWidth="1"/>
    <col min="4" max="4" width="39.6640625" customWidth="1"/>
    <col min="5" max="8" width="4.5546875" customWidth="1"/>
    <col min="9" max="9" width="49.44140625" customWidth="1"/>
    <col min="10" max="11" width="20.6640625" customWidth="1"/>
  </cols>
  <sheetData>
    <row r="1" spans="1:14" ht="12" customHeight="1">
      <c r="A1" s="7"/>
      <c r="B1" s="70"/>
      <c r="C1" s="70"/>
      <c r="D1" s="70"/>
      <c r="E1" s="70"/>
      <c r="F1" s="71"/>
      <c r="G1" s="70"/>
      <c r="H1" s="70"/>
      <c r="I1" s="70"/>
      <c r="J1" s="70"/>
      <c r="K1" s="70"/>
      <c r="L1" s="5"/>
      <c r="M1" s="5"/>
      <c r="N1" s="5"/>
    </row>
    <row r="2" spans="1:14" ht="27" customHeight="1">
      <c r="A2" s="7"/>
      <c r="B2" s="14"/>
      <c r="C2" s="13" t="s">
        <v>12</v>
      </c>
      <c r="D2" s="14" t="s">
        <v>13</v>
      </c>
      <c r="E2" s="14" t="s">
        <v>14</v>
      </c>
      <c r="F2" s="72" t="s">
        <v>15</v>
      </c>
      <c r="G2" s="14" t="s">
        <v>16</v>
      </c>
      <c r="H2" s="14" t="s">
        <v>17</v>
      </c>
      <c r="I2" s="14" t="s">
        <v>18</v>
      </c>
      <c r="J2" s="94" t="s">
        <v>19</v>
      </c>
      <c r="K2" s="92"/>
      <c r="L2" s="5"/>
      <c r="M2" s="5"/>
      <c r="N2" s="5"/>
    </row>
    <row r="3" spans="1:14" ht="88.2">
      <c r="A3" s="16"/>
      <c r="B3" s="73" t="s">
        <v>20</v>
      </c>
      <c r="C3" s="17" t="s">
        <v>31</v>
      </c>
      <c r="D3" s="18" t="s">
        <v>32</v>
      </c>
      <c r="E3" s="21"/>
      <c r="F3" s="74" t="s">
        <v>191</v>
      </c>
      <c r="G3" s="10"/>
      <c r="H3" s="10"/>
      <c r="I3" s="75" t="s">
        <v>192</v>
      </c>
      <c r="J3" s="121" t="s">
        <v>193</v>
      </c>
      <c r="K3" s="92"/>
      <c r="L3" s="22"/>
      <c r="M3" s="22"/>
      <c r="N3" s="22"/>
    </row>
    <row r="4" spans="1:14" ht="63">
      <c r="A4" s="24"/>
      <c r="B4" s="118" t="s">
        <v>194</v>
      </c>
      <c r="C4" s="17" t="s">
        <v>44</v>
      </c>
      <c r="D4" s="25" t="s">
        <v>45</v>
      </c>
      <c r="E4" s="10"/>
      <c r="F4" s="76"/>
      <c r="G4" s="27"/>
      <c r="H4" s="27" t="s">
        <v>195</v>
      </c>
      <c r="I4" s="75" t="s">
        <v>196</v>
      </c>
      <c r="J4" s="122" t="s">
        <v>197</v>
      </c>
      <c r="K4" s="92"/>
      <c r="L4" s="20" t="e">
        <f t="shared" ref="L4:N4" si="0">(#REF!)/(#REF!+#REF!+#REF!)</f>
        <v>#REF!</v>
      </c>
      <c r="M4" s="20" t="e">
        <f t="shared" si="0"/>
        <v>#REF!</v>
      </c>
      <c r="N4" s="20" t="e">
        <f t="shared" si="0"/>
        <v>#REF!</v>
      </c>
    </row>
    <row r="5" spans="1:14" ht="37.799999999999997">
      <c r="A5" s="24"/>
      <c r="B5" s="119"/>
      <c r="C5" s="17" t="s">
        <v>46</v>
      </c>
      <c r="D5" s="25" t="s">
        <v>47</v>
      </c>
      <c r="E5" s="21"/>
      <c r="F5" s="76"/>
      <c r="G5" s="27"/>
      <c r="H5" s="27" t="s">
        <v>195</v>
      </c>
      <c r="I5" s="75" t="s">
        <v>198</v>
      </c>
      <c r="J5" s="122" t="s">
        <v>199</v>
      </c>
      <c r="K5" s="92"/>
      <c r="L5" s="22"/>
      <c r="M5" s="22"/>
      <c r="N5" s="22"/>
    </row>
    <row r="6" spans="1:14" ht="96" customHeight="1">
      <c r="A6" s="24"/>
      <c r="B6" s="119"/>
      <c r="C6" s="17" t="s">
        <v>54</v>
      </c>
      <c r="D6" s="25" t="s">
        <v>55</v>
      </c>
      <c r="E6" s="21"/>
      <c r="F6" s="76"/>
      <c r="G6" s="27"/>
      <c r="H6" s="27" t="s">
        <v>195</v>
      </c>
      <c r="I6" s="75" t="s">
        <v>200</v>
      </c>
      <c r="J6" s="122" t="s">
        <v>201</v>
      </c>
      <c r="K6" s="92"/>
      <c r="L6" s="22"/>
      <c r="M6" s="22"/>
      <c r="N6" s="22"/>
    </row>
    <row r="7" spans="1:14" ht="37.799999999999997">
      <c r="A7" s="24"/>
      <c r="B7" s="119"/>
      <c r="C7" s="17" t="s">
        <v>58</v>
      </c>
      <c r="D7" s="25" t="s">
        <v>59</v>
      </c>
      <c r="E7" s="21"/>
      <c r="F7" s="76"/>
      <c r="G7" s="27"/>
      <c r="H7" s="27" t="s">
        <v>195</v>
      </c>
      <c r="I7" s="75" t="s">
        <v>202</v>
      </c>
      <c r="J7" s="122" t="s">
        <v>203</v>
      </c>
      <c r="K7" s="92"/>
      <c r="L7" s="22"/>
      <c r="M7" s="22"/>
      <c r="N7" s="22"/>
    </row>
    <row r="8" spans="1:14" ht="96" customHeight="1">
      <c r="A8" s="24"/>
      <c r="B8" s="120"/>
      <c r="C8" s="17" t="s">
        <v>64</v>
      </c>
      <c r="D8" s="25" t="s">
        <v>65</v>
      </c>
      <c r="E8" s="21"/>
      <c r="F8" s="76"/>
      <c r="G8" s="27"/>
      <c r="H8" s="27" t="s">
        <v>195</v>
      </c>
      <c r="I8" s="75" t="s">
        <v>204</v>
      </c>
      <c r="J8" s="91" t="s">
        <v>205</v>
      </c>
      <c r="K8" s="92"/>
      <c r="L8" s="22"/>
      <c r="M8" s="22"/>
      <c r="N8" s="22"/>
    </row>
    <row r="9" spans="1:14" ht="138.6">
      <c r="A9" s="24"/>
      <c r="B9" s="118" t="s">
        <v>66</v>
      </c>
      <c r="C9" s="17" t="s">
        <v>69</v>
      </c>
      <c r="D9" s="25" t="s">
        <v>70</v>
      </c>
      <c r="E9" s="21"/>
      <c r="F9" s="76"/>
      <c r="G9" s="27"/>
      <c r="H9" s="27" t="s">
        <v>195</v>
      </c>
      <c r="I9" s="77" t="s">
        <v>206</v>
      </c>
      <c r="J9" s="93" t="s">
        <v>207</v>
      </c>
      <c r="K9" s="92"/>
      <c r="L9" s="22"/>
      <c r="M9" s="22"/>
      <c r="N9" s="22"/>
    </row>
    <row r="10" spans="1:14" ht="153.75" customHeight="1">
      <c r="A10" s="24"/>
      <c r="B10" s="120"/>
      <c r="C10" s="31">
        <v>44626</v>
      </c>
      <c r="D10" s="25" t="s">
        <v>71</v>
      </c>
      <c r="E10" s="21"/>
      <c r="F10" s="76" t="s">
        <v>195</v>
      </c>
      <c r="G10" s="27"/>
      <c r="H10" s="27"/>
      <c r="I10" s="77" t="s">
        <v>208</v>
      </c>
      <c r="J10" s="123" t="s">
        <v>209</v>
      </c>
      <c r="K10" s="92"/>
      <c r="L10" s="22"/>
      <c r="M10" s="22"/>
      <c r="N10" s="22"/>
    </row>
    <row r="11" spans="1:14" ht="106.5" customHeight="1">
      <c r="A11" s="24"/>
      <c r="B11" s="118" t="s">
        <v>210</v>
      </c>
      <c r="C11" s="17" t="s">
        <v>77</v>
      </c>
      <c r="D11" s="25" t="s">
        <v>78</v>
      </c>
      <c r="E11" s="10"/>
      <c r="F11" s="76" t="s">
        <v>195</v>
      </c>
      <c r="G11" s="27"/>
      <c r="H11" s="27"/>
      <c r="I11" s="75" t="s">
        <v>211</v>
      </c>
      <c r="J11" s="91" t="s">
        <v>212</v>
      </c>
      <c r="K11" s="92"/>
      <c r="L11" s="20" t="e">
        <f>(L10)/(L10+M10+N10)</f>
        <v>#DIV/0!</v>
      </c>
      <c r="M11" s="20" t="e">
        <f>(M10)/(L10+M10+N10)</f>
        <v>#DIV/0!</v>
      </c>
      <c r="N11" s="20" t="e">
        <f>(N10)/(L10+M10+N10)</f>
        <v>#DIV/0!</v>
      </c>
    </row>
    <row r="12" spans="1:14" ht="88.2">
      <c r="A12" s="24"/>
      <c r="B12" s="119"/>
      <c r="C12" s="17" t="s">
        <v>83</v>
      </c>
      <c r="D12" s="25" t="s">
        <v>213</v>
      </c>
      <c r="E12" s="21"/>
      <c r="F12" s="76"/>
      <c r="G12" s="27"/>
      <c r="H12" s="27" t="s">
        <v>195</v>
      </c>
      <c r="I12" s="75" t="s">
        <v>214</v>
      </c>
      <c r="J12" s="91" t="s">
        <v>215</v>
      </c>
      <c r="K12" s="92"/>
      <c r="L12" s="22"/>
      <c r="M12" s="22"/>
      <c r="N12" s="22"/>
    </row>
    <row r="13" spans="1:14" ht="88.2">
      <c r="A13" s="24"/>
      <c r="B13" s="119"/>
      <c r="C13" s="17" t="s">
        <v>111</v>
      </c>
      <c r="D13" s="25" t="s">
        <v>112</v>
      </c>
      <c r="E13" s="21"/>
      <c r="F13" s="76" t="s">
        <v>195</v>
      </c>
      <c r="G13" s="27"/>
      <c r="H13" s="27"/>
      <c r="I13" s="75" t="s">
        <v>216</v>
      </c>
      <c r="J13" s="91" t="s">
        <v>217</v>
      </c>
      <c r="K13" s="92"/>
      <c r="L13" s="22"/>
      <c r="M13" s="22"/>
      <c r="N13" s="22"/>
    </row>
    <row r="14" spans="1:14" ht="96" customHeight="1">
      <c r="A14" s="24"/>
      <c r="B14" s="119"/>
      <c r="C14" s="17" t="s">
        <v>121</v>
      </c>
      <c r="D14" s="25" t="s">
        <v>122</v>
      </c>
      <c r="E14" s="21"/>
      <c r="F14" s="76" t="s">
        <v>195</v>
      </c>
      <c r="G14" s="27"/>
      <c r="H14" s="27"/>
      <c r="I14" s="75" t="s">
        <v>218</v>
      </c>
      <c r="J14" s="91" t="s">
        <v>219</v>
      </c>
      <c r="K14" s="92"/>
      <c r="L14" s="22"/>
      <c r="M14" s="22"/>
      <c r="N14" s="22"/>
    </row>
    <row r="15" spans="1:14" ht="96" customHeight="1">
      <c r="A15" s="24"/>
      <c r="B15" s="119"/>
      <c r="C15" s="17" t="s">
        <v>125</v>
      </c>
      <c r="D15" s="25" t="s">
        <v>126</v>
      </c>
      <c r="E15" s="21"/>
      <c r="F15" s="76"/>
      <c r="G15" s="27"/>
      <c r="H15" s="27" t="s">
        <v>195</v>
      </c>
      <c r="I15" s="78" t="s">
        <v>220</v>
      </c>
      <c r="J15" s="91" t="s">
        <v>221</v>
      </c>
      <c r="K15" s="92"/>
      <c r="L15" s="22"/>
      <c r="M15" s="22"/>
      <c r="N15" s="22"/>
    </row>
    <row r="16" spans="1:14" ht="96" customHeight="1">
      <c r="A16" s="24"/>
      <c r="B16" s="119"/>
      <c r="C16" s="17" t="s">
        <v>127</v>
      </c>
      <c r="D16" s="25" t="s">
        <v>128</v>
      </c>
      <c r="E16" s="21"/>
      <c r="F16" s="76"/>
      <c r="G16" s="27"/>
      <c r="H16" s="27" t="s">
        <v>195</v>
      </c>
      <c r="I16" s="78" t="s">
        <v>222</v>
      </c>
      <c r="J16" s="91" t="s">
        <v>223</v>
      </c>
      <c r="K16" s="92"/>
      <c r="L16" s="22"/>
      <c r="M16" s="22"/>
      <c r="N16" s="22"/>
    </row>
    <row r="17" spans="1:14" ht="96" customHeight="1">
      <c r="A17" s="24"/>
      <c r="B17" s="119"/>
      <c r="C17" s="17" t="s">
        <v>131</v>
      </c>
      <c r="D17" s="25" t="s">
        <v>132</v>
      </c>
      <c r="E17" s="21"/>
      <c r="F17" s="76"/>
      <c r="G17" s="27"/>
      <c r="H17" s="27" t="s">
        <v>195</v>
      </c>
      <c r="I17" s="75" t="s">
        <v>224</v>
      </c>
      <c r="J17" s="91" t="s">
        <v>225</v>
      </c>
      <c r="K17" s="92"/>
      <c r="L17" s="22"/>
      <c r="M17" s="22"/>
      <c r="N17" s="22"/>
    </row>
    <row r="18" spans="1:14" ht="201.6">
      <c r="A18" s="24"/>
      <c r="B18" s="119"/>
      <c r="C18" s="17" t="s">
        <v>133</v>
      </c>
      <c r="D18" s="25" t="s">
        <v>134</v>
      </c>
      <c r="E18" s="21"/>
      <c r="F18" s="76" t="s">
        <v>195</v>
      </c>
      <c r="G18" s="27"/>
      <c r="H18" s="27"/>
      <c r="I18" s="75" t="s">
        <v>226</v>
      </c>
      <c r="J18" s="91" t="s">
        <v>227</v>
      </c>
      <c r="K18" s="92"/>
      <c r="L18" s="22"/>
      <c r="M18" s="22"/>
      <c r="N18" s="22"/>
    </row>
    <row r="19" spans="1:14" ht="96" customHeight="1">
      <c r="A19" s="24"/>
      <c r="B19" s="120"/>
      <c r="C19" s="17" t="s">
        <v>135</v>
      </c>
      <c r="D19" s="25" t="s">
        <v>136</v>
      </c>
      <c r="E19" s="21"/>
      <c r="F19" s="76" t="s">
        <v>195</v>
      </c>
      <c r="G19" s="27"/>
      <c r="H19" s="27"/>
      <c r="I19" s="79" t="s">
        <v>228</v>
      </c>
      <c r="J19" s="91" t="s">
        <v>229</v>
      </c>
      <c r="K19" s="92"/>
      <c r="L19" s="22"/>
      <c r="M19" s="22"/>
      <c r="N19" s="22"/>
    </row>
    <row r="20" spans="1:14" ht="96" customHeight="1">
      <c r="A20" s="24"/>
      <c r="B20" s="118" t="s">
        <v>137</v>
      </c>
      <c r="C20" s="17" t="s">
        <v>138</v>
      </c>
      <c r="D20" s="25" t="s">
        <v>139</v>
      </c>
      <c r="E20" s="10"/>
      <c r="F20" s="76"/>
      <c r="G20" s="27"/>
      <c r="H20" s="27" t="s">
        <v>195</v>
      </c>
      <c r="I20" s="35" t="s">
        <v>230</v>
      </c>
      <c r="J20" s="91" t="s">
        <v>231</v>
      </c>
      <c r="K20" s="92"/>
      <c r="L20" s="20" t="e">
        <f t="shared" ref="L20:N20" si="1">(#REF!)/(#REF!+#REF!+#REF!)</f>
        <v>#REF!</v>
      </c>
      <c r="M20" s="20" t="e">
        <f t="shared" si="1"/>
        <v>#REF!</v>
      </c>
      <c r="N20" s="20" t="e">
        <f t="shared" si="1"/>
        <v>#REF!</v>
      </c>
    </row>
    <row r="21" spans="1:14" ht="96" customHeight="1">
      <c r="A21" s="24"/>
      <c r="B21" s="119"/>
      <c r="C21" s="17" t="s">
        <v>140</v>
      </c>
      <c r="D21" s="25" t="s">
        <v>141</v>
      </c>
      <c r="E21" s="21"/>
      <c r="F21" s="76"/>
      <c r="G21" s="27"/>
      <c r="H21" s="27" t="s">
        <v>195</v>
      </c>
      <c r="I21" s="25" t="s">
        <v>232</v>
      </c>
      <c r="J21" s="91" t="s">
        <v>233</v>
      </c>
      <c r="K21" s="92"/>
      <c r="L21" s="22"/>
      <c r="M21" s="22"/>
      <c r="N21" s="22"/>
    </row>
    <row r="22" spans="1:14" ht="100.8">
      <c r="A22" s="80"/>
      <c r="B22" s="119"/>
      <c r="C22" s="81" t="s">
        <v>142</v>
      </c>
      <c r="D22" s="82" t="s">
        <v>143</v>
      </c>
      <c r="E22" s="83"/>
      <c r="F22" s="83"/>
      <c r="G22" s="83"/>
      <c r="H22" s="84" t="s">
        <v>195</v>
      </c>
      <c r="I22" s="82" t="s">
        <v>234</v>
      </c>
      <c r="J22" s="117" t="s">
        <v>235</v>
      </c>
      <c r="K22" s="92"/>
      <c r="L22" s="85"/>
      <c r="M22" s="85"/>
      <c r="N22" s="85"/>
    </row>
    <row r="23" spans="1:14" ht="113.4">
      <c r="A23" s="80"/>
      <c r="B23" s="119"/>
      <c r="C23" s="86" t="s">
        <v>146</v>
      </c>
      <c r="D23" s="87" t="s">
        <v>147</v>
      </c>
      <c r="E23" s="88"/>
      <c r="F23" s="88"/>
      <c r="G23" s="88"/>
      <c r="H23" s="89" t="s">
        <v>195</v>
      </c>
      <c r="I23" s="87" t="s">
        <v>236</v>
      </c>
      <c r="J23" s="115" t="s">
        <v>237</v>
      </c>
      <c r="K23" s="116"/>
      <c r="L23" s="85"/>
      <c r="M23" s="85"/>
      <c r="N23" s="85"/>
    </row>
    <row r="24" spans="1:14" ht="96" customHeight="1">
      <c r="A24" s="24"/>
      <c r="B24" s="119"/>
      <c r="C24" s="17" t="s">
        <v>148</v>
      </c>
      <c r="D24" s="25" t="s">
        <v>149</v>
      </c>
      <c r="E24" s="21"/>
      <c r="F24" s="76" t="s">
        <v>195</v>
      </c>
      <c r="G24" s="27"/>
      <c r="H24" s="27"/>
      <c r="I24" s="35" t="s">
        <v>238</v>
      </c>
      <c r="J24" s="91" t="s">
        <v>239</v>
      </c>
      <c r="K24" s="92"/>
      <c r="L24" s="22"/>
      <c r="M24" s="22"/>
      <c r="N24" s="22"/>
    </row>
    <row r="25" spans="1:14" ht="96" customHeight="1">
      <c r="A25" s="24"/>
      <c r="B25" s="119"/>
      <c r="C25" s="17" t="s">
        <v>150</v>
      </c>
      <c r="D25" s="25" t="s">
        <v>151</v>
      </c>
      <c r="E25" s="21"/>
      <c r="F25" s="76" t="s">
        <v>195</v>
      </c>
      <c r="G25" s="27"/>
      <c r="H25" s="27"/>
      <c r="I25" s="35" t="s">
        <v>240</v>
      </c>
      <c r="J25" s="91" t="s">
        <v>241</v>
      </c>
      <c r="K25" s="92"/>
      <c r="L25" s="22"/>
      <c r="M25" s="22"/>
      <c r="N25" s="22"/>
    </row>
    <row r="26" spans="1:14" ht="88.2">
      <c r="A26" s="24"/>
      <c r="B26" s="119"/>
      <c r="C26" s="17" t="s">
        <v>156</v>
      </c>
      <c r="D26" s="25" t="s">
        <v>157</v>
      </c>
      <c r="E26" s="21"/>
      <c r="F26" s="76" t="s">
        <v>195</v>
      </c>
      <c r="G26" s="27"/>
      <c r="H26" s="27"/>
      <c r="I26" s="35" t="s">
        <v>242</v>
      </c>
      <c r="J26" s="91" t="s">
        <v>243</v>
      </c>
      <c r="K26" s="92"/>
      <c r="L26" s="22"/>
      <c r="M26" s="22"/>
      <c r="N26" s="22"/>
    </row>
    <row r="27" spans="1:14" ht="96" customHeight="1">
      <c r="A27" s="24"/>
      <c r="B27" s="119"/>
      <c r="C27" s="17" t="s">
        <v>160</v>
      </c>
      <c r="D27" s="25" t="s">
        <v>161</v>
      </c>
      <c r="E27" s="21"/>
      <c r="F27" s="76" t="s">
        <v>195</v>
      </c>
      <c r="G27" s="27"/>
      <c r="H27" s="27"/>
      <c r="I27" s="35" t="s">
        <v>244</v>
      </c>
      <c r="J27" s="91" t="s">
        <v>245</v>
      </c>
      <c r="K27" s="92"/>
      <c r="L27" s="22"/>
      <c r="M27" s="22"/>
      <c r="N27" s="22"/>
    </row>
    <row r="28" spans="1:14" ht="96" customHeight="1">
      <c r="A28" s="24"/>
      <c r="B28" s="119"/>
      <c r="C28" s="17" t="s">
        <v>162</v>
      </c>
      <c r="D28" s="25" t="s">
        <v>163</v>
      </c>
      <c r="E28" s="21"/>
      <c r="F28" s="76"/>
      <c r="G28" s="27"/>
      <c r="H28" s="27" t="s">
        <v>195</v>
      </c>
      <c r="I28" s="35"/>
      <c r="J28" s="91" t="s">
        <v>246</v>
      </c>
      <c r="K28" s="92"/>
      <c r="L28" s="22"/>
      <c r="M28" s="22"/>
      <c r="N28" s="22"/>
    </row>
    <row r="29" spans="1:14" ht="96" customHeight="1">
      <c r="A29" s="24"/>
      <c r="B29" s="119"/>
      <c r="C29" s="17" t="s">
        <v>164</v>
      </c>
      <c r="D29" s="25" t="s">
        <v>165</v>
      </c>
      <c r="E29" s="21"/>
      <c r="F29" s="76"/>
      <c r="G29" s="27"/>
      <c r="H29" s="27" t="s">
        <v>195</v>
      </c>
      <c r="I29" s="35" t="s">
        <v>247</v>
      </c>
      <c r="J29" s="91" t="s">
        <v>248</v>
      </c>
      <c r="K29" s="92"/>
      <c r="L29" s="22"/>
      <c r="M29" s="22"/>
      <c r="N29" s="22"/>
    </row>
    <row r="30" spans="1:14" ht="96" customHeight="1">
      <c r="A30" s="24"/>
      <c r="B30" s="120"/>
      <c r="C30" s="17" t="s">
        <v>166</v>
      </c>
      <c r="D30" s="25" t="s">
        <v>167</v>
      </c>
      <c r="E30" s="21"/>
      <c r="F30" s="76"/>
      <c r="G30" s="27"/>
      <c r="H30" s="27" t="s">
        <v>195</v>
      </c>
      <c r="I30" s="35" t="s">
        <v>247</v>
      </c>
      <c r="J30" s="91" t="s">
        <v>249</v>
      </c>
      <c r="K30" s="92"/>
      <c r="L30" s="22"/>
      <c r="M30" s="22"/>
      <c r="N30" s="22"/>
    </row>
    <row r="31" spans="1:14" ht="13.2">
      <c r="B31" s="90"/>
      <c r="E31" s="39">
        <f t="shared" ref="E31:H31" si="2">COUNTIF(E3:E30,"X")</f>
        <v>0</v>
      </c>
      <c r="F31" s="39">
        <f t="shared" si="2"/>
        <v>11</v>
      </c>
      <c r="G31" s="39">
        <f t="shared" si="2"/>
        <v>0</v>
      </c>
      <c r="H31" s="39">
        <f t="shared" si="2"/>
        <v>17</v>
      </c>
    </row>
    <row r="32" spans="1:14" ht="13.2">
      <c r="B32" s="90"/>
    </row>
    <row r="33" spans="2:2" ht="13.2">
      <c r="B33" s="90"/>
    </row>
    <row r="34" spans="2:2" ht="13.2">
      <c r="B34" s="90"/>
    </row>
    <row r="35" spans="2:2" ht="13.2">
      <c r="B35" s="90"/>
    </row>
    <row r="36" spans="2:2" ht="13.2">
      <c r="B36" s="90"/>
    </row>
    <row r="37" spans="2:2" ht="13.2">
      <c r="B37" s="90"/>
    </row>
    <row r="38" spans="2:2" ht="13.2">
      <c r="B38" s="90"/>
    </row>
    <row r="39" spans="2:2" ht="13.2">
      <c r="B39" s="90"/>
    </row>
    <row r="40" spans="2:2" ht="13.2">
      <c r="B40" s="90"/>
    </row>
    <row r="41" spans="2:2" ht="13.2">
      <c r="B41" s="90"/>
    </row>
    <row r="42" spans="2:2" ht="13.2">
      <c r="B42" s="90"/>
    </row>
    <row r="43" spans="2:2" ht="13.2">
      <c r="B43" s="90"/>
    </row>
    <row r="44" spans="2:2" ht="13.2">
      <c r="B44" s="90"/>
    </row>
    <row r="45" spans="2:2" ht="13.2">
      <c r="B45" s="90"/>
    </row>
    <row r="46" spans="2:2" ht="13.2">
      <c r="B46" s="90"/>
    </row>
    <row r="47" spans="2:2" ht="13.2">
      <c r="B47" s="90"/>
    </row>
    <row r="48" spans="2:2" ht="13.2">
      <c r="B48" s="90"/>
    </row>
    <row r="49" spans="2:2" ht="13.2">
      <c r="B49" s="90"/>
    </row>
    <row r="50" spans="2:2" ht="13.2">
      <c r="B50" s="90"/>
    </row>
    <row r="51" spans="2:2" ht="13.2">
      <c r="B51" s="90"/>
    </row>
    <row r="52" spans="2:2" ht="13.2">
      <c r="B52" s="90"/>
    </row>
    <row r="53" spans="2:2" ht="13.2">
      <c r="B53" s="90"/>
    </row>
    <row r="54" spans="2:2" ht="13.2">
      <c r="B54" s="90"/>
    </row>
    <row r="55" spans="2:2" ht="13.2">
      <c r="B55" s="90"/>
    </row>
    <row r="56" spans="2:2" ht="13.2">
      <c r="B56" s="90"/>
    </row>
    <row r="57" spans="2:2" ht="13.2">
      <c r="B57" s="90"/>
    </row>
    <row r="58" spans="2:2" ht="13.2">
      <c r="B58" s="90"/>
    </row>
    <row r="59" spans="2:2" ht="13.2">
      <c r="B59" s="90"/>
    </row>
    <row r="60" spans="2:2" ht="13.2">
      <c r="B60" s="90"/>
    </row>
    <row r="61" spans="2:2" ht="13.2">
      <c r="B61" s="90"/>
    </row>
    <row r="62" spans="2:2" ht="13.2">
      <c r="B62" s="90"/>
    </row>
    <row r="63" spans="2:2" ht="13.2">
      <c r="B63" s="90"/>
    </row>
    <row r="64" spans="2:2" ht="13.2">
      <c r="B64" s="90"/>
    </row>
    <row r="65" spans="2:2" ht="13.2">
      <c r="B65" s="90"/>
    </row>
    <row r="66" spans="2:2" ht="13.2">
      <c r="B66" s="90"/>
    </row>
    <row r="67" spans="2:2" ht="13.2">
      <c r="B67" s="90"/>
    </row>
    <row r="68" spans="2:2" ht="13.2">
      <c r="B68" s="90"/>
    </row>
    <row r="69" spans="2:2" ht="13.2">
      <c r="B69" s="90"/>
    </row>
    <row r="70" spans="2:2" ht="13.2">
      <c r="B70" s="90"/>
    </row>
    <row r="71" spans="2:2" ht="13.2">
      <c r="B71" s="90"/>
    </row>
    <row r="72" spans="2:2" ht="13.2">
      <c r="B72" s="90"/>
    </row>
    <row r="73" spans="2:2" ht="13.2">
      <c r="B73" s="90"/>
    </row>
    <row r="74" spans="2:2" ht="13.2">
      <c r="B74" s="90"/>
    </row>
    <row r="75" spans="2:2" ht="13.2">
      <c r="B75" s="90"/>
    </row>
    <row r="76" spans="2:2" ht="13.2">
      <c r="B76" s="90"/>
    </row>
    <row r="77" spans="2:2" ht="13.2">
      <c r="B77" s="90"/>
    </row>
    <row r="78" spans="2:2" ht="13.2">
      <c r="B78" s="90"/>
    </row>
    <row r="79" spans="2:2" ht="13.2">
      <c r="B79" s="90"/>
    </row>
    <row r="80" spans="2:2" ht="13.2">
      <c r="B80" s="90"/>
    </row>
    <row r="81" spans="2:2" ht="13.2">
      <c r="B81" s="90"/>
    </row>
    <row r="82" spans="2:2" ht="13.2">
      <c r="B82" s="90"/>
    </row>
    <row r="83" spans="2:2" ht="13.2">
      <c r="B83" s="90"/>
    </row>
    <row r="84" spans="2:2" ht="13.2">
      <c r="B84" s="90"/>
    </row>
    <row r="85" spans="2:2" ht="13.2">
      <c r="B85" s="90"/>
    </row>
    <row r="86" spans="2:2" ht="13.2">
      <c r="B86" s="90"/>
    </row>
    <row r="87" spans="2:2" ht="13.2">
      <c r="B87" s="90"/>
    </row>
    <row r="88" spans="2:2" ht="13.2">
      <c r="B88" s="90"/>
    </row>
    <row r="89" spans="2:2" ht="13.2">
      <c r="B89" s="90"/>
    </row>
    <row r="90" spans="2:2" ht="13.2">
      <c r="B90" s="90"/>
    </row>
    <row r="91" spans="2:2" ht="13.2">
      <c r="B91" s="90"/>
    </row>
    <row r="92" spans="2:2" ht="13.2">
      <c r="B92" s="90"/>
    </row>
    <row r="93" spans="2:2" ht="13.2">
      <c r="B93" s="90"/>
    </row>
    <row r="94" spans="2:2" ht="13.2">
      <c r="B94" s="90"/>
    </row>
    <row r="95" spans="2:2" ht="13.2">
      <c r="B95" s="90"/>
    </row>
    <row r="96" spans="2:2" ht="13.2">
      <c r="B96" s="90"/>
    </row>
    <row r="97" spans="2:2" ht="13.2">
      <c r="B97" s="90"/>
    </row>
    <row r="98" spans="2:2" ht="13.2">
      <c r="B98" s="90"/>
    </row>
    <row r="99" spans="2:2" ht="13.2">
      <c r="B99" s="90"/>
    </row>
    <row r="100" spans="2:2" ht="13.2">
      <c r="B100" s="90"/>
    </row>
    <row r="101" spans="2:2" ht="13.2">
      <c r="B101" s="90"/>
    </row>
    <row r="102" spans="2:2" ht="13.2">
      <c r="B102" s="90"/>
    </row>
    <row r="103" spans="2:2" ht="13.2">
      <c r="B103" s="90"/>
    </row>
    <row r="104" spans="2:2" ht="13.2">
      <c r="B104" s="90"/>
    </row>
    <row r="105" spans="2:2" ht="13.2">
      <c r="B105" s="90"/>
    </row>
    <row r="106" spans="2:2" ht="13.2">
      <c r="B106" s="90"/>
    </row>
    <row r="107" spans="2:2" ht="13.2">
      <c r="B107" s="90"/>
    </row>
    <row r="108" spans="2:2" ht="13.2">
      <c r="B108" s="90"/>
    </row>
    <row r="109" spans="2:2" ht="13.2">
      <c r="B109" s="90"/>
    </row>
    <row r="110" spans="2:2" ht="13.2">
      <c r="B110" s="90"/>
    </row>
    <row r="111" spans="2:2" ht="13.2">
      <c r="B111" s="90"/>
    </row>
    <row r="112" spans="2:2" ht="13.2">
      <c r="B112" s="90"/>
    </row>
    <row r="113" spans="2:2" ht="13.2">
      <c r="B113" s="90"/>
    </row>
    <row r="114" spans="2:2" ht="13.2">
      <c r="B114" s="90"/>
    </row>
    <row r="115" spans="2:2" ht="13.2">
      <c r="B115" s="90"/>
    </row>
    <row r="116" spans="2:2" ht="13.2">
      <c r="B116" s="90"/>
    </row>
    <row r="117" spans="2:2" ht="13.2">
      <c r="B117" s="90"/>
    </row>
    <row r="118" spans="2:2" ht="13.2">
      <c r="B118" s="90"/>
    </row>
    <row r="119" spans="2:2" ht="13.2">
      <c r="B119" s="90"/>
    </row>
    <row r="120" spans="2:2" ht="13.2">
      <c r="B120" s="90"/>
    </row>
    <row r="121" spans="2:2" ht="13.2">
      <c r="B121" s="90"/>
    </row>
    <row r="122" spans="2:2" ht="13.2">
      <c r="B122" s="90"/>
    </row>
    <row r="123" spans="2:2" ht="13.2">
      <c r="B123" s="90"/>
    </row>
    <row r="124" spans="2:2" ht="13.2">
      <c r="B124" s="90"/>
    </row>
    <row r="125" spans="2:2" ht="13.2">
      <c r="B125" s="90"/>
    </row>
    <row r="126" spans="2:2" ht="13.2">
      <c r="B126" s="90"/>
    </row>
    <row r="127" spans="2:2" ht="13.2">
      <c r="B127" s="90"/>
    </row>
    <row r="128" spans="2:2" ht="13.2">
      <c r="B128" s="90"/>
    </row>
    <row r="129" spans="2:2" ht="13.2">
      <c r="B129" s="90"/>
    </row>
    <row r="130" spans="2:2" ht="13.2">
      <c r="B130" s="90"/>
    </row>
    <row r="131" spans="2:2" ht="13.2">
      <c r="B131" s="90"/>
    </row>
    <row r="132" spans="2:2" ht="13.2">
      <c r="B132" s="90"/>
    </row>
    <row r="133" spans="2:2" ht="13.2">
      <c r="B133" s="90"/>
    </row>
    <row r="134" spans="2:2" ht="13.2">
      <c r="B134" s="90"/>
    </row>
    <row r="135" spans="2:2" ht="13.2">
      <c r="B135" s="90"/>
    </row>
    <row r="136" spans="2:2" ht="13.2">
      <c r="B136" s="90"/>
    </row>
    <row r="137" spans="2:2" ht="13.2">
      <c r="B137" s="90"/>
    </row>
    <row r="138" spans="2:2" ht="13.2">
      <c r="B138" s="90"/>
    </row>
    <row r="139" spans="2:2" ht="13.2">
      <c r="B139" s="90"/>
    </row>
    <row r="140" spans="2:2" ht="13.2">
      <c r="B140" s="90"/>
    </row>
    <row r="141" spans="2:2" ht="13.2">
      <c r="B141" s="90"/>
    </row>
    <row r="142" spans="2:2" ht="13.2">
      <c r="B142" s="90"/>
    </row>
    <row r="143" spans="2:2" ht="13.2">
      <c r="B143" s="90"/>
    </row>
    <row r="144" spans="2:2" ht="13.2">
      <c r="B144" s="90"/>
    </row>
    <row r="145" spans="2:2" ht="13.2">
      <c r="B145" s="90"/>
    </row>
    <row r="146" spans="2:2" ht="13.2">
      <c r="B146" s="90"/>
    </row>
    <row r="147" spans="2:2" ht="13.2">
      <c r="B147" s="90"/>
    </row>
    <row r="148" spans="2:2" ht="13.2">
      <c r="B148" s="90"/>
    </row>
    <row r="149" spans="2:2" ht="13.2">
      <c r="B149" s="90"/>
    </row>
    <row r="150" spans="2:2" ht="13.2">
      <c r="B150" s="90"/>
    </row>
    <row r="151" spans="2:2" ht="13.2">
      <c r="B151" s="90"/>
    </row>
    <row r="152" spans="2:2" ht="13.2">
      <c r="B152" s="90"/>
    </row>
    <row r="153" spans="2:2" ht="13.2">
      <c r="B153" s="90"/>
    </row>
    <row r="154" spans="2:2" ht="13.2">
      <c r="B154" s="90"/>
    </row>
    <row r="155" spans="2:2" ht="13.2">
      <c r="B155" s="90"/>
    </row>
    <row r="156" spans="2:2" ht="13.2">
      <c r="B156" s="90"/>
    </row>
    <row r="157" spans="2:2" ht="13.2">
      <c r="B157" s="90"/>
    </row>
    <row r="158" spans="2:2" ht="13.2">
      <c r="B158" s="90"/>
    </row>
    <row r="159" spans="2:2" ht="13.2">
      <c r="B159" s="90"/>
    </row>
    <row r="160" spans="2:2" ht="13.2">
      <c r="B160" s="90"/>
    </row>
    <row r="161" spans="2:2" ht="13.2">
      <c r="B161" s="90"/>
    </row>
    <row r="162" spans="2:2" ht="13.2">
      <c r="B162" s="90"/>
    </row>
    <row r="163" spans="2:2" ht="13.2">
      <c r="B163" s="90"/>
    </row>
    <row r="164" spans="2:2" ht="13.2">
      <c r="B164" s="90"/>
    </row>
    <row r="165" spans="2:2" ht="13.2">
      <c r="B165" s="90"/>
    </row>
    <row r="166" spans="2:2" ht="13.2">
      <c r="B166" s="90"/>
    </row>
    <row r="167" spans="2:2" ht="13.2">
      <c r="B167" s="90"/>
    </row>
    <row r="168" spans="2:2" ht="13.2">
      <c r="B168" s="90"/>
    </row>
    <row r="169" spans="2:2" ht="13.2">
      <c r="B169" s="90"/>
    </row>
    <row r="170" spans="2:2" ht="13.2">
      <c r="B170" s="90"/>
    </row>
    <row r="171" spans="2:2" ht="13.2">
      <c r="B171" s="90"/>
    </row>
    <row r="172" spans="2:2" ht="13.2">
      <c r="B172" s="90"/>
    </row>
    <row r="173" spans="2:2" ht="13.2">
      <c r="B173" s="90"/>
    </row>
    <row r="174" spans="2:2" ht="13.2">
      <c r="B174" s="90"/>
    </row>
    <row r="175" spans="2:2" ht="13.2">
      <c r="B175" s="90"/>
    </row>
    <row r="176" spans="2:2" ht="13.2">
      <c r="B176" s="90"/>
    </row>
    <row r="177" spans="2:2" ht="13.2">
      <c r="B177" s="90"/>
    </row>
    <row r="178" spans="2:2" ht="13.2">
      <c r="B178" s="90"/>
    </row>
    <row r="179" spans="2:2" ht="13.2">
      <c r="B179" s="90"/>
    </row>
    <row r="180" spans="2:2" ht="13.2">
      <c r="B180" s="90"/>
    </row>
    <row r="181" spans="2:2" ht="13.2">
      <c r="B181" s="90"/>
    </row>
    <row r="182" spans="2:2" ht="13.2">
      <c r="B182" s="90"/>
    </row>
    <row r="183" spans="2:2" ht="13.2">
      <c r="B183" s="90"/>
    </row>
    <row r="184" spans="2:2" ht="13.2">
      <c r="B184" s="90"/>
    </row>
    <row r="185" spans="2:2" ht="13.2">
      <c r="B185" s="90"/>
    </row>
    <row r="186" spans="2:2" ht="13.2">
      <c r="B186" s="90"/>
    </row>
    <row r="187" spans="2:2" ht="13.2">
      <c r="B187" s="90"/>
    </row>
    <row r="188" spans="2:2" ht="13.2">
      <c r="B188" s="90"/>
    </row>
    <row r="189" spans="2:2" ht="13.2">
      <c r="B189" s="90"/>
    </row>
    <row r="190" spans="2:2" ht="13.2">
      <c r="B190" s="90"/>
    </row>
    <row r="191" spans="2:2" ht="13.2">
      <c r="B191" s="90"/>
    </row>
    <row r="192" spans="2:2" ht="13.2">
      <c r="B192" s="90"/>
    </row>
    <row r="193" spans="2:2" ht="13.2">
      <c r="B193" s="90"/>
    </row>
    <row r="194" spans="2:2" ht="13.2">
      <c r="B194" s="90"/>
    </row>
    <row r="195" spans="2:2" ht="13.2">
      <c r="B195" s="90"/>
    </row>
    <row r="196" spans="2:2" ht="13.2">
      <c r="B196" s="90"/>
    </row>
    <row r="197" spans="2:2" ht="13.2">
      <c r="B197" s="90"/>
    </row>
    <row r="198" spans="2:2" ht="13.2">
      <c r="B198" s="90"/>
    </row>
    <row r="199" spans="2:2" ht="13.2">
      <c r="B199" s="90"/>
    </row>
    <row r="200" spans="2:2" ht="13.2">
      <c r="B200" s="90"/>
    </row>
    <row r="201" spans="2:2" ht="13.2">
      <c r="B201" s="90"/>
    </row>
    <row r="202" spans="2:2" ht="13.2">
      <c r="B202" s="90"/>
    </row>
    <row r="203" spans="2:2" ht="13.2">
      <c r="B203" s="90"/>
    </row>
    <row r="204" spans="2:2" ht="13.2">
      <c r="B204" s="90"/>
    </row>
    <row r="205" spans="2:2" ht="13.2">
      <c r="B205" s="90"/>
    </row>
    <row r="206" spans="2:2" ht="13.2">
      <c r="B206" s="90"/>
    </row>
    <row r="207" spans="2:2" ht="13.2">
      <c r="B207" s="90"/>
    </row>
    <row r="208" spans="2:2" ht="13.2">
      <c r="B208" s="90"/>
    </row>
    <row r="209" spans="2:2" ht="13.2">
      <c r="B209" s="90"/>
    </row>
    <row r="210" spans="2:2" ht="13.2">
      <c r="B210" s="90"/>
    </row>
    <row r="211" spans="2:2" ht="13.2">
      <c r="B211" s="90"/>
    </row>
    <row r="212" spans="2:2" ht="13.2">
      <c r="B212" s="90"/>
    </row>
    <row r="213" spans="2:2" ht="13.2">
      <c r="B213" s="90"/>
    </row>
    <row r="214" spans="2:2" ht="13.2">
      <c r="B214" s="90"/>
    </row>
    <row r="215" spans="2:2" ht="13.2">
      <c r="B215" s="90"/>
    </row>
    <row r="216" spans="2:2" ht="13.2">
      <c r="B216" s="90"/>
    </row>
    <row r="217" spans="2:2" ht="13.2">
      <c r="B217" s="90"/>
    </row>
    <row r="218" spans="2:2" ht="13.2">
      <c r="B218" s="90"/>
    </row>
    <row r="219" spans="2:2" ht="13.2">
      <c r="B219" s="90"/>
    </row>
    <row r="220" spans="2:2" ht="13.2">
      <c r="B220" s="90"/>
    </row>
    <row r="221" spans="2:2" ht="13.2">
      <c r="B221" s="90"/>
    </row>
    <row r="222" spans="2:2" ht="13.2">
      <c r="B222" s="90"/>
    </row>
    <row r="223" spans="2:2" ht="13.2">
      <c r="B223" s="90"/>
    </row>
    <row r="224" spans="2:2" ht="13.2">
      <c r="B224" s="90"/>
    </row>
    <row r="225" spans="2:2" ht="13.2">
      <c r="B225" s="90"/>
    </row>
    <row r="226" spans="2:2" ht="13.2">
      <c r="B226" s="90"/>
    </row>
    <row r="227" spans="2:2" ht="13.2">
      <c r="B227" s="90"/>
    </row>
    <row r="228" spans="2:2" ht="13.2">
      <c r="B228" s="90"/>
    </row>
    <row r="229" spans="2:2" ht="13.2">
      <c r="B229" s="90"/>
    </row>
    <row r="230" spans="2:2" ht="13.2">
      <c r="B230" s="90"/>
    </row>
    <row r="231" spans="2:2" ht="13.2">
      <c r="B231" s="90"/>
    </row>
    <row r="232" spans="2:2" ht="13.2">
      <c r="B232" s="90"/>
    </row>
    <row r="233" spans="2:2" ht="13.2">
      <c r="B233" s="90"/>
    </row>
    <row r="234" spans="2:2" ht="13.2">
      <c r="B234" s="90"/>
    </row>
    <row r="235" spans="2:2" ht="13.2">
      <c r="B235" s="90"/>
    </row>
    <row r="236" spans="2:2" ht="13.2">
      <c r="B236" s="90"/>
    </row>
    <row r="237" spans="2:2" ht="13.2">
      <c r="B237" s="90"/>
    </row>
    <row r="238" spans="2:2" ht="13.2">
      <c r="B238" s="90"/>
    </row>
    <row r="239" spans="2:2" ht="13.2">
      <c r="B239" s="90"/>
    </row>
    <row r="240" spans="2:2" ht="13.2">
      <c r="B240" s="90"/>
    </row>
    <row r="241" spans="2:2" ht="13.2">
      <c r="B241" s="90"/>
    </row>
    <row r="242" spans="2:2" ht="13.2">
      <c r="B242" s="90"/>
    </row>
    <row r="243" spans="2:2" ht="13.2">
      <c r="B243" s="90"/>
    </row>
    <row r="244" spans="2:2" ht="13.2">
      <c r="B244" s="90"/>
    </row>
    <row r="245" spans="2:2" ht="13.2">
      <c r="B245" s="90"/>
    </row>
    <row r="246" spans="2:2" ht="13.2">
      <c r="B246" s="90"/>
    </row>
    <row r="247" spans="2:2" ht="13.2">
      <c r="B247" s="90"/>
    </row>
    <row r="248" spans="2:2" ht="13.2">
      <c r="B248" s="90"/>
    </row>
    <row r="249" spans="2:2" ht="13.2">
      <c r="B249" s="90"/>
    </row>
    <row r="250" spans="2:2" ht="13.2">
      <c r="B250" s="90"/>
    </row>
    <row r="251" spans="2:2" ht="13.2">
      <c r="B251" s="90"/>
    </row>
    <row r="252" spans="2:2" ht="13.2">
      <c r="B252" s="90"/>
    </row>
    <row r="253" spans="2:2" ht="13.2">
      <c r="B253" s="90"/>
    </row>
    <row r="254" spans="2:2" ht="13.2">
      <c r="B254" s="90"/>
    </row>
    <row r="255" spans="2:2" ht="13.2">
      <c r="B255" s="90"/>
    </row>
    <row r="256" spans="2:2" ht="13.2">
      <c r="B256" s="90"/>
    </row>
    <row r="257" spans="2:2" ht="13.2">
      <c r="B257" s="90"/>
    </row>
    <row r="258" spans="2:2" ht="13.2">
      <c r="B258" s="90"/>
    </row>
    <row r="259" spans="2:2" ht="13.2">
      <c r="B259" s="90"/>
    </row>
    <row r="260" spans="2:2" ht="13.2">
      <c r="B260" s="90"/>
    </row>
    <row r="261" spans="2:2" ht="13.2">
      <c r="B261" s="90"/>
    </row>
    <row r="262" spans="2:2" ht="13.2">
      <c r="B262" s="90"/>
    </row>
    <row r="263" spans="2:2" ht="13.2">
      <c r="B263" s="90"/>
    </row>
    <row r="264" spans="2:2" ht="13.2">
      <c r="B264" s="90"/>
    </row>
    <row r="265" spans="2:2" ht="13.2">
      <c r="B265" s="90"/>
    </row>
    <row r="266" spans="2:2" ht="13.2">
      <c r="B266" s="90"/>
    </row>
    <row r="267" spans="2:2" ht="13.2">
      <c r="B267" s="90"/>
    </row>
    <row r="268" spans="2:2" ht="13.2">
      <c r="B268" s="90"/>
    </row>
    <row r="269" spans="2:2" ht="13.2">
      <c r="B269" s="90"/>
    </row>
    <row r="270" spans="2:2" ht="13.2">
      <c r="B270" s="90"/>
    </row>
    <row r="271" spans="2:2" ht="13.2">
      <c r="B271" s="90"/>
    </row>
    <row r="272" spans="2:2" ht="13.2">
      <c r="B272" s="90"/>
    </row>
    <row r="273" spans="2:2" ht="13.2">
      <c r="B273" s="90"/>
    </row>
    <row r="274" spans="2:2" ht="13.2">
      <c r="B274" s="90"/>
    </row>
    <row r="275" spans="2:2" ht="13.2">
      <c r="B275" s="90"/>
    </row>
    <row r="276" spans="2:2" ht="13.2">
      <c r="B276" s="90"/>
    </row>
    <row r="277" spans="2:2" ht="13.2">
      <c r="B277" s="90"/>
    </row>
    <row r="278" spans="2:2" ht="13.2">
      <c r="B278" s="90"/>
    </row>
    <row r="279" spans="2:2" ht="13.2">
      <c r="B279" s="90"/>
    </row>
    <row r="280" spans="2:2" ht="13.2">
      <c r="B280" s="90"/>
    </row>
    <row r="281" spans="2:2" ht="13.2">
      <c r="B281" s="90"/>
    </row>
    <row r="282" spans="2:2" ht="13.2">
      <c r="B282" s="90"/>
    </row>
    <row r="283" spans="2:2" ht="13.2">
      <c r="B283" s="90"/>
    </row>
    <row r="284" spans="2:2" ht="13.2">
      <c r="B284" s="90"/>
    </row>
    <row r="285" spans="2:2" ht="13.2">
      <c r="B285" s="90"/>
    </row>
    <row r="286" spans="2:2" ht="13.2">
      <c r="B286" s="90"/>
    </row>
    <row r="287" spans="2:2" ht="13.2">
      <c r="B287" s="90"/>
    </row>
    <row r="288" spans="2:2" ht="13.2">
      <c r="B288" s="90"/>
    </row>
    <row r="289" spans="2:2" ht="13.2">
      <c r="B289" s="90"/>
    </row>
    <row r="290" spans="2:2" ht="13.2">
      <c r="B290" s="90"/>
    </row>
    <row r="291" spans="2:2" ht="13.2">
      <c r="B291" s="90"/>
    </row>
    <row r="292" spans="2:2" ht="13.2">
      <c r="B292" s="90"/>
    </row>
    <row r="293" spans="2:2" ht="13.2">
      <c r="B293" s="90"/>
    </row>
    <row r="294" spans="2:2" ht="13.2">
      <c r="B294" s="90"/>
    </row>
    <row r="295" spans="2:2" ht="13.2">
      <c r="B295" s="90"/>
    </row>
    <row r="296" spans="2:2" ht="13.2">
      <c r="B296" s="90"/>
    </row>
    <row r="297" spans="2:2" ht="13.2">
      <c r="B297" s="90"/>
    </row>
    <row r="298" spans="2:2" ht="13.2">
      <c r="B298" s="90"/>
    </row>
    <row r="299" spans="2:2" ht="13.2">
      <c r="B299" s="90"/>
    </row>
    <row r="300" spans="2:2" ht="13.2">
      <c r="B300" s="90"/>
    </row>
    <row r="301" spans="2:2" ht="13.2">
      <c r="B301" s="90"/>
    </row>
    <row r="302" spans="2:2" ht="13.2">
      <c r="B302" s="90"/>
    </row>
    <row r="303" spans="2:2" ht="13.2">
      <c r="B303" s="90"/>
    </row>
    <row r="304" spans="2:2" ht="13.2">
      <c r="B304" s="90"/>
    </row>
    <row r="305" spans="2:2" ht="13.2">
      <c r="B305" s="90"/>
    </row>
    <row r="306" spans="2:2" ht="13.2">
      <c r="B306" s="90"/>
    </row>
    <row r="307" spans="2:2" ht="13.2">
      <c r="B307" s="90"/>
    </row>
    <row r="308" spans="2:2" ht="13.2">
      <c r="B308" s="90"/>
    </row>
    <row r="309" spans="2:2" ht="13.2">
      <c r="B309" s="90"/>
    </row>
    <row r="310" spans="2:2" ht="13.2">
      <c r="B310" s="90"/>
    </row>
    <row r="311" spans="2:2" ht="13.2">
      <c r="B311" s="90"/>
    </row>
    <row r="312" spans="2:2" ht="13.2">
      <c r="B312" s="90"/>
    </row>
    <row r="313" spans="2:2" ht="13.2">
      <c r="B313" s="90"/>
    </row>
    <row r="314" spans="2:2" ht="13.2">
      <c r="B314" s="90"/>
    </row>
    <row r="315" spans="2:2" ht="13.2">
      <c r="B315" s="90"/>
    </row>
    <row r="316" spans="2:2" ht="13.2">
      <c r="B316" s="90"/>
    </row>
    <row r="317" spans="2:2" ht="13.2">
      <c r="B317" s="90"/>
    </row>
    <row r="318" spans="2:2" ht="13.2">
      <c r="B318" s="90"/>
    </row>
    <row r="319" spans="2:2" ht="13.2">
      <c r="B319" s="90"/>
    </row>
    <row r="320" spans="2:2" ht="13.2">
      <c r="B320" s="90"/>
    </row>
    <row r="321" spans="2:2" ht="13.2">
      <c r="B321" s="90"/>
    </row>
    <row r="322" spans="2:2" ht="13.2">
      <c r="B322" s="90"/>
    </row>
    <row r="323" spans="2:2" ht="13.2">
      <c r="B323" s="90"/>
    </row>
    <row r="324" spans="2:2" ht="13.2">
      <c r="B324" s="90"/>
    </row>
    <row r="325" spans="2:2" ht="13.2">
      <c r="B325" s="90"/>
    </row>
    <row r="326" spans="2:2" ht="13.2">
      <c r="B326" s="90"/>
    </row>
    <row r="327" spans="2:2" ht="13.2">
      <c r="B327" s="90"/>
    </row>
    <row r="328" spans="2:2" ht="13.2">
      <c r="B328" s="90"/>
    </row>
    <row r="329" spans="2:2" ht="13.2">
      <c r="B329" s="90"/>
    </row>
    <row r="330" spans="2:2" ht="13.2">
      <c r="B330" s="90"/>
    </row>
    <row r="331" spans="2:2" ht="13.2">
      <c r="B331" s="90"/>
    </row>
    <row r="332" spans="2:2" ht="13.2">
      <c r="B332" s="90"/>
    </row>
    <row r="333" spans="2:2" ht="13.2">
      <c r="B333" s="90"/>
    </row>
    <row r="334" spans="2:2" ht="13.2">
      <c r="B334" s="90"/>
    </row>
    <row r="335" spans="2:2" ht="13.2">
      <c r="B335" s="90"/>
    </row>
    <row r="336" spans="2:2" ht="13.2">
      <c r="B336" s="90"/>
    </row>
    <row r="337" spans="2:2" ht="13.2">
      <c r="B337" s="90"/>
    </row>
    <row r="338" spans="2:2" ht="13.2">
      <c r="B338" s="90"/>
    </row>
    <row r="339" spans="2:2" ht="13.2">
      <c r="B339" s="90"/>
    </row>
    <row r="340" spans="2:2" ht="13.2">
      <c r="B340" s="90"/>
    </row>
    <row r="341" spans="2:2" ht="13.2">
      <c r="B341" s="90"/>
    </row>
    <row r="342" spans="2:2" ht="13.2">
      <c r="B342" s="90"/>
    </row>
    <row r="343" spans="2:2" ht="13.2">
      <c r="B343" s="90"/>
    </row>
    <row r="344" spans="2:2" ht="13.2">
      <c r="B344" s="90"/>
    </row>
    <row r="345" spans="2:2" ht="13.2">
      <c r="B345" s="90"/>
    </row>
    <row r="346" spans="2:2" ht="13.2">
      <c r="B346" s="90"/>
    </row>
    <row r="347" spans="2:2" ht="13.2">
      <c r="B347" s="90"/>
    </row>
    <row r="348" spans="2:2" ht="13.2">
      <c r="B348" s="90"/>
    </row>
    <row r="349" spans="2:2" ht="13.2">
      <c r="B349" s="90"/>
    </row>
    <row r="350" spans="2:2" ht="13.2">
      <c r="B350" s="90"/>
    </row>
    <row r="351" spans="2:2" ht="13.2">
      <c r="B351" s="90"/>
    </row>
    <row r="352" spans="2:2" ht="13.2">
      <c r="B352" s="90"/>
    </row>
    <row r="353" spans="2:2" ht="13.2">
      <c r="B353" s="90"/>
    </row>
    <row r="354" spans="2:2" ht="13.2">
      <c r="B354" s="90"/>
    </row>
    <row r="355" spans="2:2" ht="13.2">
      <c r="B355" s="90"/>
    </row>
    <row r="356" spans="2:2" ht="13.2">
      <c r="B356" s="90"/>
    </row>
    <row r="357" spans="2:2" ht="13.2">
      <c r="B357" s="90"/>
    </row>
    <row r="358" spans="2:2" ht="13.2">
      <c r="B358" s="90"/>
    </row>
    <row r="359" spans="2:2" ht="13.2">
      <c r="B359" s="90"/>
    </row>
    <row r="360" spans="2:2" ht="13.2">
      <c r="B360" s="90"/>
    </row>
    <row r="361" spans="2:2" ht="13.2">
      <c r="B361" s="90"/>
    </row>
    <row r="362" spans="2:2" ht="13.2">
      <c r="B362" s="90"/>
    </row>
    <row r="363" spans="2:2" ht="13.2">
      <c r="B363" s="90"/>
    </row>
    <row r="364" spans="2:2" ht="13.2">
      <c r="B364" s="90"/>
    </row>
    <row r="365" spans="2:2" ht="13.2">
      <c r="B365" s="90"/>
    </row>
    <row r="366" spans="2:2" ht="13.2">
      <c r="B366" s="90"/>
    </row>
    <row r="367" spans="2:2" ht="13.2">
      <c r="B367" s="90"/>
    </row>
    <row r="368" spans="2:2" ht="13.2">
      <c r="B368" s="90"/>
    </row>
    <row r="369" spans="2:2" ht="13.2">
      <c r="B369" s="90"/>
    </row>
    <row r="370" spans="2:2" ht="13.2">
      <c r="B370" s="90"/>
    </row>
    <row r="371" spans="2:2" ht="13.2">
      <c r="B371" s="90"/>
    </row>
    <row r="372" spans="2:2" ht="13.2">
      <c r="B372" s="90"/>
    </row>
    <row r="373" spans="2:2" ht="13.2">
      <c r="B373" s="90"/>
    </row>
    <row r="374" spans="2:2" ht="13.2">
      <c r="B374" s="90"/>
    </row>
    <row r="375" spans="2:2" ht="13.2">
      <c r="B375" s="90"/>
    </row>
    <row r="376" spans="2:2" ht="13.2">
      <c r="B376" s="90"/>
    </row>
    <row r="377" spans="2:2" ht="13.2">
      <c r="B377" s="90"/>
    </row>
    <row r="378" spans="2:2" ht="13.2">
      <c r="B378" s="90"/>
    </row>
    <row r="379" spans="2:2" ht="13.2">
      <c r="B379" s="90"/>
    </row>
    <row r="380" spans="2:2" ht="13.2">
      <c r="B380" s="90"/>
    </row>
    <row r="381" spans="2:2" ht="13.2">
      <c r="B381" s="90"/>
    </row>
    <row r="382" spans="2:2" ht="13.2">
      <c r="B382" s="90"/>
    </row>
    <row r="383" spans="2:2" ht="13.2">
      <c r="B383" s="90"/>
    </row>
    <row r="384" spans="2:2" ht="13.2">
      <c r="B384" s="90"/>
    </row>
    <row r="385" spans="2:2" ht="13.2">
      <c r="B385" s="90"/>
    </row>
    <row r="386" spans="2:2" ht="13.2">
      <c r="B386" s="90"/>
    </row>
    <row r="387" spans="2:2" ht="13.2">
      <c r="B387" s="90"/>
    </row>
    <row r="388" spans="2:2" ht="13.2">
      <c r="B388" s="90"/>
    </row>
    <row r="389" spans="2:2" ht="13.2">
      <c r="B389" s="90"/>
    </row>
    <row r="390" spans="2:2" ht="13.2">
      <c r="B390" s="90"/>
    </row>
    <row r="391" spans="2:2" ht="13.2">
      <c r="B391" s="90"/>
    </row>
    <row r="392" spans="2:2" ht="13.2">
      <c r="B392" s="90"/>
    </row>
    <row r="393" spans="2:2" ht="13.2">
      <c r="B393" s="90"/>
    </row>
    <row r="394" spans="2:2" ht="13.2">
      <c r="B394" s="90"/>
    </row>
    <row r="395" spans="2:2" ht="13.2">
      <c r="B395" s="90"/>
    </row>
    <row r="396" spans="2:2" ht="13.2">
      <c r="B396" s="90"/>
    </row>
    <row r="397" spans="2:2" ht="13.2">
      <c r="B397" s="90"/>
    </row>
    <row r="398" spans="2:2" ht="13.2">
      <c r="B398" s="90"/>
    </row>
    <row r="399" spans="2:2" ht="13.2">
      <c r="B399" s="90"/>
    </row>
    <row r="400" spans="2:2" ht="13.2">
      <c r="B400" s="90"/>
    </row>
    <row r="401" spans="2:2" ht="13.2">
      <c r="B401" s="90"/>
    </row>
    <row r="402" spans="2:2" ht="13.2">
      <c r="B402" s="90"/>
    </row>
    <row r="403" spans="2:2" ht="13.2">
      <c r="B403" s="90"/>
    </row>
    <row r="404" spans="2:2" ht="13.2">
      <c r="B404" s="90"/>
    </row>
    <row r="405" spans="2:2" ht="13.2">
      <c r="B405" s="90"/>
    </row>
    <row r="406" spans="2:2" ht="13.2">
      <c r="B406" s="90"/>
    </row>
    <row r="407" spans="2:2" ht="13.2">
      <c r="B407" s="90"/>
    </row>
    <row r="408" spans="2:2" ht="13.2">
      <c r="B408" s="90"/>
    </row>
    <row r="409" spans="2:2" ht="13.2">
      <c r="B409" s="90"/>
    </row>
    <row r="410" spans="2:2" ht="13.2">
      <c r="B410" s="90"/>
    </row>
    <row r="411" spans="2:2" ht="13.2">
      <c r="B411" s="90"/>
    </row>
    <row r="412" spans="2:2" ht="13.2">
      <c r="B412" s="90"/>
    </row>
    <row r="413" spans="2:2" ht="13.2">
      <c r="B413" s="90"/>
    </row>
    <row r="414" spans="2:2" ht="13.2">
      <c r="B414" s="90"/>
    </row>
    <row r="415" spans="2:2" ht="13.2">
      <c r="B415" s="90"/>
    </row>
    <row r="416" spans="2:2" ht="13.2">
      <c r="B416" s="90"/>
    </row>
    <row r="417" spans="2:2" ht="13.2">
      <c r="B417" s="90"/>
    </row>
    <row r="418" spans="2:2" ht="13.2">
      <c r="B418" s="90"/>
    </row>
    <row r="419" spans="2:2" ht="13.2">
      <c r="B419" s="90"/>
    </row>
    <row r="420" spans="2:2" ht="13.2">
      <c r="B420" s="90"/>
    </row>
    <row r="421" spans="2:2" ht="13.2">
      <c r="B421" s="90"/>
    </row>
    <row r="422" spans="2:2" ht="13.2">
      <c r="B422" s="90"/>
    </row>
    <row r="423" spans="2:2" ht="13.2">
      <c r="B423" s="90"/>
    </row>
    <row r="424" spans="2:2" ht="13.2">
      <c r="B424" s="90"/>
    </row>
    <row r="425" spans="2:2" ht="13.2">
      <c r="B425" s="90"/>
    </row>
    <row r="426" spans="2:2" ht="13.2">
      <c r="B426" s="90"/>
    </row>
    <row r="427" spans="2:2" ht="13.2">
      <c r="B427" s="90"/>
    </row>
    <row r="428" spans="2:2" ht="13.2">
      <c r="B428" s="90"/>
    </row>
    <row r="429" spans="2:2" ht="13.2">
      <c r="B429" s="90"/>
    </row>
    <row r="430" spans="2:2" ht="13.2">
      <c r="B430" s="90"/>
    </row>
    <row r="431" spans="2:2" ht="13.2">
      <c r="B431" s="90"/>
    </row>
    <row r="432" spans="2:2" ht="13.2">
      <c r="B432" s="90"/>
    </row>
    <row r="433" spans="2:2" ht="13.2">
      <c r="B433" s="90"/>
    </row>
    <row r="434" spans="2:2" ht="13.2">
      <c r="B434" s="90"/>
    </row>
    <row r="435" spans="2:2" ht="13.2">
      <c r="B435" s="90"/>
    </row>
    <row r="436" spans="2:2" ht="13.2">
      <c r="B436" s="90"/>
    </row>
    <row r="437" spans="2:2" ht="13.2">
      <c r="B437" s="90"/>
    </row>
    <row r="438" spans="2:2" ht="13.2">
      <c r="B438" s="90"/>
    </row>
    <row r="439" spans="2:2" ht="13.2">
      <c r="B439" s="90"/>
    </row>
    <row r="440" spans="2:2" ht="13.2">
      <c r="B440" s="90"/>
    </row>
    <row r="441" spans="2:2" ht="13.2">
      <c r="B441" s="90"/>
    </row>
    <row r="442" spans="2:2" ht="13.2">
      <c r="B442" s="90"/>
    </row>
    <row r="443" spans="2:2" ht="13.2">
      <c r="B443" s="90"/>
    </row>
    <row r="444" spans="2:2" ht="13.2">
      <c r="B444" s="90"/>
    </row>
    <row r="445" spans="2:2" ht="13.2">
      <c r="B445" s="90"/>
    </row>
    <row r="446" spans="2:2" ht="13.2">
      <c r="B446" s="90"/>
    </row>
    <row r="447" spans="2:2" ht="13.2">
      <c r="B447" s="90"/>
    </row>
    <row r="448" spans="2:2" ht="13.2">
      <c r="B448" s="90"/>
    </row>
    <row r="449" spans="2:2" ht="13.2">
      <c r="B449" s="90"/>
    </row>
    <row r="450" spans="2:2" ht="13.2">
      <c r="B450" s="90"/>
    </row>
    <row r="451" spans="2:2" ht="13.2">
      <c r="B451" s="90"/>
    </row>
    <row r="452" spans="2:2" ht="13.2">
      <c r="B452" s="90"/>
    </row>
    <row r="453" spans="2:2" ht="13.2">
      <c r="B453" s="90"/>
    </row>
    <row r="454" spans="2:2" ht="13.2">
      <c r="B454" s="90"/>
    </row>
    <row r="455" spans="2:2" ht="13.2">
      <c r="B455" s="90"/>
    </row>
    <row r="456" spans="2:2" ht="13.2">
      <c r="B456" s="90"/>
    </row>
    <row r="457" spans="2:2" ht="13.2">
      <c r="B457" s="90"/>
    </row>
    <row r="458" spans="2:2" ht="13.2">
      <c r="B458" s="90"/>
    </row>
    <row r="459" spans="2:2" ht="13.2">
      <c r="B459" s="90"/>
    </row>
    <row r="460" spans="2:2" ht="13.2">
      <c r="B460" s="90"/>
    </row>
    <row r="461" spans="2:2" ht="13.2">
      <c r="B461" s="90"/>
    </row>
    <row r="462" spans="2:2" ht="13.2">
      <c r="B462" s="90"/>
    </row>
    <row r="463" spans="2:2" ht="13.2">
      <c r="B463" s="90"/>
    </row>
    <row r="464" spans="2:2" ht="13.2">
      <c r="B464" s="90"/>
    </row>
    <row r="465" spans="2:2" ht="13.2">
      <c r="B465" s="90"/>
    </row>
    <row r="466" spans="2:2" ht="13.2">
      <c r="B466" s="90"/>
    </row>
    <row r="467" spans="2:2" ht="13.2">
      <c r="B467" s="90"/>
    </row>
    <row r="468" spans="2:2" ht="13.2">
      <c r="B468" s="90"/>
    </row>
    <row r="469" spans="2:2" ht="13.2">
      <c r="B469" s="90"/>
    </row>
    <row r="470" spans="2:2" ht="13.2">
      <c r="B470" s="90"/>
    </row>
    <row r="471" spans="2:2" ht="13.2">
      <c r="B471" s="90"/>
    </row>
    <row r="472" spans="2:2" ht="13.2">
      <c r="B472" s="90"/>
    </row>
    <row r="473" spans="2:2" ht="13.2">
      <c r="B473" s="90"/>
    </row>
    <row r="474" spans="2:2" ht="13.2">
      <c r="B474" s="90"/>
    </row>
    <row r="475" spans="2:2" ht="13.2">
      <c r="B475" s="90"/>
    </row>
    <row r="476" spans="2:2" ht="13.2">
      <c r="B476" s="90"/>
    </row>
    <row r="477" spans="2:2" ht="13.2">
      <c r="B477" s="90"/>
    </row>
    <row r="478" spans="2:2" ht="13.2">
      <c r="B478" s="90"/>
    </row>
    <row r="479" spans="2:2" ht="13.2">
      <c r="B479" s="90"/>
    </row>
    <row r="480" spans="2:2" ht="13.2">
      <c r="B480" s="90"/>
    </row>
    <row r="481" spans="2:2" ht="13.2">
      <c r="B481" s="90"/>
    </row>
    <row r="482" spans="2:2" ht="13.2">
      <c r="B482" s="90"/>
    </row>
    <row r="483" spans="2:2" ht="13.2">
      <c r="B483" s="90"/>
    </row>
    <row r="484" spans="2:2" ht="13.2">
      <c r="B484" s="90"/>
    </row>
    <row r="485" spans="2:2" ht="13.2">
      <c r="B485" s="90"/>
    </row>
    <row r="486" spans="2:2" ht="13.2">
      <c r="B486" s="90"/>
    </row>
    <row r="487" spans="2:2" ht="13.2">
      <c r="B487" s="90"/>
    </row>
    <row r="488" spans="2:2" ht="13.2">
      <c r="B488" s="90"/>
    </row>
    <row r="489" spans="2:2" ht="13.2">
      <c r="B489" s="90"/>
    </row>
    <row r="490" spans="2:2" ht="13.2">
      <c r="B490" s="90"/>
    </row>
    <row r="491" spans="2:2" ht="13.2">
      <c r="B491" s="90"/>
    </row>
    <row r="492" spans="2:2" ht="13.2">
      <c r="B492" s="90"/>
    </row>
    <row r="493" spans="2:2" ht="13.2">
      <c r="B493" s="90"/>
    </row>
    <row r="494" spans="2:2" ht="13.2">
      <c r="B494" s="90"/>
    </row>
    <row r="495" spans="2:2" ht="13.2">
      <c r="B495" s="90"/>
    </row>
    <row r="496" spans="2:2" ht="13.2">
      <c r="B496" s="90"/>
    </row>
    <row r="497" spans="2:2" ht="13.2">
      <c r="B497" s="90"/>
    </row>
    <row r="498" spans="2:2" ht="13.2">
      <c r="B498" s="90"/>
    </row>
    <row r="499" spans="2:2" ht="13.2">
      <c r="B499" s="90"/>
    </row>
    <row r="500" spans="2:2" ht="13.2">
      <c r="B500" s="90"/>
    </row>
    <row r="501" spans="2:2" ht="13.2">
      <c r="B501" s="90"/>
    </row>
    <row r="502" spans="2:2" ht="13.2">
      <c r="B502" s="90"/>
    </row>
    <row r="503" spans="2:2" ht="13.2">
      <c r="B503" s="90"/>
    </row>
    <row r="504" spans="2:2" ht="13.2">
      <c r="B504" s="90"/>
    </row>
    <row r="505" spans="2:2" ht="13.2">
      <c r="B505" s="90"/>
    </row>
    <row r="506" spans="2:2" ht="13.2">
      <c r="B506" s="90"/>
    </row>
    <row r="507" spans="2:2" ht="13.2">
      <c r="B507" s="90"/>
    </row>
    <row r="508" spans="2:2" ht="13.2">
      <c r="B508" s="90"/>
    </row>
    <row r="509" spans="2:2" ht="13.2">
      <c r="B509" s="90"/>
    </row>
    <row r="510" spans="2:2" ht="13.2">
      <c r="B510" s="90"/>
    </row>
    <row r="511" spans="2:2" ht="13.2">
      <c r="B511" s="90"/>
    </row>
    <row r="512" spans="2:2" ht="13.2">
      <c r="B512" s="90"/>
    </row>
    <row r="513" spans="2:2" ht="13.2">
      <c r="B513" s="90"/>
    </row>
    <row r="514" spans="2:2" ht="13.2">
      <c r="B514" s="90"/>
    </row>
    <row r="515" spans="2:2" ht="13.2">
      <c r="B515" s="90"/>
    </row>
    <row r="516" spans="2:2" ht="13.2">
      <c r="B516" s="90"/>
    </row>
    <row r="517" spans="2:2" ht="13.2">
      <c r="B517" s="90"/>
    </row>
    <row r="518" spans="2:2" ht="13.2">
      <c r="B518" s="90"/>
    </row>
    <row r="519" spans="2:2" ht="13.2">
      <c r="B519" s="90"/>
    </row>
    <row r="520" spans="2:2" ht="13.2">
      <c r="B520" s="90"/>
    </row>
    <row r="521" spans="2:2" ht="13.2">
      <c r="B521" s="90"/>
    </row>
    <row r="522" spans="2:2" ht="13.2">
      <c r="B522" s="90"/>
    </row>
    <row r="523" spans="2:2" ht="13.2">
      <c r="B523" s="90"/>
    </row>
    <row r="524" spans="2:2" ht="13.2">
      <c r="B524" s="90"/>
    </row>
    <row r="525" spans="2:2" ht="13.2">
      <c r="B525" s="90"/>
    </row>
    <row r="526" spans="2:2" ht="13.2">
      <c r="B526" s="90"/>
    </row>
    <row r="527" spans="2:2" ht="13.2">
      <c r="B527" s="90"/>
    </row>
    <row r="528" spans="2:2" ht="13.2">
      <c r="B528" s="90"/>
    </row>
    <row r="529" spans="2:2" ht="13.2">
      <c r="B529" s="90"/>
    </row>
    <row r="530" spans="2:2" ht="13.2">
      <c r="B530" s="90"/>
    </row>
    <row r="531" spans="2:2" ht="13.2">
      <c r="B531" s="90"/>
    </row>
    <row r="532" spans="2:2" ht="13.2">
      <c r="B532" s="90"/>
    </row>
    <row r="533" spans="2:2" ht="13.2">
      <c r="B533" s="90"/>
    </row>
    <row r="534" spans="2:2" ht="13.2">
      <c r="B534" s="90"/>
    </row>
    <row r="535" spans="2:2" ht="13.2">
      <c r="B535" s="90"/>
    </row>
    <row r="536" spans="2:2" ht="13.2">
      <c r="B536" s="90"/>
    </row>
    <row r="537" spans="2:2" ht="13.2">
      <c r="B537" s="90"/>
    </row>
    <row r="538" spans="2:2" ht="13.2">
      <c r="B538" s="90"/>
    </row>
    <row r="539" spans="2:2" ht="13.2">
      <c r="B539" s="90"/>
    </row>
    <row r="540" spans="2:2" ht="13.2">
      <c r="B540" s="90"/>
    </row>
    <row r="541" spans="2:2" ht="13.2">
      <c r="B541" s="90"/>
    </row>
    <row r="542" spans="2:2" ht="13.2">
      <c r="B542" s="90"/>
    </row>
    <row r="543" spans="2:2" ht="13.2">
      <c r="B543" s="90"/>
    </row>
    <row r="544" spans="2:2" ht="13.2">
      <c r="B544" s="90"/>
    </row>
    <row r="545" spans="2:2" ht="13.2">
      <c r="B545" s="90"/>
    </row>
    <row r="546" spans="2:2" ht="13.2">
      <c r="B546" s="90"/>
    </row>
    <row r="547" spans="2:2" ht="13.2">
      <c r="B547" s="90"/>
    </row>
    <row r="548" spans="2:2" ht="13.2">
      <c r="B548" s="90"/>
    </row>
    <row r="549" spans="2:2" ht="13.2">
      <c r="B549" s="90"/>
    </row>
    <row r="550" spans="2:2" ht="13.2">
      <c r="B550" s="90"/>
    </row>
    <row r="551" spans="2:2" ht="13.2">
      <c r="B551" s="90"/>
    </row>
    <row r="552" spans="2:2" ht="13.2">
      <c r="B552" s="90"/>
    </row>
    <row r="553" spans="2:2" ht="13.2">
      <c r="B553" s="90"/>
    </row>
    <row r="554" spans="2:2" ht="13.2">
      <c r="B554" s="90"/>
    </row>
    <row r="555" spans="2:2" ht="13.2">
      <c r="B555" s="90"/>
    </row>
    <row r="556" spans="2:2" ht="13.2">
      <c r="B556" s="90"/>
    </row>
    <row r="557" spans="2:2" ht="13.2">
      <c r="B557" s="90"/>
    </row>
    <row r="558" spans="2:2" ht="13.2">
      <c r="B558" s="90"/>
    </row>
    <row r="559" spans="2:2" ht="13.2">
      <c r="B559" s="90"/>
    </row>
    <row r="560" spans="2:2" ht="13.2">
      <c r="B560" s="90"/>
    </row>
    <row r="561" spans="2:2" ht="13.2">
      <c r="B561" s="90"/>
    </row>
    <row r="562" spans="2:2" ht="13.2">
      <c r="B562" s="90"/>
    </row>
    <row r="563" spans="2:2" ht="13.2">
      <c r="B563" s="90"/>
    </row>
    <row r="564" spans="2:2" ht="13.2">
      <c r="B564" s="90"/>
    </row>
    <row r="565" spans="2:2" ht="13.2">
      <c r="B565" s="90"/>
    </row>
    <row r="566" spans="2:2" ht="13.2">
      <c r="B566" s="90"/>
    </row>
    <row r="567" spans="2:2" ht="13.2">
      <c r="B567" s="90"/>
    </row>
    <row r="568" spans="2:2" ht="13.2">
      <c r="B568" s="90"/>
    </row>
    <row r="569" spans="2:2" ht="13.2">
      <c r="B569" s="90"/>
    </row>
    <row r="570" spans="2:2" ht="13.2">
      <c r="B570" s="90"/>
    </row>
    <row r="571" spans="2:2" ht="13.2">
      <c r="B571" s="90"/>
    </row>
    <row r="572" spans="2:2" ht="13.2">
      <c r="B572" s="90"/>
    </row>
    <row r="573" spans="2:2" ht="13.2">
      <c r="B573" s="90"/>
    </row>
    <row r="574" spans="2:2" ht="13.2">
      <c r="B574" s="90"/>
    </row>
    <row r="575" spans="2:2" ht="13.2">
      <c r="B575" s="90"/>
    </row>
    <row r="576" spans="2:2" ht="13.2">
      <c r="B576" s="90"/>
    </row>
    <row r="577" spans="2:2" ht="13.2">
      <c r="B577" s="90"/>
    </row>
    <row r="578" spans="2:2" ht="13.2">
      <c r="B578" s="90"/>
    </row>
    <row r="579" spans="2:2" ht="13.2">
      <c r="B579" s="90"/>
    </row>
    <row r="580" spans="2:2" ht="13.2">
      <c r="B580" s="90"/>
    </row>
    <row r="581" spans="2:2" ht="13.2">
      <c r="B581" s="90"/>
    </row>
    <row r="582" spans="2:2" ht="13.2">
      <c r="B582" s="90"/>
    </row>
    <row r="583" spans="2:2" ht="13.2">
      <c r="B583" s="90"/>
    </row>
    <row r="584" spans="2:2" ht="13.2">
      <c r="B584" s="90"/>
    </row>
    <row r="585" spans="2:2" ht="13.2">
      <c r="B585" s="90"/>
    </row>
    <row r="586" spans="2:2" ht="13.2">
      <c r="B586" s="90"/>
    </row>
    <row r="587" spans="2:2" ht="13.2">
      <c r="B587" s="90"/>
    </row>
    <row r="588" spans="2:2" ht="13.2">
      <c r="B588" s="90"/>
    </row>
    <row r="589" spans="2:2" ht="13.2">
      <c r="B589" s="90"/>
    </row>
    <row r="590" spans="2:2" ht="13.2">
      <c r="B590" s="90"/>
    </row>
    <row r="591" spans="2:2" ht="13.2">
      <c r="B591" s="90"/>
    </row>
    <row r="592" spans="2:2" ht="13.2">
      <c r="B592" s="90"/>
    </row>
    <row r="593" spans="2:2" ht="13.2">
      <c r="B593" s="90"/>
    </row>
    <row r="594" spans="2:2" ht="13.2">
      <c r="B594" s="90"/>
    </row>
    <row r="595" spans="2:2" ht="13.2">
      <c r="B595" s="90"/>
    </row>
    <row r="596" spans="2:2" ht="13.2">
      <c r="B596" s="90"/>
    </row>
    <row r="597" spans="2:2" ht="13.2">
      <c r="B597" s="90"/>
    </row>
    <row r="598" spans="2:2" ht="13.2">
      <c r="B598" s="90"/>
    </row>
    <row r="599" spans="2:2" ht="13.2">
      <c r="B599" s="90"/>
    </row>
    <row r="600" spans="2:2" ht="13.2">
      <c r="B600" s="90"/>
    </row>
    <row r="601" spans="2:2" ht="13.2">
      <c r="B601" s="90"/>
    </row>
    <row r="602" spans="2:2" ht="13.2">
      <c r="B602" s="90"/>
    </row>
    <row r="603" spans="2:2" ht="13.2">
      <c r="B603" s="90"/>
    </row>
    <row r="604" spans="2:2" ht="13.2">
      <c r="B604" s="90"/>
    </row>
    <row r="605" spans="2:2" ht="13.2">
      <c r="B605" s="90"/>
    </row>
    <row r="606" spans="2:2" ht="13.2">
      <c r="B606" s="90"/>
    </row>
    <row r="607" spans="2:2" ht="13.2">
      <c r="B607" s="90"/>
    </row>
    <row r="608" spans="2:2" ht="13.2">
      <c r="B608" s="90"/>
    </row>
    <row r="609" spans="2:2" ht="13.2">
      <c r="B609" s="90"/>
    </row>
    <row r="610" spans="2:2" ht="13.2">
      <c r="B610" s="90"/>
    </row>
    <row r="611" spans="2:2" ht="13.2">
      <c r="B611" s="90"/>
    </row>
    <row r="612" spans="2:2" ht="13.2">
      <c r="B612" s="90"/>
    </row>
    <row r="613" spans="2:2" ht="13.2">
      <c r="B613" s="90"/>
    </row>
    <row r="614" spans="2:2" ht="13.2">
      <c r="B614" s="90"/>
    </row>
    <row r="615" spans="2:2" ht="13.2">
      <c r="B615" s="90"/>
    </row>
    <row r="616" spans="2:2" ht="13.2">
      <c r="B616" s="90"/>
    </row>
    <row r="617" spans="2:2" ht="13.2">
      <c r="B617" s="90"/>
    </row>
    <row r="618" spans="2:2" ht="13.2">
      <c r="B618" s="90"/>
    </row>
    <row r="619" spans="2:2" ht="13.2">
      <c r="B619" s="90"/>
    </row>
    <row r="620" spans="2:2" ht="13.2">
      <c r="B620" s="90"/>
    </row>
    <row r="621" spans="2:2" ht="13.2">
      <c r="B621" s="90"/>
    </row>
    <row r="622" spans="2:2" ht="13.2">
      <c r="B622" s="90"/>
    </row>
    <row r="623" spans="2:2" ht="13.2">
      <c r="B623" s="90"/>
    </row>
    <row r="624" spans="2:2" ht="13.2">
      <c r="B624" s="90"/>
    </row>
    <row r="625" spans="2:2" ht="13.2">
      <c r="B625" s="90"/>
    </row>
    <row r="626" spans="2:2" ht="13.2">
      <c r="B626" s="90"/>
    </row>
    <row r="627" spans="2:2" ht="13.2">
      <c r="B627" s="90"/>
    </row>
    <row r="628" spans="2:2" ht="13.2">
      <c r="B628" s="90"/>
    </row>
    <row r="629" spans="2:2" ht="13.2">
      <c r="B629" s="90"/>
    </row>
    <row r="630" spans="2:2" ht="13.2">
      <c r="B630" s="90"/>
    </row>
    <row r="631" spans="2:2" ht="13.2">
      <c r="B631" s="90"/>
    </row>
    <row r="632" spans="2:2" ht="13.2">
      <c r="B632" s="90"/>
    </row>
    <row r="633" spans="2:2" ht="13.2">
      <c r="B633" s="90"/>
    </row>
    <row r="634" spans="2:2" ht="13.2">
      <c r="B634" s="90"/>
    </row>
    <row r="635" spans="2:2" ht="13.2">
      <c r="B635" s="90"/>
    </row>
    <row r="636" spans="2:2" ht="13.2">
      <c r="B636" s="90"/>
    </row>
    <row r="637" spans="2:2" ht="13.2">
      <c r="B637" s="90"/>
    </row>
    <row r="638" spans="2:2" ht="13.2">
      <c r="B638" s="90"/>
    </row>
    <row r="639" spans="2:2" ht="13.2">
      <c r="B639" s="90"/>
    </row>
    <row r="640" spans="2:2" ht="13.2">
      <c r="B640" s="90"/>
    </row>
    <row r="641" spans="2:2" ht="13.2">
      <c r="B641" s="90"/>
    </row>
    <row r="642" spans="2:2" ht="13.2">
      <c r="B642" s="90"/>
    </row>
    <row r="643" spans="2:2" ht="13.2">
      <c r="B643" s="90"/>
    </row>
    <row r="644" spans="2:2" ht="13.2">
      <c r="B644" s="90"/>
    </row>
    <row r="645" spans="2:2" ht="13.2">
      <c r="B645" s="90"/>
    </row>
    <row r="646" spans="2:2" ht="13.2">
      <c r="B646" s="90"/>
    </row>
    <row r="647" spans="2:2" ht="13.2">
      <c r="B647" s="90"/>
    </row>
    <row r="648" spans="2:2" ht="13.2">
      <c r="B648" s="90"/>
    </row>
    <row r="649" spans="2:2" ht="13.2">
      <c r="B649" s="90"/>
    </row>
    <row r="650" spans="2:2" ht="13.2">
      <c r="B650" s="90"/>
    </row>
    <row r="651" spans="2:2" ht="13.2">
      <c r="B651" s="90"/>
    </row>
    <row r="652" spans="2:2" ht="13.2">
      <c r="B652" s="90"/>
    </row>
    <row r="653" spans="2:2" ht="13.2">
      <c r="B653" s="90"/>
    </row>
    <row r="654" spans="2:2" ht="13.2">
      <c r="B654" s="90"/>
    </row>
    <row r="655" spans="2:2" ht="13.2">
      <c r="B655" s="90"/>
    </row>
    <row r="656" spans="2:2" ht="13.2">
      <c r="B656" s="90"/>
    </row>
    <row r="657" spans="2:2" ht="13.2">
      <c r="B657" s="90"/>
    </row>
    <row r="658" spans="2:2" ht="13.2">
      <c r="B658" s="90"/>
    </row>
    <row r="659" spans="2:2" ht="13.2">
      <c r="B659" s="90"/>
    </row>
    <row r="660" spans="2:2" ht="13.2">
      <c r="B660" s="90"/>
    </row>
    <row r="661" spans="2:2" ht="13.2">
      <c r="B661" s="90"/>
    </row>
    <row r="662" spans="2:2" ht="13.2">
      <c r="B662" s="90"/>
    </row>
    <row r="663" spans="2:2" ht="13.2">
      <c r="B663" s="90"/>
    </row>
    <row r="664" spans="2:2" ht="13.2">
      <c r="B664" s="90"/>
    </row>
    <row r="665" spans="2:2" ht="13.2">
      <c r="B665" s="90"/>
    </row>
    <row r="666" spans="2:2" ht="13.2">
      <c r="B666" s="90"/>
    </row>
    <row r="667" spans="2:2" ht="13.2">
      <c r="B667" s="90"/>
    </row>
    <row r="668" spans="2:2" ht="13.2">
      <c r="B668" s="90"/>
    </row>
    <row r="669" spans="2:2" ht="13.2">
      <c r="B669" s="90"/>
    </row>
    <row r="670" spans="2:2" ht="13.2">
      <c r="B670" s="90"/>
    </row>
    <row r="671" spans="2:2" ht="13.2">
      <c r="B671" s="90"/>
    </row>
    <row r="672" spans="2:2" ht="13.2">
      <c r="B672" s="90"/>
    </row>
    <row r="673" spans="2:2" ht="13.2">
      <c r="B673" s="90"/>
    </row>
    <row r="674" spans="2:2" ht="13.2">
      <c r="B674" s="90"/>
    </row>
    <row r="675" spans="2:2" ht="13.2">
      <c r="B675" s="90"/>
    </row>
    <row r="676" spans="2:2" ht="13.2">
      <c r="B676" s="90"/>
    </row>
    <row r="677" spans="2:2" ht="13.2">
      <c r="B677" s="90"/>
    </row>
    <row r="678" spans="2:2" ht="13.2">
      <c r="B678" s="90"/>
    </row>
    <row r="679" spans="2:2" ht="13.2">
      <c r="B679" s="90"/>
    </row>
    <row r="680" spans="2:2" ht="13.2">
      <c r="B680" s="90"/>
    </row>
    <row r="681" spans="2:2" ht="13.2">
      <c r="B681" s="90"/>
    </row>
    <row r="682" spans="2:2" ht="13.2">
      <c r="B682" s="90"/>
    </row>
    <row r="683" spans="2:2" ht="13.2">
      <c r="B683" s="90"/>
    </row>
    <row r="684" spans="2:2" ht="13.2">
      <c r="B684" s="90"/>
    </row>
    <row r="685" spans="2:2" ht="13.2">
      <c r="B685" s="90"/>
    </row>
    <row r="686" spans="2:2" ht="13.2">
      <c r="B686" s="90"/>
    </row>
    <row r="687" spans="2:2" ht="13.2">
      <c r="B687" s="90"/>
    </row>
    <row r="688" spans="2:2" ht="13.2">
      <c r="B688" s="90"/>
    </row>
    <row r="689" spans="2:2" ht="13.2">
      <c r="B689" s="90"/>
    </row>
    <row r="690" spans="2:2" ht="13.2">
      <c r="B690" s="90"/>
    </row>
    <row r="691" spans="2:2" ht="13.2">
      <c r="B691" s="90"/>
    </row>
    <row r="692" spans="2:2" ht="13.2">
      <c r="B692" s="90"/>
    </row>
    <row r="693" spans="2:2" ht="13.2">
      <c r="B693" s="90"/>
    </row>
    <row r="694" spans="2:2" ht="13.2">
      <c r="B694" s="90"/>
    </row>
    <row r="695" spans="2:2" ht="13.2">
      <c r="B695" s="90"/>
    </row>
    <row r="696" spans="2:2" ht="13.2">
      <c r="B696" s="90"/>
    </row>
    <row r="697" spans="2:2" ht="13.2">
      <c r="B697" s="90"/>
    </row>
    <row r="698" spans="2:2" ht="13.2">
      <c r="B698" s="90"/>
    </row>
    <row r="699" spans="2:2" ht="13.2">
      <c r="B699" s="90"/>
    </row>
    <row r="700" spans="2:2" ht="13.2">
      <c r="B700" s="90"/>
    </row>
    <row r="701" spans="2:2" ht="13.2">
      <c r="B701" s="90"/>
    </row>
    <row r="702" spans="2:2" ht="13.2">
      <c r="B702" s="90"/>
    </row>
    <row r="703" spans="2:2" ht="13.2">
      <c r="B703" s="90"/>
    </row>
    <row r="704" spans="2:2" ht="13.2">
      <c r="B704" s="90"/>
    </row>
    <row r="705" spans="2:2" ht="13.2">
      <c r="B705" s="90"/>
    </row>
    <row r="706" spans="2:2" ht="13.2">
      <c r="B706" s="90"/>
    </row>
    <row r="707" spans="2:2" ht="13.2">
      <c r="B707" s="90"/>
    </row>
    <row r="708" spans="2:2" ht="13.2">
      <c r="B708" s="90"/>
    </row>
    <row r="709" spans="2:2" ht="13.2">
      <c r="B709" s="90"/>
    </row>
    <row r="710" spans="2:2" ht="13.2">
      <c r="B710" s="90"/>
    </row>
    <row r="711" spans="2:2" ht="13.2">
      <c r="B711" s="90"/>
    </row>
    <row r="712" spans="2:2" ht="13.2">
      <c r="B712" s="90"/>
    </row>
    <row r="713" spans="2:2" ht="13.2">
      <c r="B713" s="90"/>
    </row>
    <row r="714" spans="2:2" ht="13.2">
      <c r="B714" s="90"/>
    </row>
    <row r="715" spans="2:2" ht="13.2">
      <c r="B715" s="90"/>
    </row>
    <row r="716" spans="2:2" ht="13.2">
      <c r="B716" s="90"/>
    </row>
    <row r="717" spans="2:2" ht="13.2">
      <c r="B717" s="90"/>
    </row>
    <row r="718" spans="2:2" ht="13.2">
      <c r="B718" s="90"/>
    </row>
    <row r="719" spans="2:2" ht="13.2">
      <c r="B719" s="90"/>
    </row>
    <row r="720" spans="2:2" ht="13.2">
      <c r="B720" s="90"/>
    </row>
    <row r="721" spans="2:2" ht="13.2">
      <c r="B721" s="90"/>
    </row>
    <row r="722" spans="2:2" ht="13.2">
      <c r="B722" s="90"/>
    </row>
    <row r="723" spans="2:2" ht="13.2">
      <c r="B723" s="90"/>
    </row>
    <row r="724" spans="2:2" ht="13.2">
      <c r="B724" s="90"/>
    </row>
    <row r="725" spans="2:2" ht="13.2">
      <c r="B725" s="90"/>
    </row>
    <row r="726" spans="2:2" ht="13.2">
      <c r="B726" s="90"/>
    </row>
    <row r="727" spans="2:2" ht="13.2">
      <c r="B727" s="90"/>
    </row>
    <row r="728" spans="2:2" ht="13.2">
      <c r="B728" s="90"/>
    </row>
    <row r="729" spans="2:2" ht="13.2">
      <c r="B729" s="90"/>
    </row>
    <row r="730" spans="2:2" ht="13.2">
      <c r="B730" s="90"/>
    </row>
    <row r="731" spans="2:2" ht="13.2">
      <c r="B731" s="90"/>
    </row>
    <row r="732" spans="2:2" ht="13.2">
      <c r="B732" s="90"/>
    </row>
    <row r="733" spans="2:2" ht="13.2">
      <c r="B733" s="90"/>
    </row>
    <row r="734" spans="2:2" ht="13.2">
      <c r="B734" s="90"/>
    </row>
    <row r="735" spans="2:2" ht="13.2">
      <c r="B735" s="90"/>
    </row>
    <row r="736" spans="2:2" ht="13.2">
      <c r="B736" s="90"/>
    </row>
    <row r="737" spans="2:2" ht="13.2">
      <c r="B737" s="90"/>
    </row>
    <row r="738" spans="2:2" ht="13.2">
      <c r="B738" s="90"/>
    </row>
    <row r="739" spans="2:2" ht="13.2">
      <c r="B739" s="90"/>
    </row>
    <row r="740" spans="2:2" ht="13.2">
      <c r="B740" s="90"/>
    </row>
    <row r="741" spans="2:2" ht="13.2">
      <c r="B741" s="90"/>
    </row>
    <row r="742" spans="2:2" ht="13.2">
      <c r="B742" s="90"/>
    </row>
    <row r="743" spans="2:2" ht="13.2">
      <c r="B743" s="90"/>
    </row>
    <row r="744" spans="2:2" ht="13.2">
      <c r="B744" s="90"/>
    </row>
    <row r="745" spans="2:2" ht="13.2">
      <c r="B745" s="90"/>
    </row>
    <row r="746" spans="2:2" ht="13.2">
      <c r="B746" s="90"/>
    </row>
    <row r="747" spans="2:2" ht="13.2">
      <c r="B747" s="90"/>
    </row>
    <row r="748" spans="2:2" ht="13.2">
      <c r="B748" s="90"/>
    </row>
    <row r="749" spans="2:2" ht="13.2">
      <c r="B749" s="90"/>
    </row>
    <row r="750" spans="2:2" ht="13.2">
      <c r="B750" s="90"/>
    </row>
    <row r="751" spans="2:2" ht="13.2">
      <c r="B751" s="90"/>
    </row>
    <row r="752" spans="2:2" ht="13.2">
      <c r="B752" s="90"/>
    </row>
    <row r="753" spans="2:2" ht="13.2">
      <c r="B753" s="90"/>
    </row>
    <row r="754" spans="2:2" ht="13.2">
      <c r="B754" s="90"/>
    </row>
    <row r="755" spans="2:2" ht="13.2">
      <c r="B755" s="90"/>
    </row>
    <row r="756" spans="2:2" ht="13.2">
      <c r="B756" s="90"/>
    </row>
    <row r="757" spans="2:2" ht="13.2">
      <c r="B757" s="90"/>
    </row>
    <row r="758" spans="2:2" ht="13.2">
      <c r="B758" s="90"/>
    </row>
    <row r="759" spans="2:2" ht="13.2">
      <c r="B759" s="90"/>
    </row>
    <row r="760" spans="2:2" ht="13.2">
      <c r="B760" s="90"/>
    </row>
    <row r="761" spans="2:2" ht="13.2">
      <c r="B761" s="90"/>
    </row>
    <row r="762" spans="2:2" ht="13.2">
      <c r="B762" s="90"/>
    </row>
    <row r="763" spans="2:2" ht="13.2">
      <c r="B763" s="90"/>
    </row>
    <row r="764" spans="2:2" ht="13.2">
      <c r="B764" s="90"/>
    </row>
    <row r="765" spans="2:2" ht="13.2">
      <c r="B765" s="90"/>
    </row>
    <row r="766" spans="2:2" ht="13.2">
      <c r="B766" s="90"/>
    </row>
    <row r="767" spans="2:2" ht="13.2">
      <c r="B767" s="90"/>
    </row>
    <row r="768" spans="2:2" ht="13.2">
      <c r="B768" s="90"/>
    </row>
    <row r="769" spans="2:2" ht="13.2">
      <c r="B769" s="90"/>
    </row>
    <row r="770" spans="2:2" ht="13.2">
      <c r="B770" s="90"/>
    </row>
    <row r="771" spans="2:2" ht="13.2">
      <c r="B771" s="90"/>
    </row>
    <row r="772" spans="2:2" ht="13.2">
      <c r="B772" s="90"/>
    </row>
    <row r="773" spans="2:2" ht="13.2">
      <c r="B773" s="90"/>
    </row>
    <row r="774" spans="2:2" ht="13.2">
      <c r="B774" s="90"/>
    </row>
    <row r="775" spans="2:2" ht="13.2">
      <c r="B775" s="90"/>
    </row>
    <row r="776" spans="2:2" ht="13.2">
      <c r="B776" s="90"/>
    </row>
    <row r="777" spans="2:2" ht="13.2">
      <c r="B777" s="90"/>
    </row>
    <row r="778" spans="2:2" ht="13.2">
      <c r="B778" s="90"/>
    </row>
    <row r="779" spans="2:2" ht="13.2">
      <c r="B779" s="90"/>
    </row>
    <row r="780" spans="2:2" ht="13.2">
      <c r="B780" s="90"/>
    </row>
    <row r="781" spans="2:2" ht="13.2">
      <c r="B781" s="90"/>
    </row>
    <row r="782" spans="2:2" ht="13.2">
      <c r="B782" s="90"/>
    </row>
    <row r="783" spans="2:2" ht="13.2">
      <c r="B783" s="90"/>
    </row>
    <row r="784" spans="2:2" ht="13.2">
      <c r="B784" s="90"/>
    </row>
    <row r="785" spans="2:2" ht="13.2">
      <c r="B785" s="90"/>
    </row>
    <row r="786" spans="2:2" ht="13.2">
      <c r="B786" s="90"/>
    </row>
    <row r="787" spans="2:2" ht="13.2">
      <c r="B787" s="90"/>
    </row>
    <row r="788" spans="2:2" ht="13.2">
      <c r="B788" s="90"/>
    </row>
    <row r="789" spans="2:2" ht="13.2">
      <c r="B789" s="90"/>
    </row>
    <row r="790" spans="2:2" ht="13.2">
      <c r="B790" s="90"/>
    </row>
    <row r="791" spans="2:2" ht="13.2">
      <c r="B791" s="90"/>
    </row>
    <row r="792" spans="2:2" ht="13.2">
      <c r="B792" s="90"/>
    </row>
    <row r="793" spans="2:2" ht="13.2">
      <c r="B793" s="90"/>
    </row>
    <row r="794" spans="2:2" ht="13.2">
      <c r="B794" s="90"/>
    </row>
    <row r="795" spans="2:2" ht="13.2">
      <c r="B795" s="90"/>
    </row>
    <row r="796" spans="2:2" ht="13.2">
      <c r="B796" s="90"/>
    </row>
    <row r="797" spans="2:2" ht="13.2">
      <c r="B797" s="90"/>
    </row>
    <row r="798" spans="2:2" ht="13.2">
      <c r="B798" s="90"/>
    </row>
    <row r="799" spans="2:2" ht="13.2">
      <c r="B799" s="90"/>
    </row>
    <row r="800" spans="2:2" ht="13.2">
      <c r="B800" s="90"/>
    </row>
    <row r="801" spans="2:2" ht="13.2">
      <c r="B801" s="90"/>
    </row>
    <row r="802" spans="2:2" ht="13.2">
      <c r="B802" s="90"/>
    </row>
    <row r="803" spans="2:2" ht="13.2">
      <c r="B803" s="90"/>
    </row>
    <row r="804" spans="2:2" ht="13.2">
      <c r="B804" s="90"/>
    </row>
    <row r="805" spans="2:2" ht="13.2">
      <c r="B805" s="90"/>
    </row>
    <row r="806" spans="2:2" ht="13.2">
      <c r="B806" s="90"/>
    </row>
    <row r="807" spans="2:2" ht="13.2">
      <c r="B807" s="90"/>
    </row>
    <row r="808" spans="2:2" ht="13.2">
      <c r="B808" s="90"/>
    </row>
    <row r="809" spans="2:2" ht="13.2">
      <c r="B809" s="90"/>
    </row>
    <row r="810" spans="2:2" ht="13.2">
      <c r="B810" s="90"/>
    </row>
    <row r="811" spans="2:2" ht="13.2">
      <c r="B811" s="90"/>
    </row>
    <row r="812" spans="2:2" ht="13.2">
      <c r="B812" s="90"/>
    </row>
    <row r="813" spans="2:2" ht="13.2">
      <c r="B813" s="90"/>
    </row>
    <row r="814" spans="2:2" ht="13.2">
      <c r="B814" s="90"/>
    </row>
    <row r="815" spans="2:2" ht="13.2">
      <c r="B815" s="90"/>
    </row>
    <row r="816" spans="2:2" ht="13.2">
      <c r="B816" s="90"/>
    </row>
    <row r="817" spans="2:2" ht="13.2">
      <c r="B817" s="90"/>
    </row>
    <row r="818" spans="2:2" ht="13.2">
      <c r="B818" s="90"/>
    </row>
    <row r="819" spans="2:2" ht="13.2">
      <c r="B819" s="90"/>
    </row>
    <row r="820" spans="2:2" ht="13.2">
      <c r="B820" s="90"/>
    </row>
    <row r="821" spans="2:2" ht="13.2">
      <c r="B821" s="90"/>
    </row>
    <row r="822" spans="2:2" ht="13.2">
      <c r="B822" s="90"/>
    </row>
    <row r="823" spans="2:2" ht="13.2">
      <c r="B823" s="90"/>
    </row>
    <row r="824" spans="2:2" ht="13.2">
      <c r="B824" s="90"/>
    </row>
    <row r="825" spans="2:2" ht="13.2">
      <c r="B825" s="90"/>
    </row>
    <row r="826" spans="2:2" ht="13.2">
      <c r="B826" s="90"/>
    </row>
    <row r="827" spans="2:2" ht="13.2">
      <c r="B827" s="90"/>
    </row>
    <row r="828" spans="2:2" ht="13.2">
      <c r="B828" s="90"/>
    </row>
    <row r="829" spans="2:2" ht="13.2">
      <c r="B829" s="90"/>
    </row>
    <row r="830" spans="2:2" ht="13.2">
      <c r="B830" s="90"/>
    </row>
    <row r="831" spans="2:2" ht="13.2">
      <c r="B831" s="90"/>
    </row>
    <row r="832" spans="2:2" ht="13.2">
      <c r="B832" s="90"/>
    </row>
    <row r="833" spans="2:2" ht="13.2">
      <c r="B833" s="90"/>
    </row>
    <row r="834" spans="2:2" ht="13.2">
      <c r="B834" s="90"/>
    </row>
    <row r="835" spans="2:2" ht="13.2">
      <c r="B835" s="90"/>
    </row>
    <row r="836" spans="2:2" ht="13.2">
      <c r="B836" s="90"/>
    </row>
    <row r="837" spans="2:2" ht="13.2">
      <c r="B837" s="90"/>
    </row>
    <row r="838" spans="2:2" ht="13.2">
      <c r="B838" s="90"/>
    </row>
    <row r="839" spans="2:2" ht="13.2">
      <c r="B839" s="90"/>
    </row>
    <row r="840" spans="2:2" ht="13.2">
      <c r="B840" s="90"/>
    </row>
    <row r="841" spans="2:2" ht="13.2">
      <c r="B841" s="90"/>
    </row>
    <row r="842" spans="2:2" ht="13.2">
      <c r="B842" s="90"/>
    </row>
    <row r="843" spans="2:2" ht="13.2">
      <c r="B843" s="90"/>
    </row>
    <row r="844" spans="2:2" ht="13.2">
      <c r="B844" s="90"/>
    </row>
    <row r="845" spans="2:2" ht="13.2">
      <c r="B845" s="90"/>
    </row>
    <row r="846" spans="2:2" ht="13.2">
      <c r="B846" s="90"/>
    </row>
    <row r="847" spans="2:2" ht="13.2">
      <c r="B847" s="90"/>
    </row>
    <row r="848" spans="2:2" ht="13.2">
      <c r="B848" s="90"/>
    </row>
    <row r="849" spans="2:2" ht="13.2">
      <c r="B849" s="90"/>
    </row>
    <row r="850" spans="2:2" ht="13.2">
      <c r="B850" s="90"/>
    </row>
    <row r="851" spans="2:2" ht="13.2">
      <c r="B851" s="90"/>
    </row>
    <row r="852" spans="2:2" ht="13.2">
      <c r="B852" s="90"/>
    </row>
    <row r="853" spans="2:2" ht="13.2">
      <c r="B853" s="90"/>
    </row>
    <row r="854" spans="2:2" ht="13.2">
      <c r="B854" s="90"/>
    </row>
    <row r="855" spans="2:2" ht="13.2">
      <c r="B855" s="90"/>
    </row>
    <row r="856" spans="2:2" ht="13.2">
      <c r="B856" s="90"/>
    </row>
    <row r="857" spans="2:2" ht="13.2">
      <c r="B857" s="90"/>
    </row>
    <row r="858" spans="2:2" ht="13.2">
      <c r="B858" s="90"/>
    </row>
    <row r="859" spans="2:2" ht="13.2">
      <c r="B859" s="90"/>
    </row>
    <row r="860" spans="2:2" ht="13.2">
      <c r="B860" s="90"/>
    </row>
    <row r="861" spans="2:2" ht="13.2">
      <c r="B861" s="90"/>
    </row>
    <row r="862" spans="2:2" ht="13.2">
      <c r="B862" s="90"/>
    </row>
    <row r="863" spans="2:2" ht="13.2">
      <c r="B863" s="90"/>
    </row>
    <row r="864" spans="2:2" ht="13.2">
      <c r="B864" s="90"/>
    </row>
    <row r="865" spans="2:2" ht="13.2">
      <c r="B865" s="90"/>
    </row>
    <row r="866" spans="2:2" ht="13.2">
      <c r="B866" s="90"/>
    </row>
    <row r="867" spans="2:2" ht="13.2">
      <c r="B867" s="90"/>
    </row>
    <row r="868" spans="2:2" ht="13.2">
      <c r="B868" s="90"/>
    </row>
    <row r="869" spans="2:2" ht="13.2">
      <c r="B869" s="90"/>
    </row>
    <row r="870" spans="2:2" ht="13.2">
      <c r="B870" s="90"/>
    </row>
    <row r="871" spans="2:2" ht="13.2">
      <c r="B871" s="90"/>
    </row>
    <row r="872" spans="2:2" ht="13.2">
      <c r="B872" s="90"/>
    </row>
    <row r="873" spans="2:2" ht="13.2">
      <c r="B873" s="90"/>
    </row>
    <row r="874" spans="2:2" ht="13.2">
      <c r="B874" s="90"/>
    </row>
    <row r="875" spans="2:2" ht="13.2">
      <c r="B875" s="90"/>
    </row>
    <row r="876" spans="2:2" ht="13.2">
      <c r="B876" s="90"/>
    </row>
    <row r="877" spans="2:2" ht="13.2">
      <c r="B877" s="90"/>
    </row>
    <row r="878" spans="2:2" ht="13.2">
      <c r="B878" s="90"/>
    </row>
    <row r="879" spans="2:2" ht="13.2">
      <c r="B879" s="90"/>
    </row>
    <row r="880" spans="2:2" ht="13.2">
      <c r="B880" s="90"/>
    </row>
    <row r="881" spans="2:2" ht="13.2">
      <c r="B881" s="90"/>
    </row>
    <row r="882" spans="2:2" ht="13.2">
      <c r="B882" s="90"/>
    </row>
    <row r="883" spans="2:2" ht="13.2">
      <c r="B883" s="90"/>
    </row>
    <row r="884" spans="2:2" ht="13.2">
      <c r="B884" s="90"/>
    </row>
    <row r="885" spans="2:2" ht="13.2">
      <c r="B885" s="90"/>
    </row>
    <row r="886" spans="2:2" ht="13.2">
      <c r="B886" s="90"/>
    </row>
    <row r="887" spans="2:2" ht="13.2">
      <c r="B887" s="90"/>
    </row>
    <row r="888" spans="2:2" ht="13.2">
      <c r="B888" s="90"/>
    </row>
    <row r="889" spans="2:2" ht="13.2">
      <c r="B889" s="90"/>
    </row>
    <row r="890" spans="2:2" ht="13.2">
      <c r="B890" s="90"/>
    </row>
    <row r="891" spans="2:2" ht="13.2">
      <c r="B891" s="90"/>
    </row>
    <row r="892" spans="2:2" ht="13.2">
      <c r="B892" s="90"/>
    </row>
    <row r="893" spans="2:2" ht="13.2">
      <c r="B893" s="90"/>
    </row>
    <row r="894" spans="2:2" ht="13.2">
      <c r="B894" s="90"/>
    </row>
    <row r="895" spans="2:2" ht="13.2">
      <c r="B895" s="90"/>
    </row>
    <row r="896" spans="2:2" ht="13.2">
      <c r="B896" s="90"/>
    </row>
    <row r="897" spans="2:2" ht="13.2">
      <c r="B897" s="90"/>
    </row>
    <row r="898" spans="2:2" ht="13.2">
      <c r="B898" s="90"/>
    </row>
    <row r="899" spans="2:2" ht="13.2">
      <c r="B899" s="90"/>
    </row>
    <row r="900" spans="2:2" ht="13.2">
      <c r="B900" s="90"/>
    </row>
    <row r="901" spans="2:2" ht="13.2">
      <c r="B901" s="90"/>
    </row>
    <row r="902" spans="2:2" ht="13.2">
      <c r="B902" s="90"/>
    </row>
    <row r="903" spans="2:2" ht="13.2">
      <c r="B903" s="90"/>
    </row>
    <row r="904" spans="2:2" ht="13.2">
      <c r="B904" s="90"/>
    </row>
    <row r="905" spans="2:2" ht="13.2">
      <c r="B905" s="90"/>
    </row>
    <row r="906" spans="2:2" ht="13.2">
      <c r="B906" s="90"/>
    </row>
    <row r="907" spans="2:2" ht="13.2">
      <c r="B907" s="90"/>
    </row>
    <row r="908" spans="2:2" ht="13.2">
      <c r="B908" s="90"/>
    </row>
    <row r="909" spans="2:2" ht="13.2">
      <c r="B909" s="90"/>
    </row>
    <row r="910" spans="2:2" ht="13.2">
      <c r="B910" s="90"/>
    </row>
    <row r="911" spans="2:2" ht="13.2">
      <c r="B911" s="90"/>
    </row>
    <row r="912" spans="2:2" ht="13.2">
      <c r="B912" s="90"/>
    </row>
    <row r="913" spans="2:2" ht="13.2">
      <c r="B913" s="90"/>
    </row>
    <row r="914" spans="2:2" ht="13.2">
      <c r="B914" s="90"/>
    </row>
    <row r="915" spans="2:2" ht="13.2">
      <c r="B915" s="90"/>
    </row>
    <row r="916" spans="2:2" ht="13.2">
      <c r="B916" s="90"/>
    </row>
    <row r="917" spans="2:2" ht="13.2">
      <c r="B917" s="90"/>
    </row>
    <row r="918" spans="2:2" ht="13.2">
      <c r="B918" s="90"/>
    </row>
    <row r="919" spans="2:2" ht="13.2">
      <c r="B919" s="90"/>
    </row>
    <row r="920" spans="2:2" ht="13.2">
      <c r="B920" s="90"/>
    </row>
    <row r="921" spans="2:2" ht="13.2">
      <c r="B921" s="90"/>
    </row>
    <row r="922" spans="2:2" ht="13.2">
      <c r="B922" s="90"/>
    </row>
    <row r="923" spans="2:2" ht="13.2">
      <c r="B923" s="90"/>
    </row>
    <row r="924" spans="2:2" ht="13.2">
      <c r="B924" s="90"/>
    </row>
    <row r="925" spans="2:2" ht="13.2">
      <c r="B925" s="90"/>
    </row>
    <row r="926" spans="2:2" ht="13.2">
      <c r="B926" s="90"/>
    </row>
    <row r="927" spans="2:2" ht="13.2">
      <c r="B927" s="90"/>
    </row>
    <row r="928" spans="2:2" ht="13.2">
      <c r="B928" s="90"/>
    </row>
    <row r="929" spans="2:2" ht="13.2">
      <c r="B929" s="90"/>
    </row>
    <row r="930" spans="2:2" ht="13.2">
      <c r="B930" s="90"/>
    </row>
    <row r="931" spans="2:2" ht="13.2">
      <c r="B931" s="90"/>
    </row>
    <row r="932" spans="2:2" ht="13.2">
      <c r="B932" s="90"/>
    </row>
    <row r="933" spans="2:2" ht="13.2">
      <c r="B933" s="90"/>
    </row>
    <row r="934" spans="2:2" ht="13.2">
      <c r="B934" s="90"/>
    </row>
    <row r="935" spans="2:2" ht="13.2">
      <c r="B935" s="90"/>
    </row>
    <row r="936" spans="2:2" ht="13.2">
      <c r="B936" s="90"/>
    </row>
    <row r="937" spans="2:2" ht="13.2">
      <c r="B937" s="90"/>
    </row>
    <row r="938" spans="2:2" ht="13.2">
      <c r="B938" s="90"/>
    </row>
    <row r="939" spans="2:2" ht="13.2">
      <c r="B939" s="90"/>
    </row>
    <row r="940" spans="2:2" ht="13.2">
      <c r="B940" s="90"/>
    </row>
    <row r="941" spans="2:2" ht="13.2">
      <c r="B941" s="90"/>
    </row>
    <row r="942" spans="2:2" ht="13.2">
      <c r="B942" s="90"/>
    </row>
    <row r="943" spans="2:2" ht="13.2">
      <c r="B943" s="90"/>
    </row>
    <row r="944" spans="2:2" ht="13.2">
      <c r="B944" s="90"/>
    </row>
    <row r="945" spans="2:2" ht="13.2">
      <c r="B945" s="90"/>
    </row>
    <row r="946" spans="2:2" ht="13.2">
      <c r="B946" s="90"/>
    </row>
    <row r="947" spans="2:2" ht="13.2">
      <c r="B947" s="90"/>
    </row>
    <row r="948" spans="2:2" ht="13.2">
      <c r="B948" s="90"/>
    </row>
    <row r="949" spans="2:2" ht="13.2">
      <c r="B949" s="90"/>
    </row>
    <row r="950" spans="2:2" ht="13.2">
      <c r="B950" s="90"/>
    </row>
    <row r="951" spans="2:2" ht="13.2">
      <c r="B951" s="90"/>
    </row>
    <row r="952" spans="2:2" ht="13.2">
      <c r="B952" s="90"/>
    </row>
    <row r="953" spans="2:2" ht="13.2">
      <c r="B953" s="90"/>
    </row>
    <row r="954" spans="2:2" ht="13.2">
      <c r="B954" s="90"/>
    </row>
    <row r="955" spans="2:2" ht="13.2">
      <c r="B955" s="90"/>
    </row>
    <row r="956" spans="2:2" ht="13.2">
      <c r="B956" s="90"/>
    </row>
    <row r="957" spans="2:2" ht="13.2">
      <c r="B957" s="90"/>
    </row>
    <row r="958" spans="2:2" ht="13.2">
      <c r="B958" s="90"/>
    </row>
    <row r="959" spans="2:2" ht="13.2">
      <c r="B959" s="90"/>
    </row>
    <row r="960" spans="2:2" ht="13.2">
      <c r="B960" s="90"/>
    </row>
    <row r="961" spans="2:2" ht="13.2">
      <c r="B961" s="90"/>
    </row>
    <row r="962" spans="2:2" ht="13.2">
      <c r="B962" s="90"/>
    </row>
    <row r="963" spans="2:2" ht="13.2">
      <c r="B963" s="90"/>
    </row>
    <row r="964" spans="2:2" ht="13.2">
      <c r="B964" s="90"/>
    </row>
    <row r="965" spans="2:2" ht="13.2">
      <c r="B965" s="90"/>
    </row>
    <row r="966" spans="2:2" ht="13.2">
      <c r="B966" s="90"/>
    </row>
    <row r="967" spans="2:2" ht="13.2">
      <c r="B967" s="90"/>
    </row>
    <row r="968" spans="2:2" ht="13.2">
      <c r="B968" s="90"/>
    </row>
    <row r="969" spans="2:2" ht="13.2">
      <c r="B969" s="90"/>
    </row>
    <row r="970" spans="2:2" ht="13.2">
      <c r="B970" s="90"/>
    </row>
    <row r="971" spans="2:2" ht="13.2">
      <c r="B971" s="90"/>
    </row>
    <row r="972" spans="2:2" ht="13.2">
      <c r="B972" s="90"/>
    </row>
    <row r="973" spans="2:2" ht="13.2">
      <c r="B973" s="90"/>
    </row>
    <row r="974" spans="2:2" ht="13.2">
      <c r="B974" s="90"/>
    </row>
    <row r="975" spans="2:2" ht="13.2">
      <c r="B975" s="90"/>
    </row>
    <row r="976" spans="2:2" ht="13.2">
      <c r="B976" s="90"/>
    </row>
    <row r="977" spans="2:2" ht="13.2">
      <c r="B977" s="90"/>
    </row>
    <row r="978" spans="2:2" ht="13.2">
      <c r="B978" s="90"/>
    </row>
    <row r="979" spans="2:2" ht="13.2">
      <c r="B979" s="90"/>
    </row>
    <row r="980" spans="2:2" ht="13.2">
      <c r="B980" s="90"/>
    </row>
    <row r="981" spans="2:2" ht="13.2">
      <c r="B981" s="90"/>
    </row>
    <row r="982" spans="2:2" ht="13.2">
      <c r="B982" s="90"/>
    </row>
    <row r="983" spans="2:2" ht="13.2">
      <c r="B983" s="90"/>
    </row>
    <row r="984" spans="2:2" ht="13.2">
      <c r="B984" s="90"/>
    </row>
    <row r="985" spans="2:2" ht="13.2">
      <c r="B985" s="90"/>
    </row>
    <row r="986" spans="2:2" ht="13.2">
      <c r="B986" s="90"/>
    </row>
    <row r="987" spans="2:2" ht="13.2">
      <c r="B987" s="90"/>
    </row>
    <row r="988" spans="2:2" ht="13.2">
      <c r="B988" s="90"/>
    </row>
    <row r="989" spans="2:2" ht="13.2">
      <c r="B989" s="90"/>
    </row>
    <row r="990" spans="2:2" ht="13.2">
      <c r="B990" s="90"/>
    </row>
    <row r="991" spans="2:2" ht="13.2">
      <c r="B991" s="90"/>
    </row>
    <row r="992" spans="2:2" ht="13.2">
      <c r="B992" s="90"/>
    </row>
    <row r="993" spans="2:2" ht="13.2">
      <c r="B993" s="90"/>
    </row>
    <row r="994" spans="2:2" ht="13.2">
      <c r="B994" s="90"/>
    </row>
    <row r="995" spans="2:2" ht="13.2">
      <c r="B995" s="90"/>
    </row>
    <row r="996" spans="2:2" ht="13.2">
      <c r="B996" s="90"/>
    </row>
    <row r="997" spans="2:2" ht="13.2">
      <c r="B997" s="90"/>
    </row>
  </sheetData>
  <mergeCells count="33">
    <mergeCell ref="B4:B8"/>
    <mergeCell ref="B9:B10"/>
    <mergeCell ref="B11:B19"/>
    <mergeCell ref="B20:B30"/>
    <mergeCell ref="J2:K2"/>
    <mergeCell ref="J3:K3"/>
    <mergeCell ref="J4:K4"/>
    <mergeCell ref="J5:K5"/>
    <mergeCell ref="J6:K6"/>
    <mergeCell ref="J7:K7"/>
    <mergeCell ref="J8:K8"/>
    <mergeCell ref="J9:K9"/>
    <mergeCell ref="J10:K10"/>
    <mergeCell ref="J11:K11"/>
    <mergeCell ref="J12:K12"/>
    <mergeCell ref="J13:K13"/>
    <mergeCell ref="J14:K14"/>
    <mergeCell ref="J15:K15"/>
    <mergeCell ref="J23:K23"/>
    <mergeCell ref="J24:K24"/>
    <mergeCell ref="J25:K25"/>
    <mergeCell ref="J16:K16"/>
    <mergeCell ref="J17:K17"/>
    <mergeCell ref="J18:K18"/>
    <mergeCell ref="J19:K19"/>
    <mergeCell ref="J20:K20"/>
    <mergeCell ref="J21:K21"/>
    <mergeCell ref="J22:K22"/>
    <mergeCell ref="J26:K26"/>
    <mergeCell ref="J27:K27"/>
    <mergeCell ref="J28:K28"/>
    <mergeCell ref="J29:K29"/>
    <mergeCell ref="J30:K30"/>
  </mergeCells>
  <hyperlinks>
    <hyperlink ref="I9" r:id="rId1" xr:uid="{00000000-0004-0000-0300-000000000000}"/>
    <hyperlink ref="I10" r:id="rId2" location="gid=1473838937" xr:uid="{00000000-0004-0000-0300-000001000000}"/>
    <hyperlink ref="J10" r:id="rId3" xr:uid="{00000000-0004-0000-0300-000002000000}"/>
    <hyperlink ref="I19" r:id="rId4" xr:uid="{00000000-0004-0000-0300-000003000000}"/>
  </hyperlinks>
  <pageMargins left="0.511811024" right="0.511811024" top="0.78740157499999996" bottom="0.78740157499999996" header="0.31496062000000002" footer="0.31496062000000002"/>
  <legacyDrawingHF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Check-List</vt:lpstr>
      <vt:lpstr>Evidências</vt:lpstr>
      <vt:lpstr>Resultados</vt:lpstr>
      <vt:lpstr>atenção</vt:lpstr>
      <vt:lpstr>Evidências!Area_de_impressao</vt:lpstr>
      <vt:lpstr>Resultados!Area_de_impressao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Nathalia Silva Brandão</dc:creator>
  <cp:lastModifiedBy>Vinícius Mota</cp:lastModifiedBy>
  <dcterms:created xsi:type="dcterms:W3CDTF">2022-11-18T19:55:43Z</dcterms:created>
  <dcterms:modified xsi:type="dcterms:W3CDTF">2026-08-26T11:18:48Z</dcterms:modified>
</cp:coreProperties>
</file>